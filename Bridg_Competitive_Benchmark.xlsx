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etitor Matrix" sheetId="2" state="visible" r:id="rId2"/>
    <sheet name="Venue Analysis" sheetId="3" state="visible" r:id="rId3"/>
    <sheet name="Receipts" sheetId="4" state="visible" r:id="rId4"/>
    <sheet name="Platform Registry" sheetId="5" state="visible" r:id="rId5"/>
    <sheet name="Raw Quotes" sheetId="6" state="visible" r:id="rId6"/>
    <sheet name="Issues" sheetId="7" state="visible" r:id="rId7"/>
    <sheet name="One-Pager Export" sheetId="8" state="visible" r:id="rId8"/>
  </sheets>
  <definedNames>
    <definedName name="_xlnm._FilterDatabase" localSheetId="2" hidden="1">'Venue Analysis'!$A$4:$M$309</definedName>
    <definedName name="_xlnm._FilterDatabase" localSheetId="3" hidden="1">'Receipts'!$A$1:$L$339</definedName>
    <definedName name="_xlnm._FilterDatabase" localSheetId="5" hidden="1">'Raw Quotes'!$A$1:$O$347</definedName>
    <definedName name="_xlnm.Print_Area" localSheetId="7">'One-Pager Export'!$A$1:$G$31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;-0.0;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6"/>
    </font>
    <font>
      <name val="Arial"/>
      <b val="1"/>
      <sz val="12"/>
    </font>
    <font>
      <name val="Arial"/>
      <color rgb="00008000"/>
      <sz val="10"/>
    </font>
    <font>
      <name val="Arial"/>
      <color rgb="001D4ED8"/>
      <sz val="10"/>
      <u val="single"/>
    </font>
    <font>
      <name val="Courier New"/>
      <sz val="9"/>
    </font>
    <font>
      <name val="Arial"/>
      <b val="1"/>
      <sz val="10"/>
    </font>
    <font>
      <name val="Arial"/>
      <b val="1"/>
      <color rgb="00008000"/>
      <sz val="11"/>
    </font>
    <font>
      <name val="Arial"/>
      <b val="1"/>
      <color rgb="00000000"/>
      <sz val="11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165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165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165" fontId="1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6CDCC"/>
        </patternFill>
      </fill>
    </dxf>
    <dxf>
      <fill>
        <patternFill patternType="solid">
          <fgColor rgb="00CDE2FB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aw.githubusercontent.com/CainBeaudoin/bb/main/evidence/20260923T084919Z/bridg_SOL-ETH_s1_crop.png" TargetMode="External" Id="rId1" /><Relationship Type="http://schemas.openxmlformats.org/officeDocument/2006/relationships/hyperlink" Target="https://raw.githubusercontent.com/CainBeaudoin/bb/main/evidence/20260923T084919Z/bridg_SOL-ETH_s1_full.png" TargetMode="External" Id="rId2" /><Relationship Type="http://schemas.openxmlformats.org/officeDocument/2006/relationships/hyperlink" Target="https://raw.githubusercontent.com/CainBeaudoin/bb/main/evidence/20260923T093752Z/bridg_SOL-ETH_s1_crop.png" TargetMode="External" Id="rId3" /><Relationship Type="http://schemas.openxmlformats.org/officeDocument/2006/relationships/hyperlink" Target="https://raw.githubusercontent.com/CainBeaudoin/bb/main/evidence/20260923T093752Z/bridg_SOL-ETH_s1_full.png" TargetMode="External" Id="rId4" /><Relationship Type="http://schemas.openxmlformats.org/officeDocument/2006/relationships/hyperlink" Target="https://raw.githubusercontent.com/CainBeaudoin/bb/main/evidence/20260923T084919Z/relay_SOL-ETH_s1_crop.png" TargetMode="External" Id="rId5" /><Relationship Type="http://schemas.openxmlformats.org/officeDocument/2006/relationships/hyperlink" Target="https://raw.githubusercontent.com/CainBeaudoin/bb/main/evidence/20260923T084919Z/relay_SOL-ETH_s1_full.png" TargetMode="External" Id="rId6" /><Relationship Type="http://schemas.openxmlformats.org/officeDocument/2006/relationships/hyperlink" Target="https://raw.githubusercontent.com/CainBeaudoin/bb/main/evidence/20260923T093752Z/relay_SOL-ETH_s1_crop.png" TargetMode="External" Id="rId7" /><Relationship Type="http://schemas.openxmlformats.org/officeDocument/2006/relationships/hyperlink" Target="https://raw.githubusercontent.com/CainBeaudoin/bb/main/evidence/20260923T093752Z/relay_SOL-ETH_s1_full.png" TargetMode="External" Id="rId8" /><Relationship Type="http://schemas.openxmlformats.org/officeDocument/2006/relationships/hyperlink" Target="https://raw.githubusercontent.com/CainBeaudoin/bb/main/evidence/20260923T084919Z/debridge_SOL-ETH_s1_crop.png" TargetMode="External" Id="rId9" /><Relationship Type="http://schemas.openxmlformats.org/officeDocument/2006/relationships/hyperlink" Target="https://raw.githubusercontent.com/CainBeaudoin/bb/main/evidence/20260923T084919Z/debridge_SOL-ETH_s1_full.png" TargetMode="External" Id="rId10" /><Relationship Type="http://schemas.openxmlformats.org/officeDocument/2006/relationships/hyperlink" Target="https://raw.githubusercontent.com/CainBeaudoin/bb/main/evidence/20260923T093752Z/debridge_SOL-ETH_s1_crop.png" TargetMode="External" Id="rId11" /><Relationship Type="http://schemas.openxmlformats.org/officeDocument/2006/relationships/hyperlink" Target="https://raw.githubusercontent.com/CainBeaudoin/bb/main/evidence/20260923T093752Z/debridge_SOL-ETH_s1_full.png" TargetMode="External" Id="rId12" /><Relationship Type="http://schemas.openxmlformats.org/officeDocument/2006/relationships/hyperlink" Target="https://raw.githubusercontent.com/CainBeaudoin/bb/main/evidence/20260923T084919Z/lifi_SOL-ETH_s1_crop.png" TargetMode="External" Id="rId13" /><Relationship Type="http://schemas.openxmlformats.org/officeDocument/2006/relationships/hyperlink" Target="https://raw.githubusercontent.com/CainBeaudoin/bb/main/evidence/20260923T084919Z/lifi_SOL-ETH_s1_full.png" TargetMode="External" Id="rId14" /><Relationship Type="http://schemas.openxmlformats.org/officeDocument/2006/relationships/hyperlink" Target="https://raw.githubusercontent.com/CainBeaudoin/bb/main/evidence/20260923T093752Z/lifi_SOL-ETH_s1_crop.png" TargetMode="External" Id="rId15" /><Relationship Type="http://schemas.openxmlformats.org/officeDocument/2006/relationships/hyperlink" Target="https://raw.githubusercontent.com/CainBeaudoin/bb/main/evidence/20260923T093752Z/lifi_SOL-ETH_s1_full.png" TargetMode="External" Id="rId16" /><Relationship Type="http://schemas.openxmlformats.org/officeDocument/2006/relationships/hyperlink" Target="https://raw.githubusercontent.com/CainBeaudoin/bb/main/evidence/20260923T084919Z/across_SOL-ETH_s1_crop.png" TargetMode="External" Id="rId17" /><Relationship Type="http://schemas.openxmlformats.org/officeDocument/2006/relationships/hyperlink" Target="https://raw.githubusercontent.com/CainBeaudoin/bb/main/evidence/20260923T084919Z/across_SOL-ETH_s1_full.png" TargetMode="External" Id="rId18" /><Relationship Type="http://schemas.openxmlformats.org/officeDocument/2006/relationships/hyperlink" Target="https://raw.githubusercontent.com/CainBeaudoin/bb/main/evidence/20260923T093752Z/across_SOL-ETH_s1_crop.png" TargetMode="External" Id="rId19" /><Relationship Type="http://schemas.openxmlformats.org/officeDocument/2006/relationships/hyperlink" Target="https://raw.githubusercontent.com/CainBeaudoin/bb/main/evidence/20260923T093752Z/across_SOL-ETH_s1_full.png" TargetMode="External" Id="rId20" /><Relationship Type="http://schemas.openxmlformats.org/officeDocument/2006/relationships/hyperlink" Target="https://raw.githubusercontent.com/CainBeaudoin/bb/main/evidence/20260923T084919Z/mayan_SOL-ETH_s1_crop.png" TargetMode="External" Id="rId21" /><Relationship Type="http://schemas.openxmlformats.org/officeDocument/2006/relationships/hyperlink" Target="https://raw.githubusercontent.com/CainBeaudoin/bb/main/evidence/20260923T084919Z/mayan_SOL-ETH_s1_full.png" TargetMode="External" Id="rId22" /><Relationship Type="http://schemas.openxmlformats.org/officeDocument/2006/relationships/hyperlink" Target="https://raw.githubusercontent.com/CainBeaudoin/bb/main/evidence/20260923T093752Z/mayan_SOL-ETH_s1_crop.png" TargetMode="External" Id="rId23" /><Relationship Type="http://schemas.openxmlformats.org/officeDocument/2006/relationships/hyperlink" Target="https://raw.githubusercontent.com/CainBeaudoin/bb/main/evidence/20260923T093752Z/mayan_SOL-ETH_s1_full.png" TargetMode="External" Id="rId24" /><Relationship Type="http://schemas.openxmlformats.org/officeDocument/2006/relationships/hyperlink" Target="https://raw.githubusercontent.com/CainBeaudoin/bb/main/evidence/20260923T093752Z/allbridge_SOL-ETH_s1_crop.png" TargetMode="External" Id="rId25" /><Relationship Type="http://schemas.openxmlformats.org/officeDocument/2006/relationships/hyperlink" Target="https://raw.githubusercontent.com/CainBeaudoin/bb/main/evidence/20260923T093752Z/allbridge_SOL-ETH_s1_full.png" TargetMode="External" Id="rId26" /><Relationship Type="http://schemas.openxmlformats.org/officeDocument/2006/relationships/hyperlink" Target="https://raw.githubusercontent.com/CainBeaudoin/bb/main/evidence/20260923T093752Z/cctp_SOL-ETH_s1_crop.png" TargetMode="External" Id="rId27" /><Relationship Type="http://schemas.openxmlformats.org/officeDocument/2006/relationships/hyperlink" Target="https://raw.githubusercontent.com/CainBeaudoin/bb/main/evidence/20260923T093752Z/cctp_SOL-ETH_s1_full.png" TargetMode="External" Id="rId28" /><Relationship Type="http://schemas.openxmlformats.org/officeDocument/2006/relationships/hyperlink" Target="https://raw.githubusercontent.com/CainBeaudoin/bb/main/evidence/20260923T093752Z/husher_SOL-ETH_s1_crop.png" TargetMode="External" Id="rId29" /><Relationship Type="http://schemas.openxmlformats.org/officeDocument/2006/relationships/hyperlink" Target="https://raw.githubusercontent.com/CainBeaudoin/bb/main/evidence/20260923T093752Z/husher_SOL-ETH_s1_full.png" TargetMode="External" Id="rId30" /><Relationship Type="http://schemas.openxmlformats.org/officeDocument/2006/relationships/hyperlink" Target="https://raw.githubusercontent.com/CainBeaudoin/bb/main/evidence/20260923T093752Z/layerswap_SOL-ETH_s1_crop.png" TargetMode="External" Id="rId31" /><Relationship Type="http://schemas.openxmlformats.org/officeDocument/2006/relationships/hyperlink" Target="https://raw.githubusercontent.com/CainBeaudoin/bb/main/evidence/20260923T093752Z/layerswap_SOL-ETH_s1_full.png" TargetMode="External" Id="rId32" /><Relationship Type="http://schemas.openxmlformats.org/officeDocument/2006/relationships/hyperlink" Target="https://raw.githubusercontent.com/CainBeaudoin/bb/main/evidence/20260923T093752Z/meson_SOL-ETH_s1_crop.png" TargetMode="External" Id="rId33" /><Relationship Type="http://schemas.openxmlformats.org/officeDocument/2006/relationships/hyperlink" Target="https://raw.githubusercontent.com/CainBeaudoin/bb/main/evidence/20260923T093752Z/meson_SOL-ETH_s1_full.png" TargetMode="External" Id="rId34" /><Relationship Type="http://schemas.openxmlformats.org/officeDocument/2006/relationships/hyperlink" Target="https://raw.githubusercontent.com/CainBeaudoin/bb/main/evidence/20260923T093752Z/simpleswap_SOL-ETH_s1_crop.png" TargetMode="External" Id="rId35" /><Relationship Type="http://schemas.openxmlformats.org/officeDocument/2006/relationships/hyperlink" Target="https://raw.githubusercontent.com/CainBeaudoin/bb/main/evidence/20260923T093752Z/simpleswap_SOL-ETH_s1_full.png" TargetMode="External" Id="rId36" /><Relationship Type="http://schemas.openxmlformats.org/officeDocument/2006/relationships/hyperlink" Target="https://raw.githubusercontent.com/CainBeaudoin/bb/main/evidence/20260923T093752Z/skip-go_SOL-ETH_s1_crop.png" TargetMode="External" Id="rId37" /><Relationship Type="http://schemas.openxmlformats.org/officeDocument/2006/relationships/hyperlink" Target="https://raw.githubusercontent.com/CainBeaudoin/bb/main/evidence/20260923T093752Z/skip-go_SOL-ETH_s1_full.png" TargetMode="External" Id="rId38" /><Relationship Type="http://schemas.openxmlformats.org/officeDocument/2006/relationships/hyperlink" Target="https://raw.githubusercontent.com/CainBeaudoin/bb/main/evidence/20260923T093752Z/symbiosis_SOL-ETH_s1_crop.png" TargetMode="External" Id="rId39" /><Relationship Type="http://schemas.openxmlformats.org/officeDocument/2006/relationships/hyperlink" Target="https://raw.githubusercontent.com/CainBeaudoin/bb/main/evidence/20260923T093752Z/symbiosis_SOL-ETH_s1_full.png" TargetMode="External" Id="rId40" /><Relationship Type="http://schemas.openxmlformats.org/officeDocument/2006/relationships/hyperlink" Target="https://raw.githubusercontent.com/CainBeaudoin/bb/main/evidence/20260923T084919Z/bridg_SOL-ETH_s2_crop.png" TargetMode="External" Id="rId41" /><Relationship Type="http://schemas.openxmlformats.org/officeDocument/2006/relationships/hyperlink" Target="https://raw.githubusercontent.com/CainBeaudoin/bb/main/evidence/20260923T084919Z/bridg_SOL-ETH_s2_full.png" TargetMode="External" Id="rId42" /><Relationship Type="http://schemas.openxmlformats.org/officeDocument/2006/relationships/hyperlink" Target="https://raw.githubusercontent.com/CainBeaudoin/bb/main/evidence/20260923T093752Z/bridg_SOL-ETH_s2_crop.png" TargetMode="External" Id="rId43" /><Relationship Type="http://schemas.openxmlformats.org/officeDocument/2006/relationships/hyperlink" Target="https://raw.githubusercontent.com/CainBeaudoin/bb/main/evidence/20260923T093752Z/bridg_SOL-ETH_s2_full.png" TargetMode="External" Id="rId44" /><Relationship Type="http://schemas.openxmlformats.org/officeDocument/2006/relationships/hyperlink" Target="https://raw.githubusercontent.com/CainBeaudoin/bb/main/evidence/20260923T084919Z/relay_SOL-ETH_s2_crop.png" TargetMode="External" Id="rId45" /><Relationship Type="http://schemas.openxmlformats.org/officeDocument/2006/relationships/hyperlink" Target="https://raw.githubusercontent.com/CainBeaudoin/bb/main/evidence/20260923T084919Z/relay_SOL-ETH_s2_full.png" TargetMode="External" Id="rId46" /><Relationship Type="http://schemas.openxmlformats.org/officeDocument/2006/relationships/hyperlink" Target="https://raw.githubusercontent.com/CainBeaudoin/bb/main/evidence/20260923T093752Z/relay_SOL-ETH_s2_crop.png" TargetMode="External" Id="rId47" /><Relationship Type="http://schemas.openxmlformats.org/officeDocument/2006/relationships/hyperlink" Target="https://raw.githubusercontent.com/CainBeaudoin/bb/main/evidence/20260923T093752Z/relay_SOL-ETH_s2_full.png" TargetMode="External" Id="rId48" /><Relationship Type="http://schemas.openxmlformats.org/officeDocument/2006/relationships/hyperlink" Target="https://raw.githubusercontent.com/CainBeaudoin/bb/main/evidence/20260923T084919Z/debridge_SOL-ETH_s2_crop.png" TargetMode="External" Id="rId49" /><Relationship Type="http://schemas.openxmlformats.org/officeDocument/2006/relationships/hyperlink" Target="https://raw.githubusercontent.com/CainBeaudoin/bb/main/evidence/20260923T084919Z/debridge_SOL-ETH_s2_full.png" TargetMode="External" Id="rId50" /><Relationship Type="http://schemas.openxmlformats.org/officeDocument/2006/relationships/hyperlink" Target="https://raw.githubusercontent.com/CainBeaudoin/bb/main/evidence/20260923T093752Z/debridge_SOL-ETH_s2_crop.png" TargetMode="External" Id="rId51" /><Relationship Type="http://schemas.openxmlformats.org/officeDocument/2006/relationships/hyperlink" Target="https://raw.githubusercontent.com/CainBeaudoin/bb/main/evidence/20260923T093752Z/debridge_SOL-ETH_s2_full.png" TargetMode="External" Id="rId52" /><Relationship Type="http://schemas.openxmlformats.org/officeDocument/2006/relationships/hyperlink" Target="https://raw.githubusercontent.com/CainBeaudoin/bb/main/evidence/20260923T084919Z/lifi_SOL-ETH_s2_crop.png" TargetMode="External" Id="rId53" /><Relationship Type="http://schemas.openxmlformats.org/officeDocument/2006/relationships/hyperlink" Target="https://raw.githubusercontent.com/CainBeaudoin/bb/main/evidence/20260923T084919Z/lifi_SOL-ETH_s2_full.png" TargetMode="External" Id="rId54" /><Relationship Type="http://schemas.openxmlformats.org/officeDocument/2006/relationships/hyperlink" Target="https://raw.githubusercontent.com/CainBeaudoin/bb/main/evidence/20260923T093752Z/lifi_SOL-ETH_s2_crop.png" TargetMode="External" Id="rId55" /><Relationship Type="http://schemas.openxmlformats.org/officeDocument/2006/relationships/hyperlink" Target="https://raw.githubusercontent.com/CainBeaudoin/bb/main/evidence/20260923T093752Z/lifi_SOL-ETH_s2_full.png" TargetMode="External" Id="rId56" /><Relationship Type="http://schemas.openxmlformats.org/officeDocument/2006/relationships/hyperlink" Target="https://raw.githubusercontent.com/CainBeaudoin/bb/main/evidence/20260923T084919Z/across_SOL-ETH_s2_crop.png" TargetMode="External" Id="rId57" /><Relationship Type="http://schemas.openxmlformats.org/officeDocument/2006/relationships/hyperlink" Target="https://raw.githubusercontent.com/CainBeaudoin/bb/main/evidence/20260923T084919Z/across_SOL-ETH_s2_full.png" TargetMode="External" Id="rId58" /><Relationship Type="http://schemas.openxmlformats.org/officeDocument/2006/relationships/hyperlink" Target="https://raw.githubusercontent.com/CainBeaudoin/bb/main/evidence/20260923T093752Z/across_SOL-ETH_s2_crop.png" TargetMode="External" Id="rId59" /><Relationship Type="http://schemas.openxmlformats.org/officeDocument/2006/relationships/hyperlink" Target="https://raw.githubusercontent.com/CainBeaudoin/bb/main/evidence/20260923T093752Z/across_SOL-ETH_s2_full.png" TargetMode="External" Id="rId60" /><Relationship Type="http://schemas.openxmlformats.org/officeDocument/2006/relationships/hyperlink" Target="https://raw.githubusercontent.com/CainBeaudoin/bb/main/evidence/20260923T084919Z/mayan_SOL-ETH_s2_crop.png" TargetMode="External" Id="rId61" /><Relationship Type="http://schemas.openxmlformats.org/officeDocument/2006/relationships/hyperlink" Target="https://raw.githubusercontent.com/CainBeaudoin/bb/main/evidence/20260923T084919Z/mayan_SOL-ETH_s2_full.png" TargetMode="External" Id="rId62" /><Relationship Type="http://schemas.openxmlformats.org/officeDocument/2006/relationships/hyperlink" Target="https://raw.githubusercontent.com/CainBeaudoin/bb/main/evidence/20260923T093752Z/mayan_SOL-ETH_s2_crop.png" TargetMode="External" Id="rId63" /><Relationship Type="http://schemas.openxmlformats.org/officeDocument/2006/relationships/hyperlink" Target="https://raw.githubusercontent.com/CainBeaudoin/bb/main/evidence/20260923T093752Z/mayan_SOL-ETH_s2_full.png" TargetMode="External" Id="rId64" /><Relationship Type="http://schemas.openxmlformats.org/officeDocument/2006/relationships/hyperlink" Target="https://raw.githubusercontent.com/CainBeaudoin/bb/main/evidence/20260923T093752Z/allbridge_SOL-ETH_s2_crop.png" TargetMode="External" Id="rId65" /><Relationship Type="http://schemas.openxmlformats.org/officeDocument/2006/relationships/hyperlink" Target="https://raw.githubusercontent.com/CainBeaudoin/bb/main/evidence/20260923T093752Z/allbridge_SOL-ETH_s2_full.png" TargetMode="External" Id="rId66" /><Relationship Type="http://schemas.openxmlformats.org/officeDocument/2006/relationships/hyperlink" Target="https://raw.githubusercontent.com/CainBeaudoin/bb/main/evidence/20260923T093752Z/cctp_SOL-ETH_s2_crop.png" TargetMode="External" Id="rId67" /><Relationship Type="http://schemas.openxmlformats.org/officeDocument/2006/relationships/hyperlink" Target="https://raw.githubusercontent.com/CainBeaudoin/bb/main/evidence/20260923T093752Z/cctp_SOL-ETH_s2_full.png" TargetMode="External" Id="rId68" /><Relationship Type="http://schemas.openxmlformats.org/officeDocument/2006/relationships/hyperlink" Target="https://raw.githubusercontent.com/CainBeaudoin/bb/main/evidence/20260923T093752Z/husher_SOL-ETH_s2_crop.png" TargetMode="External" Id="rId69" /><Relationship Type="http://schemas.openxmlformats.org/officeDocument/2006/relationships/hyperlink" Target="https://raw.githubusercontent.com/CainBeaudoin/bb/main/evidence/20260923T093752Z/husher_SOL-ETH_s2_full.png" TargetMode="External" Id="rId70" /><Relationship Type="http://schemas.openxmlformats.org/officeDocument/2006/relationships/hyperlink" Target="https://raw.githubusercontent.com/CainBeaudoin/bb/main/evidence/20260923T093752Z/layerswap_SOL-ETH_s2_crop.png" TargetMode="External" Id="rId71" /><Relationship Type="http://schemas.openxmlformats.org/officeDocument/2006/relationships/hyperlink" Target="https://raw.githubusercontent.com/CainBeaudoin/bb/main/evidence/20260923T093752Z/layerswap_SOL-ETH_s2_full.png" TargetMode="External" Id="rId72" /><Relationship Type="http://schemas.openxmlformats.org/officeDocument/2006/relationships/hyperlink" Target="https://raw.githubusercontent.com/CainBeaudoin/bb/main/evidence/20260923T093752Z/meson_SOL-ETH_s2_crop.png" TargetMode="External" Id="rId73" /><Relationship Type="http://schemas.openxmlformats.org/officeDocument/2006/relationships/hyperlink" Target="https://raw.githubusercontent.com/CainBeaudoin/bb/main/evidence/20260923T093752Z/meson_SOL-ETH_s2_full.png" TargetMode="External" Id="rId74" /><Relationship Type="http://schemas.openxmlformats.org/officeDocument/2006/relationships/hyperlink" Target="https://raw.githubusercontent.com/CainBeaudoin/bb/main/evidence/20260923T093752Z/simpleswap_SOL-ETH_s2_crop.png" TargetMode="External" Id="rId75" /><Relationship Type="http://schemas.openxmlformats.org/officeDocument/2006/relationships/hyperlink" Target="https://raw.githubusercontent.com/CainBeaudoin/bb/main/evidence/20260923T093752Z/simpleswap_SOL-ETH_s2_full.png" TargetMode="External" Id="rId76" /><Relationship Type="http://schemas.openxmlformats.org/officeDocument/2006/relationships/hyperlink" Target="https://raw.githubusercontent.com/CainBeaudoin/bb/main/evidence/20260923T093752Z/skip-go_SOL-ETH_s2_crop.png" TargetMode="External" Id="rId77" /><Relationship Type="http://schemas.openxmlformats.org/officeDocument/2006/relationships/hyperlink" Target="https://raw.githubusercontent.com/CainBeaudoin/bb/main/evidence/20260923T093752Z/skip-go_SOL-ETH_s2_full.png" TargetMode="External" Id="rId78" /><Relationship Type="http://schemas.openxmlformats.org/officeDocument/2006/relationships/hyperlink" Target="https://raw.githubusercontent.com/CainBeaudoin/bb/main/evidence/20260923T093752Z/symbiosis_SOL-ETH_s2_crop.png" TargetMode="External" Id="rId79" /><Relationship Type="http://schemas.openxmlformats.org/officeDocument/2006/relationships/hyperlink" Target="https://raw.githubusercontent.com/CainBeaudoin/bb/main/evidence/20260923T093752Z/symbiosis_SOL-ETH_s2_full.png" TargetMode="External" Id="rId80" /><Relationship Type="http://schemas.openxmlformats.org/officeDocument/2006/relationships/hyperlink" Target="https://raw.githubusercontent.com/CainBeaudoin/bb/main/evidence/20260923T084919Z/bridg_SOL-ETH_s3_crop.png" TargetMode="External" Id="rId81" /><Relationship Type="http://schemas.openxmlformats.org/officeDocument/2006/relationships/hyperlink" Target="https://raw.githubusercontent.com/CainBeaudoin/bb/main/evidence/20260923T084919Z/bridg_SOL-ETH_s3_full.png" TargetMode="External" Id="rId82" /><Relationship Type="http://schemas.openxmlformats.org/officeDocument/2006/relationships/hyperlink" Target="https://raw.githubusercontent.com/CainBeaudoin/bb/main/evidence/20260923T093752Z/bridg_SOL-ETH_s3_crop.png" TargetMode="External" Id="rId83" /><Relationship Type="http://schemas.openxmlformats.org/officeDocument/2006/relationships/hyperlink" Target="https://raw.githubusercontent.com/CainBeaudoin/bb/main/evidence/20260923T093752Z/bridg_SOL-ETH_s3_full.png" TargetMode="External" Id="rId84" /><Relationship Type="http://schemas.openxmlformats.org/officeDocument/2006/relationships/hyperlink" Target="https://raw.githubusercontent.com/CainBeaudoin/bb/main/evidence/20260923T093752Z/bridg_SOL-ETH_s3_crop.png" TargetMode="External" Id="rId85" /><Relationship Type="http://schemas.openxmlformats.org/officeDocument/2006/relationships/hyperlink" Target="https://raw.githubusercontent.com/CainBeaudoin/bb/main/evidence/20260923T093752Z/bridg_SOL-ETH_s3_full.png" TargetMode="External" Id="rId86" /><Relationship Type="http://schemas.openxmlformats.org/officeDocument/2006/relationships/hyperlink" Target="https://raw.githubusercontent.com/CainBeaudoin/bb/main/evidence/20260923T084919Z/relay_SOL-ETH_s3_crop.png" TargetMode="External" Id="rId87" /><Relationship Type="http://schemas.openxmlformats.org/officeDocument/2006/relationships/hyperlink" Target="https://raw.githubusercontent.com/CainBeaudoin/bb/main/evidence/20260923T084919Z/relay_SOL-ETH_s3_full.png" TargetMode="External" Id="rId88" /><Relationship Type="http://schemas.openxmlformats.org/officeDocument/2006/relationships/hyperlink" Target="https://raw.githubusercontent.com/CainBeaudoin/bb/main/evidence/20260923T093752Z/relay_SOL-ETH_s3_crop.png" TargetMode="External" Id="rId89" /><Relationship Type="http://schemas.openxmlformats.org/officeDocument/2006/relationships/hyperlink" Target="https://raw.githubusercontent.com/CainBeaudoin/bb/main/evidence/20260923T093752Z/relay_SOL-ETH_s3_full.png" TargetMode="External" Id="rId90" /><Relationship Type="http://schemas.openxmlformats.org/officeDocument/2006/relationships/hyperlink" Target="https://raw.githubusercontent.com/CainBeaudoin/bb/main/evidence/20260923T084919Z/debridge_SOL-ETH_s3_crop.png" TargetMode="External" Id="rId91" /><Relationship Type="http://schemas.openxmlformats.org/officeDocument/2006/relationships/hyperlink" Target="https://raw.githubusercontent.com/CainBeaudoin/bb/main/evidence/20260923T084919Z/debridge_SOL-ETH_s3_full.png" TargetMode="External" Id="rId92" /><Relationship Type="http://schemas.openxmlformats.org/officeDocument/2006/relationships/hyperlink" Target="https://raw.githubusercontent.com/CainBeaudoin/bb/main/evidence/20260923T093752Z/debridge_SOL-ETH_s3_crop.png" TargetMode="External" Id="rId93" /><Relationship Type="http://schemas.openxmlformats.org/officeDocument/2006/relationships/hyperlink" Target="https://raw.githubusercontent.com/CainBeaudoin/bb/main/evidence/20260923T093752Z/debridge_SOL-ETH_s3_full.png" TargetMode="External" Id="rId94" /><Relationship Type="http://schemas.openxmlformats.org/officeDocument/2006/relationships/hyperlink" Target="https://raw.githubusercontent.com/CainBeaudoin/bb/main/evidence/20260923T084919Z/lifi_SOL-ETH_s3_crop.png" TargetMode="External" Id="rId95" /><Relationship Type="http://schemas.openxmlformats.org/officeDocument/2006/relationships/hyperlink" Target="https://raw.githubusercontent.com/CainBeaudoin/bb/main/evidence/20260923T084919Z/lifi_SOL-ETH_s3_full.png" TargetMode="External" Id="rId96" /><Relationship Type="http://schemas.openxmlformats.org/officeDocument/2006/relationships/hyperlink" Target="https://raw.githubusercontent.com/CainBeaudoin/bb/main/evidence/20260923T093752Z/lifi_SOL-ETH_s3_crop.png" TargetMode="External" Id="rId97" /><Relationship Type="http://schemas.openxmlformats.org/officeDocument/2006/relationships/hyperlink" Target="https://raw.githubusercontent.com/CainBeaudoin/bb/main/evidence/20260923T093752Z/lifi_SOL-ETH_s3_full.png" TargetMode="External" Id="rId98" /><Relationship Type="http://schemas.openxmlformats.org/officeDocument/2006/relationships/hyperlink" Target="https://raw.githubusercontent.com/CainBeaudoin/bb/main/evidence/20260923T084919Z/across_SOL-ETH_s3_crop.png" TargetMode="External" Id="rId99" /><Relationship Type="http://schemas.openxmlformats.org/officeDocument/2006/relationships/hyperlink" Target="https://raw.githubusercontent.com/CainBeaudoin/bb/main/evidence/20260923T084919Z/across_SOL-ETH_s3_full.png" TargetMode="External" Id="rId100" /><Relationship Type="http://schemas.openxmlformats.org/officeDocument/2006/relationships/hyperlink" Target="https://raw.githubusercontent.com/CainBeaudoin/bb/main/evidence/20260923T093752Z/across_SOL-ETH_s3_crop.png" TargetMode="External" Id="rId101" /><Relationship Type="http://schemas.openxmlformats.org/officeDocument/2006/relationships/hyperlink" Target="https://raw.githubusercontent.com/CainBeaudoin/bb/main/evidence/20260923T093752Z/across_SOL-ETH_s3_full.png" TargetMode="External" Id="rId102" /><Relationship Type="http://schemas.openxmlformats.org/officeDocument/2006/relationships/hyperlink" Target="https://raw.githubusercontent.com/CainBeaudoin/bb/main/evidence/20260923T084919Z/mayan_SOL-ETH_s3_crop.png" TargetMode="External" Id="rId103" /><Relationship Type="http://schemas.openxmlformats.org/officeDocument/2006/relationships/hyperlink" Target="https://raw.githubusercontent.com/CainBeaudoin/bb/main/evidence/20260923T084919Z/mayan_SOL-ETH_s3_full.png" TargetMode="External" Id="rId104" /><Relationship Type="http://schemas.openxmlformats.org/officeDocument/2006/relationships/hyperlink" Target="https://raw.githubusercontent.com/CainBeaudoin/bb/main/evidence/20260923T093752Z/mayan_SOL-ETH_s3_crop.png" TargetMode="External" Id="rId105" /><Relationship Type="http://schemas.openxmlformats.org/officeDocument/2006/relationships/hyperlink" Target="https://raw.githubusercontent.com/CainBeaudoin/bb/main/evidence/20260923T093752Z/mayan_SOL-ETH_s3_full.png" TargetMode="External" Id="rId106" /><Relationship Type="http://schemas.openxmlformats.org/officeDocument/2006/relationships/hyperlink" Target="https://raw.githubusercontent.com/CainBeaudoin/bb/main/evidence/20260923T093752Z/allbridge_SOL-ETH_s3_crop.png" TargetMode="External" Id="rId107" /><Relationship Type="http://schemas.openxmlformats.org/officeDocument/2006/relationships/hyperlink" Target="https://raw.githubusercontent.com/CainBeaudoin/bb/main/evidence/20260923T093752Z/allbridge_SOL-ETH_s3_full.png" TargetMode="External" Id="rId108" /><Relationship Type="http://schemas.openxmlformats.org/officeDocument/2006/relationships/hyperlink" Target="https://raw.githubusercontent.com/CainBeaudoin/bb/main/evidence/20260923T093752Z/cctp_SOL-ETH_s3_crop.png" TargetMode="External" Id="rId109" /><Relationship Type="http://schemas.openxmlformats.org/officeDocument/2006/relationships/hyperlink" Target="https://raw.githubusercontent.com/CainBeaudoin/bb/main/evidence/20260923T093752Z/cctp_SOL-ETH_s3_full.png" TargetMode="External" Id="rId110" /><Relationship Type="http://schemas.openxmlformats.org/officeDocument/2006/relationships/hyperlink" Target="https://raw.githubusercontent.com/CainBeaudoin/bb/main/evidence/20260923T093752Z/husher_SOL-ETH_s3_crop.png" TargetMode="External" Id="rId111" /><Relationship Type="http://schemas.openxmlformats.org/officeDocument/2006/relationships/hyperlink" Target="https://raw.githubusercontent.com/CainBeaudoin/bb/main/evidence/20260923T093752Z/husher_SOL-ETH_s3_full.png" TargetMode="External" Id="rId112" /><Relationship Type="http://schemas.openxmlformats.org/officeDocument/2006/relationships/hyperlink" Target="https://raw.githubusercontent.com/CainBeaudoin/bb/main/evidence/20260923T093752Z/layerswap_SOL-ETH_s3_crop.png" TargetMode="External" Id="rId113" /><Relationship Type="http://schemas.openxmlformats.org/officeDocument/2006/relationships/hyperlink" Target="https://raw.githubusercontent.com/CainBeaudoin/bb/main/evidence/20260923T093752Z/layerswap_SOL-ETH_s3_full.png" TargetMode="External" Id="rId114" /><Relationship Type="http://schemas.openxmlformats.org/officeDocument/2006/relationships/hyperlink" Target="https://raw.githubusercontent.com/CainBeaudoin/bb/main/evidence/20260923T093752Z/meson_SOL-ETH_s3_crop.png" TargetMode="External" Id="rId115" /><Relationship Type="http://schemas.openxmlformats.org/officeDocument/2006/relationships/hyperlink" Target="https://raw.githubusercontent.com/CainBeaudoin/bb/main/evidence/20260923T093752Z/meson_SOL-ETH_s3_full.png" TargetMode="External" Id="rId116" /><Relationship Type="http://schemas.openxmlformats.org/officeDocument/2006/relationships/hyperlink" Target="https://raw.githubusercontent.com/CainBeaudoin/bb/main/evidence/20260923T093752Z/simpleswap_SOL-ETH_s3_crop.png" TargetMode="External" Id="rId117" /><Relationship Type="http://schemas.openxmlformats.org/officeDocument/2006/relationships/hyperlink" Target="https://raw.githubusercontent.com/CainBeaudoin/bb/main/evidence/20260923T093752Z/simpleswap_SOL-ETH_s3_full.png" TargetMode="External" Id="rId118" /><Relationship Type="http://schemas.openxmlformats.org/officeDocument/2006/relationships/hyperlink" Target="https://raw.githubusercontent.com/CainBeaudoin/bb/main/evidence/20260923T093752Z/simpleswap_SOL-ETH_s3_crop.png" TargetMode="External" Id="rId119" /><Relationship Type="http://schemas.openxmlformats.org/officeDocument/2006/relationships/hyperlink" Target="https://raw.githubusercontent.com/CainBeaudoin/bb/main/evidence/20260923T093752Z/simpleswap_SOL-ETH_s3_full.png" TargetMode="External" Id="rId120" /><Relationship Type="http://schemas.openxmlformats.org/officeDocument/2006/relationships/hyperlink" Target="https://raw.githubusercontent.com/CainBeaudoin/bb/main/evidence/20260923T093752Z/skip-go_SOL-ETH_s3_crop.png" TargetMode="External" Id="rId121" /><Relationship Type="http://schemas.openxmlformats.org/officeDocument/2006/relationships/hyperlink" Target="https://raw.githubusercontent.com/CainBeaudoin/bb/main/evidence/20260923T093752Z/skip-go_SOL-ETH_s3_full.png" TargetMode="External" Id="rId122" /><Relationship Type="http://schemas.openxmlformats.org/officeDocument/2006/relationships/hyperlink" Target="https://raw.githubusercontent.com/CainBeaudoin/bb/main/evidence/20260923T093752Z/symbiosis_SOL-ETH_s3_crop.png" TargetMode="External" Id="rId123" /><Relationship Type="http://schemas.openxmlformats.org/officeDocument/2006/relationships/hyperlink" Target="https://raw.githubusercontent.com/CainBeaudoin/bb/main/evidence/20260923T093752Z/symbiosis_SOL-ETH_s3_full.png" TargetMode="External" Id="rId124" /><Relationship Type="http://schemas.openxmlformats.org/officeDocument/2006/relationships/hyperlink" Target="https://raw.githubusercontent.com/CainBeaudoin/bb/main/evidence/20260923T084919Z/bridg_ETH-SOL_s1_crop.png" TargetMode="External" Id="rId125" /><Relationship Type="http://schemas.openxmlformats.org/officeDocument/2006/relationships/hyperlink" Target="https://raw.githubusercontent.com/CainBeaudoin/bb/main/evidence/20260923T084919Z/bridg_ETH-SOL_s1_full.png" TargetMode="External" Id="rId126" /><Relationship Type="http://schemas.openxmlformats.org/officeDocument/2006/relationships/hyperlink" Target="https://raw.githubusercontent.com/CainBeaudoin/bb/main/evidence/20260923T093752Z/bridg_ETH-SOL_s1_crop.png" TargetMode="External" Id="rId127" /><Relationship Type="http://schemas.openxmlformats.org/officeDocument/2006/relationships/hyperlink" Target="https://raw.githubusercontent.com/CainBeaudoin/bb/main/evidence/20260923T093752Z/bridg_ETH-SOL_s1_full.png" TargetMode="External" Id="rId128" /><Relationship Type="http://schemas.openxmlformats.org/officeDocument/2006/relationships/hyperlink" Target="https://raw.githubusercontent.com/CainBeaudoin/bb/main/evidence/20260923T093752Z/bridg_ETH-SOL_s1_crop.png" TargetMode="External" Id="rId129" /><Relationship Type="http://schemas.openxmlformats.org/officeDocument/2006/relationships/hyperlink" Target="https://raw.githubusercontent.com/CainBeaudoin/bb/main/evidence/20260923T093752Z/bridg_ETH-SOL_s1_full.png" TargetMode="External" Id="rId130" /><Relationship Type="http://schemas.openxmlformats.org/officeDocument/2006/relationships/hyperlink" Target="https://raw.githubusercontent.com/CainBeaudoin/bb/main/evidence/20260923T084919Z/relay_ETH-SOL_s1_crop.png" TargetMode="External" Id="rId131" /><Relationship Type="http://schemas.openxmlformats.org/officeDocument/2006/relationships/hyperlink" Target="https://raw.githubusercontent.com/CainBeaudoin/bb/main/evidence/20260923T084919Z/relay_ETH-SOL_s1_full.png" TargetMode="External" Id="rId132" /><Relationship Type="http://schemas.openxmlformats.org/officeDocument/2006/relationships/hyperlink" Target="https://raw.githubusercontent.com/CainBeaudoin/bb/main/evidence/20260923T093752Z/relay_ETH-SOL_s1_crop.png" TargetMode="External" Id="rId133" /><Relationship Type="http://schemas.openxmlformats.org/officeDocument/2006/relationships/hyperlink" Target="https://raw.githubusercontent.com/CainBeaudoin/bb/main/evidence/20260923T093752Z/relay_ETH-SOL_s1_full.png" TargetMode="External" Id="rId134" /><Relationship Type="http://schemas.openxmlformats.org/officeDocument/2006/relationships/hyperlink" Target="https://raw.githubusercontent.com/CainBeaudoin/bb/main/evidence/20260923T084919Z/debridge_ETH-SOL_s1_crop.png" TargetMode="External" Id="rId135" /><Relationship Type="http://schemas.openxmlformats.org/officeDocument/2006/relationships/hyperlink" Target="https://raw.githubusercontent.com/CainBeaudoin/bb/main/evidence/20260923T084919Z/debridge_ETH-SOL_s1_full.png" TargetMode="External" Id="rId136" /><Relationship Type="http://schemas.openxmlformats.org/officeDocument/2006/relationships/hyperlink" Target="https://raw.githubusercontent.com/CainBeaudoin/bb/main/evidence/20260923T093752Z/debridge_ETH-SOL_s1_crop.png" TargetMode="External" Id="rId137" /><Relationship Type="http://schemas.openxmlformats.org/officeDocument/2006/relationships/hyperlink" Target="https://raw.githubusercontent.com/CainBeaudoin/bb/main/evidence/20260923T093752Z/debridge_ETH-SOL_s1_full.png" TargetMode="External" Id="rId138" /><Relationship Type="http://schemas.openxmlformats.org/officeDocument/2006/relationships/hyperlink" Target="https://raw.githubusercontent.com/CainBeaudoin/bb/main/evidence/20260923T084919Z/lifi_ETH-SOL_s1_crop.png" TargetMode="External" Id="rId139" /><Relationship Type="http://schemas.openxmlformats.org/officeDocument/2006/relationships/hyperlink" Target="https://raw.githubusercontent.com/CainBeaudoin/bb/main/evidence/20260923T084919Z/lifi_ETH-SOL_s1_full.png" TargetMode="External" Id="rId140" /><Relationship Type="http://schemas.openxmlformats.org/officeDocument/2006/relationships/hyperlink" Target="https://raw.githubusercontent.com/CainBeaudoin/bb/main/evidence/20260923T093752Z/lifi_ETH-SOL_s1_crop.png" TargetMode="External" Id="rId141" /><Relationship Type="http://schemas.openxmlformats.org/officeDocument/2006/relationships/hyperlink" Target="https://raw.githubusercontent.com/CainBeaudoin/bb/main/evidence/20260923T093752Z/lifi_ETH-SOL_s1_full.png" TargetMode="External" Id="rId142" /><Relationship Type="http://schemas.openxmlformats.org/officeDocument/2006/relationships/hyperlink" Target="https://raw.githubusercontent.com/CainBeaudoin/bb/main/evidence/20260923T093752Z/lifi_ETH-SOL_s1_crop.png" TargetMode="External" Id="rId143" /><Relationship Type="http://schemas.openxmlformats.org/officeDocument/2006/relationships/hyperlink" Target="https://raw.githubusercontent.com/CainBeaudoin/bb/main/evidence/20260923T093752Z/lifi_ETH-SOL_s1_full.png" TargetMode="External" Id="rId144" /><Relationship Type="http://schemas.openxmlformats.org/officeDocument/2006/relationships/hyperlink" Target="https://raw.githubusercontent.com/CainBeaudoin/bb/main/evidence/20260923T084919Z/across_ETH-SOL_s1_crop.png" TargetMode="External" Id="rId145" /><Relationship Type="http://schemas.openxmlformats.org/officeDocument/2006/relationships/hyperlink" Target="https://raw.githubusercontent.com/CainBeaudoin/bb/main/evidence/20260923T084919Z/across_ETH-SOL_s1_full.png" TargetMode="External" Id="rId146" /><Relationship Type="http://schemas.openxmlformats.org/officeDocument/2006/relationships/hyperlink" Target="https://raw.githubusercontent.com/CainBeaudoin/bb/main/evidence/20260923T093752Z/across_ETH-SOL_s1_crop.png" TargetMode="External" Id="rId147" /><Relationship Type="http://schemas.openxmlformats.org/officeDocument/2006/relationships/hyperlink" Target="https://raw.githubusercontent.com/CainBeaudoin/bb/main/evidence/20260923T093752Z/across_ETH-SOL_s1_full.png" TargetMode="External" Id="rId148" /><Relationship Type="http://schemas.openxmlformats.org/officeDocument/2006/relationships/hyperlink" Target="https://raw.githubusercontent.com/CainBeaudoin/bb/main/evidence/20260923T084919Z/mayan_ETH-SOL_s1_crop.png" TargetMode="External" Id="rId149" /><Relationship Type="http://schemas.openxmlformats.org/officeDocument/2006/relationships/hyperlink" Target="https://raw.githubusercontent.com/CainBeaudoin/bb/main/evidence/20260923T084919Z/mayan_ETH-SOL_s1_full.png" TargetMode="External" Id="rId150" /><Relationship Type="http://schemas.openxmlformats.org/officeDocument/2006/relationships/hyperlink" Target="https://raw.githubusercontent.com/CainBeaudoin/bb/main/evidence/20260923T093752Z/mayan_ETH-SOL_s1_crop.png" TargetMode="External" Id="rId151" /><Relationship Type="http://schemas.openxmlformats.org/officeDocument/2006/relationships/hyperlink" Target="https://raw.githubusercontent.com/CainBeaudoin/bb/main/evidence/20260923T093752Z/mayan_ETH-SOL_s1_full.png" TargetMode="External" Id="rId152" /><Relationship Type="http://schemas.openxmlformats.org/officeDocument/2006/relationships/hyperlink" Target="https://raw.githubusercontent.com/CainBeaudoin/bb/main/evidence/20260923T093752Z/allbridge_ETH-SOL_s1_crop.png" TargetMode="External" Id="rId153" /><Relationship Type="http://schemas.openxmlformats.org/officeDocument/2006/relationships/hyperlink" Target="https://raw.githubusercontent.com/CainBeaudoin/bb/main/evidence/20260923T093752Z/allbridge_ETH-SOL_s1_full.png" TargetMode="External" Id="rId154" /><Relationship Type="http://schemas.openxmlformats.org/officeDocument/2006/relationships/hyperlink" Target="https://raw.githubusercontent.com/CainBeaudoin/bb/main/evidence/20260923T093752Z/cctp_ETH-SOL_s1_crop.png" TargetMode="External" Id="rId155" /><Relationship Type="http://schemas.openxmlformats.org/officeDocument/2006/relationships/hyperlink" Target="https://raw.githubusercontent.com/CainBeaudoin/bb/main/evidence/20260923T093752Z/cctp_ETH-SOL_s1_full.png" TargetMode="External" Id="rId156" /><Relationship Type="http://schemas.openxmlformats.org/officeDocument/2006/relationships/hyperlink" Target="https://raw.githubusercontent.com/CainBeaudoin/bb/main/evidence/20260923T093752Z/husher_ETH-SOL_s1_crop.png" TargetMode="External" Id="rId157" /><Relationship Type="http://schemas.openxmlformats.org/officeDocument/2006/relationships/hyperlink" Target="https://raw.githubusercontent.com/CainBeaudoin/bb/main/evidence/20260923T093752Z/husher_ETH-SOL_s1_full.png" TargetMode="External" Id="rId158" /><Relationship Type="http://schemas.openxmlformats.org/officeDocument/2006/relationships/hyperlink" Target="https://raw.githubusercontent.com/CainBeaudoin/bb/main/evidence/20260923T093752Z/layerswap_ETH-SOL_s1_crop.png" TargetMode="External" Id="rId159" /><Relationship Type="http://schemas.openxmlformats.org/officeDocument/2006/relationships/hyperlink" Target="https://raw.githubusercontent.com/CainBeaudoin/bb/main/evidence/20260923T093752Z/layerswap_ETH-SOL_s1_full.png" TargetMode="External" Id="rId160" /><Relationship Type="http://schemas.openxmlformats.org/officeDocument/2006/relationships/hyperlink" Target="https://raw.githubusercontent.com/CainBeaudoin/bb/main/evidence/20260923T093752Z/meson_ETH-SOL_s1_crop.png" TargetMode="External" Id="rId161" /><Relationship Type="http://schemas.openxmlformats.org/officeDocument/2006/relationships/hyperlink" Target="https://raw.githubusercontent.com/CainBeaudoin/bb/main/evidence/20260923T093752Z/meson_ETH-SOL_s1_full.png" TargetMode="External" Id="rId162" /><Relationship Type="http://schemas.openxmlformats.org/officeDocument/2006/relationships/hyperlink" Target="https://raw.githubusercontent.com/CainBeaudoin/bb/main/evidence/20260923T093752Z/skip-go_ETH-SOL_s1_crop.png" TargetMode="External" Id="rId163" /><Relationship Type="http://schemas.openxmlformats.org/officeDocument/2006/relationships/hyperlink" Target="https://raw.githubusercontent.com/CainBeaudoin/bb/main/evidence/20260923T093752Z/skip-go_ETH-SOL_s1_full.png" TargetMode="External" Id="rId164" /><Relationship Type="http://schemas.openxmlformats.org/officeDocument/2006/relationships/hyperlink" Target="https://raw.githubusercontent.com/CainBeaudoin/bb/main/evidence/20260923T093752Z/symbiosis_ETH-SOL_s1_crop.png" TargetMode="External" Id="rId165" /><Relationship Type="http://schemas.openxmlformats.org/officeDocument/2006/relationships/hyperlink" Target="https://raw.githubusercontent.com/CainBeaudoin/bb/main/evidence/20260923T093752Z/symbiosis_ETH-SOL_s1_full.png" TargetMode="External" Id="rId166" /><Relationship Type="http://schemas.openxmlformats.org/officeDocument/2006/relationships/hyperlink" Target="https://raw.githubusercontent.com/CainBeaudoin/bb/main/evidence/20260923T084919Z/bridg_ETH-SOL_s2_crop.png" TargetMode="External" Id="rId167" /><Relationship Type="http://schemas.openxmlformats.org/officeDocument/2006/relationships/hyperlink" Target="https://raw.githubusercontent.com/CainBeaudoin/bb/main/evidence/20260923T084919Z/bridg_ETH-SOL_s2_full.png" TargetMode="External" Id="rId168" /><Relationship Type="http://schemas.openxmlformats.org/officeDocument/2006/relationships/hyperlink" Target="https://raw.githubusercontent.com/CainBeaudoin/bb/main/evidence/20260923T093752Z/bridg_ETH-SOL_s2_crop.png" TargetMode="External" Id="rId169" /><Relationship Type="http://schemas.openxmlformats.org/officeDocument/2006/relationships/hyperlink" Target="https://raw.githubusercontent.com/CainBeaudoin/bb/main/evidence/20260923T093752Z/bridg_ETH-SOL_s2_full.png" TargetMode="External" Id="rId170" /><Relationship Type="http://schemas.openxmlformats.org/officeDocument/2006/relationships/hyperlink" Target="https://raw.githubusercontent.com/CainBeaudoin/bb/main/evidence/20260923T084919Z/relay_ETH-SOL_s2_crop.png" TargetMode="External" Id="rId171" /><Relationship Type="http://schemas.openxmlformats.org/officeDocument/2006/relationships/hyperlink" Target="https://raw.githubusercontent.com/CainBeaudoin/bb/main/evidence/20260923T084919Z/relay_ETH-SOL_s2_full.png" TargetMode="External" Id="rId172" /><Relationship Type="http://schemas.openxmlformats.org/officeDocument/2006/relationships/hyperlink" Target="https://raw.githubusercontent.com/CainBeaudoin/bb/main/evidence/20260923T093752Z/relay_ETH-SOL_s2_crop.png" TargetMode="External" Id="rId173" /><Relationship Type="http://schemas.openxmlformats.org/officeDocument/2006/relationships/hyperlink" Target="https://raw.githubusercontent.com/CainBeaudoin/bb/main/evidence/20260923T093752Z/relay_ETH-SOL_s2_full.png" TargetMode="External" Id="rId174" /><Relationship Type="http://schemas.openxmlformats.org/officeDocument/2006/relationships/hyperlink" Target="https://raw.githubusercontent.com/CainBeaudoin/bb/main/evidence/20260923T084919Z/debridge_ETH-SOL_s2_crop.png" TargetMode="External" Id="rId175" /><Relationship Type="http://schemas.openxmlformats.org/officeDocument/2006/relationships/hyperlink" Target="https://raw.githubusercontent.com/CainBeaudoin/bb/main/evidence/20260923T084919Z/debridge_ETH-SOL_s2_full.png" TargetMode="External" Id="rId176" /><Relationship Type="http://schemas.openxmlformats.org/officeDocument/2006/relationships/hyperlink" Target="https://raw.githubusercontent.com/CainBeaudoin/bb/main/evidence/20260923T093752Z/debridge_ETH-SOL_s2_crop.png" TargetMode="External" Id="rId177" /><Relationship Type="http://schemas.openxmlformats.org/officeDocument/2006/relationships/hyperlink" Target="https://raw.githubusercontent.com/CainBeaudoin/bb/main/evidence/20260923T093752Z/debridge_ETH-SOL_s2_full.png" TargetMode="External" Id="rId178" /><Relationship Type="http://schemas.openxmlformats.org/officeDocument/2006/relationships/hyperlink" Target="https://raw.githubusercontent.com/CainBeaudoin/bb/main/evidence/20260923T084919Z/lifi_ETH-SOL_s2_crop.png" TargetMode="External" Id="rId179" /><Relationship Type="http://schemas.openxmlformats.org/officeDocument/2006/relationships/hyperlink" Target="https://raw.githubusercontent.com/CainBeaudoin/bb/main/evidence/20260923T084919Z/lifi_ETH-SOL_s2_full.png" TargetMode="External" Id="rId180" /><Relationship Type="http://schemas.openxmlformats.org/officeDocument/2006/relationships/hyperlink" Target="https://raw.githubusercontent.com/CainBeaudoin/bb/main/evidence/20260923T093752Z/lifi_ETH-SOL_s2_crop.png" TargetMode="External" Id="rId181" /><Relationship Type="http://schemas.openxmlformats.org/officeDocument/2006/relationships/hyperlink" Target="https://raw.githubusercontent.com/CainBeaudoin/bb/main/evidence/20260923T093752Z/lifi_ETH-SOL_s2_full.png" TargetMode="External" Id="rId182" /><Relationship Type="http://schemas.openxmlformats.org/officeDocument/2006/relationships/hyperlink" Target="https://raw.githubusercontent.com/CainBeaudoin/bb/main/evidence/20260923T084919Z/across_ETH-SOL_s2_crop.png" TargetMode="External" Id="rId183" /><Relationship Type="http://schemas.openxmlformats.org/officeDocument/2006/relationships/hyperlink" Target="https://raw.githubusercontent.com/CainBeaudoin/bb/main/evidence/20260923T084919Z/across_ETH-SOL_s2_full.png" TargetMode="External" Id="rId184" /><Relationship Type="http://schemas.openxmlformats.org/officeDocument/2006/relationships/hyperlink" Target="https://raw.githubusercontent.com/CainBeaudoin/bb/main/evidence/20260923T093752Z/across_ETH-SOL_s2_crop.png" TargetMode="External" Id="rId185" /><Relationship Type="http://schemas.openxmlformats.org/officeDocument/2006/relationships/hyperlink" Target="https://raw.githubusercontent.com/CainBeaudoin/bb/main/evidence/20260923T093752Z/across_ETH-SOL_s2_full.png" TargetMode="External" Id="rId186" /><Relationship Type="http://schemas.openxmlformats.org/officeDocument/2006/relationships/hyperlink" Target="https://raw.githubusercontent.com/CainBeaudoin/bb/main/evidence/20260923T084919Z/mayan_ETH-SOL_s2_crop.png" TargetMode="External" Id="rId187" /><Relationship Type="http://schemas.openxmlformats.org/officeDocument/2006/relationships/hyperlink" Target="https://raw.githubusercontent.com/CainBeaudoin/bb/main/evidence/20260923T084919Z/mayan_ETH-SOL_s2_full.png" TargetMode="External" Id="rId188" /><Relationship Type="http://schemas.openxmlformats.org/officeDocument/2006/relationships/hyperlink" Target="https://raw.githubusercontent.com/CainBeaudoin/bb/main/evidence/20260923T093752Z/mayan_ETH-SOL_s2_crop.png" TargetMode="External" Id="rId189" /><Relationship Type="http://schemas.openxmlformats.org/officeDocument/2006/relationships/hyperlink" Target="https://raw.githubusercontent.com/CainBeaudoin/bb/main/evidence/20260923T093752Z/mayan_ETH-SOL_s2_full.png" TargetMode="External" Id="rId190" /><Relationship Type="http://schemas.openxmlformats.org/officeDocument/2006/relationships/hyperlink" Target="https://raw.githubusercontent.com/CainBeaudoin/bb/main/evidence/20260923T093752Z/allbridge_ETH-SOL_s2_crop.png" TargetMode="External" Id="rId191" /><Relationship Type="http://schemas.openxmlformats.org/officeDocument/2006/relationships/hyperlink" Target="https://raw.githubusercontent.com/CainBeaudoin/bb/main/evidence/20260923T093752Z/allbridge_ETH-SOL_s2_full.png" TargetMode="External" Id="rId192" /><Relationship Type="http://schemas.openxmlformats.org/officeDocument/2006/relationships/hyperlink" Target="https://raw.githubusercontent.com/CainBeaudoin/bb/main/evidence/20260923T093752Z/cctp_ETH-SOL_s2_crop.png" TargetMode="External" Id="rId193" /><Relationship Type="http://schemas.openxmlformats.org/officeDocument/2006/relationships/hyperlink" Target="https://raw.githubusercontent.com/CainBeaudoin/bb/main/evidence/20260923T093752Z/cctp_ETH-SOL_s2_full.png" TargetMode="External" Id="rId194" /><Relationship Type="http://schemas.openxmlformats.org/officeDocument/2006/relationships/hyperlink" Target="https://raw.githubusercontent.com/CainBeaudoin/bb/main/evidence/20260923T093752Z/husher_ETH-SOL_s2_crop.png" TargetMode="External" Id="rId195" /><Relationship Type="http://schemas.openxmlformats.org/officeDocument/2006/relationships/hyperlink" Target="https://raw.githubusercontent.com/CainBeaudoin/bb/main/evidence/20260923T093752Z/husher_ETH-SOL_s2_full.png" TargetMode="External" Id="rId196" /><Relationship Type="http://schemas.openxmlformats.org/officeDocument/2006/relationships/hyperlink" Target="https://raw.githubusercontent.com/CainBeaudoin/bb/main/evidence/20260923T093752Z/layerswap_ETH-SOL_s2_crop.png" TargetMode="External" Id="rId197" /><Relationship Type="http://schemas.openxmlformats.org/officeDocument/2006/relationships/hyperlink" Target="https://raw.githubusercontent.com/CainBeaudoin/bb/main/evidence/20260923T093752Z/layerswap_ETH-SOL_s2_full.png" TargetMode="External" Id="rId198" /><Relationship Type="http://schemas.openxmlformats.org/officeDocument/2006/relationships/hyperlink" Target="https://raw.githubusercontent.com/CainBeaudoin/bb/main/evidence/20260923T093752Z/meson_ETH-SOL_s2_crop.png" TargetMode="External" Id="rId199" /><Relationship Type="http://schemas.openxmlformats.org/officeDocument/2006/relationships/hyperlink" Target="https://raw.githubusercontent.com/CainBeaudoin/bb/main/evidence/20260923T093752Z/meson_ETH-SOL_s2_full.png" TargetMode="External" Id="rId200" /><Relationship Type="http://schemas.openxmlformats.org/officeDocument/2006/relationships/hyperlink" Target="https://raw.githubusercontent.com/CainBeaudoin/bb/main/evidence/20260923T093752Z/simpleswap_ETH-SOL_s2_crop.png" TargetMode="External" Id="rId201" /><Relationship Type="http://schemas.openxmlformats.org/officeDocument/2006/relationships/hyperlink" Target="https://raw.githubusercontent.com/CainBeaudoin/bb/main/evidence/20260923T093752Z/simpleswap_ETH-SOL_s2_full.png" TargetMode="External" Id="rId202" /><Relationship Type="http://schemas.openxmlformats.org/officeDocument/2006/relationships/hyperlink" Target="https://raw.githubusercontent.com/CainBeaudoin/bb/main/evidence/20260923T093752Z/skip-go_ETH-SOL_s2_crop.png" TargetMode="External" Id="rId203" /><Relationship Type="http://schemas.openxmlformats.org/officeDocument/2006/relationships/hyperlink" Target="https://raw.githubusercontent.com/CainBeaudoin/bb/main/evidence/20260923T093752Z/skip-go_ETH-SOL_s2_full.png" TargetMode="External" Id="rId204" /><Relationship Type="http://schemas.openxmlformats.org/officeDocument/2006/relationships/hyperlink" Target="https://raw.githubusercontent.com/CainBeaudoin/bb/main/evidence/20260923T093752Z/symbiosis_ETH-SOL_s2_crop.png" TargetMode="External" Id="rId205" /><Relationship Type="http://schemas.openxmlformats.org/officeDocument/2006/relationships/hyperlink" Target="https://raw.githubusercontent.com/CainBeaudoin/bb/main/evidence/20260923T093752Z/symbiosis_ETH-SOL_s2_full.png" TargetMode="External" Id="rId206" /><Relationship Type="http://schemas.openxmlformats.org/officeDocument/2006/relationships/hyperlink" Target="https://raw.githubusercontent.com/CainBeaudoin/bb/main/evidence/20260923T084919Z/bridg_ETH-SOL_s3_crop.png" TargetMode="External" Id="rId207" /><Relationship Type="http://schemas.openxmlformats.org/officeDocument/2006/relationships/hyperlink" Target="https://raw.githubusercontent.com/CainBeaudoin/bb/main/evidence/20260923T084919Z/bridg_ETH-SOL_s3_full.png" TargetMode="External" Id="rId208" /><Relationship Type="http://schemas.openxmlformats.org/officeDocument/2006/relationships/hyperlink" Target="https://raw.githubusercontent.com/CainBeaudoin/bb/main/evidence/20260923T093752Z/bridg_ETH-SOL_s3_crop.png" TargetMode="External" Id="rId209" /><Relationship Type="http://schemas.openxmlformats.org/officeDocument/2006/relationships/hyperlink" Target="https://raw.githubusercontent.com/CainBeaudoin/bb/main/evidence/20260923T093752Z/bridg_ETH-SOL_s3_full.png" TargetMode="External" Id="rId210" /><Relationship Type="http://schemas.openxmlformats.org/officeDocument/2006/relationships/hyperlink" Target="https://raw.githubusercontent.com/CainBeaudoin/bb/main/evidence/20260923T084919Z/relay_ETH-SOL_s3_crop.png" TargetMode="External" Id="rId211" /><Relationship Type="http://schemas.openxmlformats.org/officeDocument/2006/relationships/hyperlink" Target="https://raw.githubusercontent.com/CainBeaudoin/bb/main/evidence/20260923T084919Z/relay_ETH-SOL_s3_full.png" TargetMode="External" Id="rId212" /><Relationship Type="http://schemas.openxmlformats.org/officeDocument/2006/relationships/hyperlink" Target="https://raw.githubusercontent.com/CainBeaudoin/bb/main/evidence/20260923T093752Z/relay_ETH-SOL_s3_crop.png" TargetMode="External" Id="rId213" /><Relationship Type="http://schemas.openxmlformats.org/officeDocument/2006/relationships/hyperlink" Target="https://raw.githubusercontent.com/CainBeaudoin/bb/main/evidence/20260923T093752Z/relay_ETH-SOL_s3_full.png" TargetMode="External" Id="rId214" /><Relationship Type="http://schemas.openxmlformats.org/officeDocument/2006/relationships/hyperlink" Target="https://raw.githubusercontent.com/CainBeaudoin/bb/main/evidence/20260923T084919Z/debridge_ETH-SOL_s3_crop.png" TargetMode="External" Id="rId215" /><Relationship Type="http://schemas.openxmlformats.org/officeDocument/2006/relationships/hyperlink" Target="https://raw.githubusercontent.com/CainBeaudoin/bb/main/evidence/20260923T084919Z/debridge_ETH-SOL_s3_full.png" TargetMode="External" Id="rId216" /><Relationship Type="http://schemas.openxmlformats.org/officeDocument/2006/relationships/hyperlink" Target="https://raw.githubusercontent.com/CainBeaudoin/bb/main/evidence/20260923T093752Z/debridge_ETH-SOL_s3_crop.png" TargetMode="External" Id="rId217" /><Relationship Type="http://schemas.openxmlformats.org/officeDocument/2006/relationships/hyperlink" Target="https://raw.githubusercontent.com/CainBeaudoin/bb/main/evidence/20260923T093752Z/debridge_ETH-SOL_s3_full.png" TargetMode="External" Id="rId218" /><Relationship Type="http://schemas.openxmlformats.org/officeDocument/2006/relationships/hyperlink" Target="https://raw.githubusercontent.com/CainBeaudoin/bb/main/evidence/20260923T084919Z/lifi_ETH-SOL_s3_crop.png" TargetMode="External" Id="rId219" /><Relationship Type="http://schemas.openxmlformats.org/officeDocument/2006/relationships/hyperlink" Target="https://raw.githubusercontent.com/CainBeaudoin/bb/main/evidence/20260923T084919Z/lifi_ETH-SOL_s3_full.png" TargetMode="External" Id="rId220" /><Relationship Type="http://schemas.openxmlformats.org/officeDocument/2006/relationships/hyperlink" Target="https://raw.githubusercontent.com/CainBeaudoin/bb/main/evidence/20260923T093752Z/lifi_ETH-SOL_s3_crop.png" TargetMode="External" Id="rId221" /><Relationship Type="http://schemas.openxmlformats.org/officeDocument/2006/relationships/hyperlink" Target="https://raw.githubusercontent.com/CainBeaudoin/bb/main/evidence/20260923T093752Z/lifi_ETH-SOL_s3_full.png" TargetMode="External" Id="rId222" /><Relationship Type="http://schemas.openxmlformats.org/officeDocument/2006/relationships/hyperlink" Target="https://raw.githubusercontent.com/CainBeaudoin/bb/main/evidence/20260923T084919Z/across_ETH-SOL_s3_crop.png" TargetMode="External" Id="rId223" /><Relationship Type="http://schemas.openxmlformats.org/officeDocument/2006/relationships/hyperlink" Target="https://raw.githubusercontent.com/CainBeaudoin/bb/main/evidence/20260923T084919Z/across_ETH-SOL_s3_full.png" TargetMode="External" Id="rId224" /><Relationship Type="http://schemas.openxmlformats.org/officeDocument/2006/relationships/hyperlink" Target="https://raw.githubusercontent.com/CainBeaudoin/bb/main/evidence/20260923T093752Z/across_ETH-SOL_s3_crop.png" TargetMode="External" Id="rId225" /><Relationship Type="http://schemas.openxmlformats.org/officeDocument/2006/relationships/hyperlink" Target="https://raw.githubusercontent.com/CainBeaudoin/bb/main/evidence/20260923T093752Z/across_ETH-SOL_s3_full.png" TargetMode="External" Id="rId226" /><Relationship Type="http://schemas.openxmlformats.org/officeDocument/2006/relationships/hyperlink" Target="https://raw.githubusercontent.com/CainBeaudoin/bb/main/evidence/20260923T084919Z/mayan_ETH-SOL_s3_crop.png" TargetMode="External" Id="rId227" /><Relationship Type="http://schemas.openxmlformats.org/officeDocument/2006/relationships/hyperlink" Target="https://raw.githubusercontent.com/CainBeaudoin/bb/main/evidence/20260923T084919Z/mayan_ETH-SOL_s3_full.png" TargetMode="External" Id="rId228" /><Relationship Type="http://schemas.openxmlformats.org/officeDocument/2006/relationships/hyperlink" Target="https://raw.githubusercontent.com/CainBeaudoin/bb/main/evidence/20260923T093752Z/mayan_ETH-SOL_s3_crop.png" TargetMode="External" Id="rId229" /><Relationship Type="http://schemas.openxmlformats.org/officeDocument/2006/relationships/hyperlink" Target="https://raw.githubusercontent.com/CainBeaudoin/bb/main/evidence/20260923T093752Z/mayan_ETH-SOL_s3_full.png" TargetMode="External" Id="rId230" /><Relationship Type="http://schemas.openxmlformats.org/officeDocument/2006/relationships/hyperlink" Target="https://raw.githubusercontent.com/CainBeaudoin/bb/main/evidence/20260923T093752Z/allbridge_ETH-SOL_s3_crop.png" TargetMode="External" Id="rId231" /><Relationship Type="http://schemas.openxmlformats.org/officeDocument/2006/relationships/hyperlink" Target="https://raw.githubusercontent.com/CainBeaudoin/bb/main/evidence/20260923T093752Z/allbridge_ETH-SOL_s3_full.png" TargetMode="External" Id="rId232" /><Relationship Type="http://schemas.openxmlformats.org/officeDocument/2006/relationships/hyperlink" Target="https://raw.githubusercontent.com/CainBeaudoin/bb/main/evidence/20260923T093752Z/cctp_ETH-SOL_s3_crop.png" TargetMode="External" Id="rId233" /><Relationship Type="http://schemas.openxmlformats.org/officeDocument/2006/relationships/hyperlink" Target="https://raw.githubusercontent.com/CainBeaudoin/bb/main/evidence/20260923T093752Z/cctp_ETH-SOL_s3_full.png" TargetMode="External" Id="rId234" /><Relationship Type="http://schemas.openxmlformats.org/officeDocument/2006/relationships/hyperlink" Target="https://raw.githubusercontent.com/CainBeaudoin/bb/main/evidence/20260923T093752Z/husher_ETH-SOL_s3_crop.png" TargetMode="External" Id="rId235" /><Relationship Type="http://schemas.openxmlformats.org/officeDocument/2006/relationships/hyperlink" Target="https://raw.githubusercontent.com/CainBeaudoin/bb/main/evidence/20260923T093752Z/husher_ETH-SOL_s3_full.png" TargetMode="External" Id="rId236" /><Relationship Type="http://schemas.openxmlformats.org/officeDocument/2006/relationships/hyperlink" Target="https://raw.githubusercontent.com/CainBeaudoin/bb/main/evidence/20260923T093752Z/layerswap_ETH-SOL_s3_crop.png" TargetMode="External" Id="rId237" /><Relationship Type="http://schemas.openxmlformats.org/officeDocument/2006/relationships/hyperlink" Target="https://raw.githubusercontent.com/CainBeaudoin/bb/main/evidence/20260923T093752Z/layerswap_ETH-SOL_s3_full.png" TargetMode="External" Id="rId238" /><Relationship Type="http://schemas.openxmlformats.org/officeDocument/2006/relationships/hyperlink" Target="https://raw.githubusercontent.com/CainBeaudoin/bb/main/evidence/20260923T093752Z/meson_ETH-SOL_s3_crop.png" TargetMode="External" Id="rId239" /><Relationship Type="http://schemas.openxmlformats.org/officeDocument/2006/relationships/hyperlink" Target="https://raw.githubusercontent.com/CainBeaudoin/bb/main/evidence/20260923T093752Z/meson_ETH-SOL_s3_full.png" TargetMode="External" Id="rId240" /><Relationship Type="http://schemas.openxmlformats.org/officeDocument/2006/relationships/hyperlink" Target="https://raw.githubusercontent.com/CainBeaudoin/bb/main/evidence/20260923T093752Z/simpleswap_ETH-SOL_s3_crop.png" TargetMode="External" Id="rId241" /><Relationship Type="http://schemas.openxmlformats.org/officeDocument/2006/relationships/hyperlink" Target="https://raw.githubusercontent.com/CainBeaudoin/bb/main/evidence/20260923T093752Z/simpleswap_ETH-SOL_s3_full.png" TargetMode="External" Id="rId242" /><Relationship Type="http://schemas.openxmlformats.org/officeDocument/2006/relationships/hyperlink" Target="https://raw.githubusercontent.com/CainBeaudoin/bb/main/evidence/20260923T093752Z/skip-go_ETH-SOL_s3_crop.png" TargetMode="External" Id="rId243" /><Relationship Type="http://schemas.openxmlformats.org/officeDocument/2006/relationships/hyperlink" Target="https://raw.githubusercontent.com/CainBeaudoin/bb/main/evidence/20260923T093752Z/skip-go_ETH-SOL_s3_full.png" TargetMode="External" Id="rId244" /><Relationship Type="http://schemas.openxmlformats.org/officeDocument/2006/relationships/hyperlink" Target="https://raw.githubusercontent.com/CainBeaudoin/bb/main/evidence/20260923T093752Z/symbiosis_ETH-SOL_s3_crop.png" TargetMode="External" Id="rId245" /><Relationship Type="http://schemas.openxmlformats.org/officeDocument/2006/relationships/hyperlink" Target="https://raw.githubusercontent.com/CainBeaudoin/bb/main/evidence/20260923T093752Z/symbiosis_ETH-SOL_s3_full.png" TargetMode="External" Id="rId246" /><Relationship Type="http://schemas.openxmlformats.org/officeDocument/2006/relationships/hyperlink" Target="https://raw.githubusercontent.com/CainBeaudoin/bb/main/evidence/20260923T084919Z/bridg_SOL-BSC_s1_crop.png" TargetMode="External" Id="rId247" /><Relationship Type="http://schemas.openxmlformats.org/officeDocument/2006/relationships/hyperlink" Target="https://raw.githubusercontent.com/CainBeaudoin/bb/main/evidence/20260923T084919Z/bridg_SOL-BSC_s1_full.png" TargetMode="External" Id="rId248" /><Relationship Type="http://schemas.openxmlformats.org/officeDocument/2006/relationships/hyperlink" Target="https://raw.githubusercontent.com/CainBeaudoin/bb/main/evidence/20260923T093752Z/bridg_SOL-BSC_s1_crop.png" TargetMode="External" Id="rId249" /><Relationship Type="http://schemas.openxmlformats.org/officeDocument/2006/relationships/hyperlink" Target="https://raw.githubusercontent.com/CainBeaudoin/bb/main/evidence/20260923T093752Z/bridg_SOL-BSC_s1_full.png" TargetMode="External" Id="rId250" /><Relationship Type="http://schemas.openxmlformats.org/officeDocument/2006/relationships/hyperlink" Target="https://raw.githubusercontent.com/CainBeaudoin/bb/main/evidence/20260923T084919Z/relay_SOL-BSC_s1_crop.png" TargetMode="External" Id="rId251" /><Relationship Type="http://schemas.openxmlformats.org/officeDocument/2006/relationships/hyperlink" Target="https://raw.githubusercontent.com/CainBeaudoin/bb/main/evidence/20260923T084919Z/relay_SOL-BSC_s1_full.png" TargetMode="External" Id="rId252" /><Relationship Type="http://schemas.openxmlformats.org/officeDocument/2006/relationships/hyperlink" Target="https://raw.githubusercontent.com/CainBeaudoin/bb/main/evidence/20260923T093752Z/relay_SOL-BSC_s1_crop.png" TargetMode="External" Id="rId253" /><Relationship Type="http://schemas.openxmlformats.org/officeDocument/2006/relationships/hyperlink" Target="https://raw.githubusercontent.com/CainBeaudoin/bb/main/evidence/20260923T093752Z/relay_SOL-BSC_s1_full.png" TargetMode="External" Id="rId254" /><Relationship Type="http://schemas.openxmlformats.org/officeDocument/2006/relationships/hyperlink" Target="https://raw.githubusercontent.com/CainBeaudoin/bb/main/evidence/20260923T084919Z/debridge_SOL-BSC_s1_crop.png" TargetMode="External" Id="rId255" /><Relationship Type="http://schemas.openxmlformats.org/officeDocument/2006/relationships/hyperlink" Target="https://raw.githubusercontent.com/CainBeaudoin/bb/main/evidence/20260923T084919Z/debridge_SOL-BSC_s1_full.png" TargetMode="External" Id="rId256" /><Relationship Type="http://schemas.openxmlformats.org/officeDocument/2006/relationships/hyperlink" Target="https://raw.githubusercontent.com/CainBeaudoin/bb/main/evidence/20260923T093752Z/debridge_SOL-BSC_s1_crop.png" TargetMode="External" Id="rId257" /><Relationship Type="http://schemas.openxmlformats.org/officeDocument/2006/relationships/hyperlink" Target="https://raw.githubusercontent.com/CainBeaudoin/bb/main/evidence/20260923T093752Z/debridge_SOL-BSC_s1_full.png" TargetMode="External" Id="rId258" /><Relationship Type="http://schemas.openxmlformats.org/officeDocument/2006/relationships/hyperlink" Target="https://raw.githubusercontent.com/CainBeaudoin/bb/main/evidence/20260923T084919Z/lifi_SOL-BSC_s1_crop.png" TargetMode="External" Id="rId259" /><Relationship Type="http://schemas.openxmlformats.org/officeDocument/2006/relationships/hyperlink" Target="https://raw.githubusercontent.com/CainBeaudoin/bb/main/evidence/20260923T084919Z/lifi_SOL-BSC_s1_full.png" TargetMode="External" Id="rId260" /><Relationship Type="http://schemas.openxmlformats.org/officeDocument/2006/relationships/hyperlink" Target="https://raw.githubusercontent.com/CainBeaudoin/bb/main/evidence/20260923T093752Z/lifi_SOL-BSC_s1_crop.png" TargetMode="External" Id="rId261" /><Relationship Type="http://schemas.openxmlformats.org/officeDocument/2006/relationships/hyperlink" Target="https://raw.githubusercontent.com/CainBeaudoin/bb/main/evidence/20260923T093752Z/lifi_SOL-BSC_s1_full.png" TargetMode="External" Id="rId262" /><Relationship Type="http://schemas.openxmlformats.org/officeDocument/2006/relationships/hyperlink" Target="https://raw.githubusercontent.com/CainBeaudoin/bb/main/evidence/20260923T084919Z/across_SOL-BSC_s1_crop.png" TargetMode="External" Id="rId263" /><Relationship Type="http://schemas.openxmlformats.org/officeDocument/2006/relationships/hyperlink" Target="https://raw.githubusercontent.com/CainBeaudoin/bb/main/evidence/20260923T084919Z/across_SOL-BSC_s1_full.png" TargetMode="External" Id="rId264" /><Relationship Type="http://schemas.openxmlformats.org/officeDocument/2006/relationships/hyperlink" Target="https://raw.githubusercontent.com/CainBeaudoin/bb/main/evidence/20260923T093752Z/across_SOL-BSC_s1_crop.png" TargetMode="External" Id="rId265" /><Relationship Type="http://schemas.openxmlformats.org/officeDocument/2006/relationships/hyperlink" Target="https://raw.githubusercontent.com/CainBeaudoin/bb/main/evidence/20260923T093752Z/across_SOL-BSC_s1_full.png" TargetMode="External" Id="rId266" /><Relationship Type="http://schemas.openxmlformats.org/officeDocument/2006/relationships/hyperlink" Target="https://raw.githubusercontent.com/CainBeaudoin/bb/main/evidence/20260923T084919Z/mayan_SOL-BSC_s1_crop.png" TargetMode="External" Id="rId267" /><Relationship Type="http://schemas.openxmlformats.org/officeDocument/2006/relationships/hyperlink" Target="https://raw.githubusercontent.com/CainBeaudoin/bb/main/evidence/20260923T084919Z/mayan_SOL-BSC_s1_full.png" TargetMode="External" Id="rId268" /><Relationship Type="http://schemas.openxmlformats.org/officeDocument/2006/relationships/hyperlink" Target="https://raw.githubusercontent.com/CainBeaudoin/bb/main/evidence/20260923T093752Z/mayan_SOL-BSC_s1_crop.png" TargetMode="External" Id="rId269" /><Relationship Type="http://schemas.openxmlformats.org/officeDocument/2006/relationships/hyperlink" Target="https://raw.githubusercontent.com/CainBeaudoin/bb/main/evidence/20260923T093752Z/mayan_SOL-BSC_s1_full.png" TargetMode="External" Id="rId270" /><Relationship Type="http://schemas.openxmlformats.org/officeDocument/2006/relationships/hyperlink" Target="https://raw.githubusercontent.com/CainBeaudoin/bb/main/evidence/20260923T093752Z/husher_SOL-BSC_s1_crop.png" TargetMode="External" Id="rId271" /><Relationship Type="http://schemas.openxmlformats.org/officeDocument/2006/relationships/hyperlink" Target="https://raw.githubusercontent.com/CainBeaudoin/bb/main/evidence/20260923T093752Z/husher_SOL-BSC_s1_full.png" TargetMode="External" Id="rId272" /><Relationship Type="http://schemas.openxmlformats.org/officeDocument/2006/relationships/hyperlink" Target="https://raw.githubusercontent.com/CainBeaudoin/bb/main/evidence/20260923T093752Z/layerswap_SOL-BSC_s1_crop.png" TargetMode="External" Id="rId273" /><Relationship Type="http://schemas.openxmlformats.org/officeDocument/2006/relationships/hyperlink" Target="https://raw.githubusercontent.com/CainBeaudoin/bb/main/evidence/20260923T093752Z/layerswap_SOL-BSC_s1_full.png" TargetMode="External" Id="rId274" /><Relationship Type="http://schemas.openxmlformats.org/officeDocument/2006/relationships/hyperlink" Target="https://raw.githubusercontent.com/CainBeaudoin/bb/main/evidence/20260923T093752Z/meson_SOL-BSC_s1_crop.png" TargetMode="External" Id="rId275" /><Relationship Type="http://schemas.openxmlformats.org/officeDocument/2006/relationships/hyperlink" Target="https://raw.githubusercontent.com/CainBeaudoin/bb/main/evidence/20260923T093752Z/meson_SOL-BSC_s1_full.png" TargetMode="External" Id="rId276" /><Relationship Type="http://schemas.openxmlformats.org/officeDocument/2006/relationships/hyperlink" Target="https://raw.githubusercontent.com/CainBeaudoin/bb/main/evidence/20260923T093752Z/simpleswap_SOL-BSC_s1_crop.png" TargetMode="External" Id="rId277" /><Relationship Type="http://schemas.openxmlformats.org/officeDocument/2006/relationships/hyperlink" Target="https://raw.githubusercontent.com/CainBeaudoin/bb/main/evidence/20260923T093752Z/simpleswap_SOL-BSC_s1_full.png" TargetMode="External" Id="rId278" /><Relationship Type="http://schemas.openxmlformats.org/officeDocument/2006/relationships/hyperlink" Target="https://raw.githubusercontent.com/CainBeaudoin/bb/main/evidence/20260923T084919Z/bridg_SOL-BSC_s2_crop.png" TargetMode="External" Id="rId279" /><Relationship Type="http://schemas.openxmlformats.org/officeDocument/2006/relationships/hyperlink" Target="https://raw.githubusercontent.com/CainBeaudoin/bb/main/evidence/20260923T084919Z/bridg_SOL-BSC_s2_full.png" TargetMode="External" Id="rId280" /><Relationship Type="http://schemas.openxmlformats.org/officeDocument/2006/relationships/hyperlink" Target="https://raw.githubusercontent.com/CainBeaudoin/bb/main/evidence/20260923T093752Z/bridg_SOL-BSC_s2_crop.png" TargetMode="External" Id="rId281" /><Relationship Type="http://schemas.openxmlformats.org/officeDocument/2006/relationships/hyperlink" Target="https://raw.githubusercontent.com/CainBeaudoin/bb/main/evidence/20260923T093752Z/bridg_SOL-BSC_s2_full.png" TargetMode="External" Id="rId282" /><Relationship Type="http://schemas.openxmlformats.org/officeDocument/2006/relationships/hyperlink" Target="https://raw.githubusercontent.com/CainBeaudoin/bb/main/evidence/20260923T084919Z/relay_SOL-BSC_s2_crop.png" TargetMode="External" Id="rId283" /><Relationship Type="http://schemas.openxmlformats.org/officeDocument/2006/relationships/hyperlink" Target="https://raw.githubusercontent.com/CainBeaudoin/bb/main/evidence/20260923T084919Z/relay_SOL-BSC_s2_full.png" TargetMode="External" Id="rId284" /><Relationship Type="http://schemas.openxmlformats.org/officeDocument/2006/relationships/hyperlink" Target="https://raw.githubusercontent.com/CainBeaudoin/bb/main/evidence/20260923T093752Z/relay_SOL-BSC_s2_crop.png" TargetMode="External" Id="rId285" /><Relationship Type="http://schemas.openxmlformats.org/officeDocument/2006/relationships/hyperlink" Target="https://raw.githubusercontent.com/CainBeaudoin/bb/main/evidence/20260923T093752Z/relay_SOL-BSC_s2_full.png" TargetMode="External" Id="rId286" /><Relationship Type="http://schemas.openxmlformats.org/officeDocument/2006/relationships/hyperlink" Target="https://raw.githubusercontent.com/CainBeaudoin/bb/main/evidence/20260923T084919Z/debridge_SOL-BSC_s2_crop.png" TargetMode="External" Id="rId287" /><Relationship Type="http://schemas.openxmlformats.org/officeDocument/2006/relationships/hyperlink" Target="https://raw.githubusercontent.com/CainBeaudoin/bb/main/evidence/20260923T084919Z/debridge_SOL-BSC_s2_full.png" TargetMode="External" Id="rId288" /><Relationship Type="http://schemas.openxmlformats.org/officeDocument/2006/relationships/hyperlink" Target="https://raw.githubusercontent.com/CainBeaudoin/bb/main/evidence/20260923T093752Z/debridge_SOL-BSC_s2_crop.png" TargetMode="External" Id="rId289" /><Relationship Type="http://schemas.openxmlformats.org/officeDocument/2006/relationships/hyperlink" Target="https://raw.githubusercontent.com/CainBeaudoin/bb/main/evidence/20260923T093752Z/debridge_SOL-BSC_s2_full.png" TargetMode="External" Id="rId290" /><Relationship Type="http://schemas.openxmlformats.org/officeDocument/2006/relationships/hyperlink" Target="https://raw.githubusercontent.com/CainBeaudoin/bb/main/evidence/20260923T084919Z/lifi_SOL-BSC_s2_crop.png" TargetMode="External" Id="rId291" /><Relationship Type="http://schemas.openxmlformats.org/officeDocument/2006/relationships/hyperlink" Target="https://raw.githubusercontent.com/CainBeaudoin/bb/main/evidence/20260923T084919Z/lifi_SOL-BSC_s2_full.png" TargetMode="External" Id="rId292" /><Relationship Type="http://schemas.openxmlformats.org/officeDocument/2006/relationships/hyperlink" Target="https://raw.githubusercontent.com/CainBeaudoin/bb/main/evidence/20260923T093752Z/lifi_SOL-BSC_s2_crop.png" TargetMode="External" Id="rId293" /><Relationship Type="http://schemas.openxmlformats.org/officeDocument/2006/relationships/hyperlink" Target="https://raw.githubusercontent.com/CainBeaudoin/bb/main/evidence/20260923T093752Z/lifi_SOL-BSC_s2_full.png" TargetMode="External" Id="rId294" /><Relationship Type="http://schemas.openxmlformats.org/officeDocument/2006/relationships/hyperlink" Target="https://raw.githubusercontent.com/CainBeaudoin/bb/main/evidence/20260923T084919Z/across_SOL-BSC_s2_crop.png" TargetMode="External" Id="rId295" /><Relationship Type="http://schemas.openxmlformats.org/officeDocument/2006/relationships/hyperlink" Target="https://raw.githubusercontent.com/CainBeaudoin/bb/main/evidence/20260923T084919Z/across_SOL-BSC_s2_full.png" TargetMode="External" Id="rId296" /><Relationship Type="http://schemas.openxmlformats.org/officeDocument/2006/relationships/hyperlink" Target="https://raw.githubusercontent.com/CainBeaudoin/bb/main/evidence/20260923T084919Z/mayan_SOL-BSC_s2_crop.png" TargetMode="External" Id="rId297" /><Relationship Type="http://schemas.openxmlformats.org/officeDocument/2006/relationships/hyperlink" Target="https://raw.githubusercontent.com/CainBeaudoin/bb/main/evidence/20260923T084919Z/mayan_SOL-BSC_s2_full.png" TargetMode="External" Id="rId298" /><Relationship Type="http://schemas.openxmlformats.org/officeDocument/2006/relationships/hyperlink" Target="https://raw.githubusercontent.com/CainBeaudoin/bb/main/evidence/20260923T093752Z/mayan_SOL-BSC_s2_crop.png" TargetMode="External" Id="rId299" /><Relationship Type="http://schemas.openxmlformats.org/officeDocument/2006/relationships/hyperlink" Target="https://raw.githubusercontent.com/CainBeaudoin/bb/main/evidence/20260923T093752Z/mayan_SOL-BSC_s2_full.png" TargetMode="External" Id="rId300" /><Relationship Type="http://schemas.openxmlformats.org/officeDocument/2006/relationships/hyperlink" Target="https://raw.githubusercontent.com/CainBeaudoin/bb/main/evidence/20260923T093752Z/husher_SOL-BSC_s2_crop.png" TargetMode="External" Id="rId301" /><Relationship Type="http://schemas.openxmlformats.org/officeDocument/2006/relationships/hyperlink" Target="https://raw.githubusercontent.com/CainBeaudoin/bb/main/evidence/20260923T093752Z/husher_SOL-BSC_s2_full.png" TargetMode="External" Id="rId302" /><Relationship Type="http://schemas.openxmlformats.org/officeDocument/2006/relationships/hyperlink" Target="https://raw.githubusercontent.com/CainBeaudoin/bb/main/evidence/20260923T093752Z/layerswap_SOL-BSC_s2_crop.png" TargetMode="External" Id="rId303" /><Relationship Type="http://schemas.openxmlformats.org/officeDocument/2006/relationships/hyperlink" Target="https://raw.githubusercontent.com/CainBeaudoin/bb/main/evidence/20260923T093752Z/layerswap_SOL-BSC_s2_full.png" TargetMode="External" Id="rId304" /><Relationship Type="http://schemas.openxmlformats.org/officeDocument/2006/relationships/hyperlink" Target="https://raw.githubusercontent.com/CainBeaudoin/bb/main/evidence/20260923T093752Z/meson_SOL-BSC_s2_crop.png" TargetMode="External" Id="rId305" /><Relationship Type="http://schemas.openxmlformats.org/officeDocument/2006/relationships/hyperlink" Target="https://raw.githubusercontent.com/CainBeaudoin/bb/main/evidence/20260923T093752Z/meson_SOL-BSC_s2_full.png" TargetMode="External" Id="rId306" /><Relationship Type="http://schemas.openxmlformats.org/officeDocument/2006/relationships/hyperlink" Target="https://raw.githubusercontent.com/CainBeaudoin/bb/main/evidence/20260923T093752Z/simpleswap_SOL-BSC_s2_crop.png" TargetMode="External" Id="rId307" /><Relationship Type="http://schemas.openxmlformats.org/officeDocument/2006/relationships/hyperlink" Target="https://raw.githubusercontent.com/CainBeaudoin/bb/main/evidence/20260923T093752Z/simpleswap_SOL-BSC_s2_full.png" TargetMode="External" Id="rId308" /><Relationship Type="http://schemas.openxmlformats.org/officeDocument/2006/relationships/hyperlink" Target="https://raw.githubusercontent.com/CainBeaudoin/bb/main/evidence/20260923T084919Z/bridg_SOL-BSC_s3_crop.png" TargetMode="External" Id="rId309" /><Relationship Type="http://schemas.openxmlformats.org/officeDocument/2006/relationships/hyperlink" Target="https://raw.githubusercontent.com/CainBeaudoin/bb/main/evidence/20260923T084919Z/bridg_SOL-BSC_s3_full.png" TargetMode="External" Id="rId310" /><Relationship Type="http://schemas.openxmlformats.org/officeDocument/2006/relationships/hyperlink" Target="https://raw.githubusercontent.com/CainBeaudoin/bb/main/evidence/20260923T093752Z/bridg_SOL-BSC_s3_crop.png" TargetMode="External" Id="rId311" /><Relationship Type="http://schemas.openxmlformats.org/officeDocument/2006/relationships/hyperlink" Target="https://raw.githubusercontent.com/CainBeaudoin/bb/main/evidence/20260923T093752Z/bridg_SOL-BSC_s3_full.png" TargetMode="External" Id="rId312" /><Relationship Type="http://schemas.openxmlformats.org/officeDocument/2006/relationships/hyperlink" Target="https://raw.githubusercontent.com/CainBeaudoin/bb/main/evidence/20260923T084919Z/relay_SOL-BSC_s3_crop.png" TargetMode="External" Id="rId313" /><Relationship Type="http://schemas.openxmlformats.org/officeDocument/2006/relationships/hyperlink" Target="https://raw.githubusercontent.com/CainBeaudoin/bb/main/evidence/20260923T084919Z/relay_SOL-BSC_s3_full.png" TargetMode="External" Id="rId314" /><Relationship Type="http://schemas.openxmlformats.org/officeDocument/2006/relationships/hyperlink" Target="https://raw.githubusercontent.com/CainBeaudoin/bb/main/evidence/20260923T093752Z/relay_SOL-BSC_s3_crop.png" TargetMode="External" Id="rId315" /><Relationship Type="http://schemas.openxmlformats.org/officeDocument/2006/relationships/hyperlink" Target="https://raw.githubusercontent.com/CainBeaudoin/bb/main/evidence/20260923T093752Z/relay_SOL-BSC_s3_full.png" TargetMode="External" Id="rId316" /><Relationship Type="http://schemas.openxmlformats.org/officeDocument/2006/relationships/hyperlink" Target="https://raw.githubusercontent.com/CainBeaudoin/bb/main/evidence/20260923T084919Z/debridge_SOL-BSC_s3_crop.png" TargetMode="External" Id="rId317" /><Relationship Type="http://schemas.openxmlformats.org/officeDocument/2006/relationships/hyperlink" Target="https://raw.githubusercontent.com/CainBeaudoin/bb/main/evidence/20260923T084919Z/debridge_SOL-BSC_s3_full.png" TargetMode="External" Id="rId318" /><Relationship Type="http://schemas.openxmlformats.org/officeDocument/2006/relationships/hyperlink" Target="https://raw.githubusercontent.com/CainBeaudoin/bb/main/evidence/20260923T093752Z/debridge_SOL-BSC_s3_crop.png" TargetMode="External" Id="rId319" /><Relationship Type="http://schemas.openxmlformats.org/officeDocument/2006/relationships/hyperlink" Target="https://raw.githubusercontent.com/CainBeaudoin/bb/main/evidence/20260923T093752Z/debridge_SOL-BSC_s3_full.png" TargetMode="External" Id="rId320" /><Relationship Type="http://schemas.openxmlformats.org/officeDocument/2006/relationships/hyperlink" Target="https://raw.githubusercontent.com/CainBeaudoin/bb/main/evidence/20260923T084919Z/lifi_SOL-BSC_s3_crop.png" TargetMode="External" Id="rId321" /><Relationship Type="http://schemas.openxmlformats.org/officeDocument/2006/relationships/hyperlink" Target="https://raw.githubusercontent.com/CainBeaudoin/bb/main/evidence/20260923T084919Z/lifi_SOL-BSC_s3_full.png" TargetMode="External" Id="rId322" /><Relationship Type="http://schemas.openxmlformats.org/officeDocument/2006/relationships/hyperlink" Target="https://raw.githubusercontent.com/CainBeaudoin/bb/main/evidence/20260923T093752Z/lifi_SOL-BSC_s3_crop.png" TargetMode="External" Id="rId323" /><Relationship Type="http://schemas.openxmlformats.org/officeDocument/2006/relationships/hyperlink" Target="https://raw.githubusercontent.com/CainBeaudoin/bb/main/evidence/20260923T093752Z/lifi_SOL-BSC_s3_full.png" TargetMode="External" Id="rId324" /><Relationship Type="http://schemas.openxmlformats.org/officeDocument/2006/relationships/hyperlink" Target="https://raw.githubusercontent.com/CainBeaudoin/bb/main/evidence/20260923T084919Z/across_SOL-BSC_s3_crop.png" TargetMode="External" Id="rId325" /><Relationship Type="http://schemas.openxmlformats.org/officeDocument/2006/relationships/hyperlink" Target="https://raw.githubusercontent.com/CainBeaudoin/bb/main/evidence/20260923T084919Z/across_SOL-BSC_s3_full.png" TargetMode="External" Id="rId326" /><Relationship Type="http://schemas.openxmlformats.org/officeDocument/2006/relationships/hyperlink" Target="https://raw.githubusercontent.com/CainBeaudoin/bb/main/evidence/20260923T093752Z/across_SOL-BSC_s3_crop.png" TargetMode="External" Id="rId327" /><Relationship Type="http://schemas.openxmlformats.org/officeDocument/2006/relationships/hyperlink" Target="https://raw.githubusercontent.com/CainBeaudoin/bb/main/evidence/20260923T093752Z/across_SOL-BSC_s3_full.png" TargetMode="External" Id="rId328" /><Relationship Type="http://schemas.openxmlformats.org/officeDocument/2006/relationships/hyperlink" Target="https://raw.githubusercontent.com/CainBeaudoin/bb/main/evidence/20260923T084919Z/mayan_SOL-BSC_s3_crop.png" TargetMode="External" Id="rId329" /><Relationship Type="http://schemas.openxmlformats.org/officeDocument/2006/relationships/hyperlink" Target="https://raw.githubusercontent.com/CainBeaudoin/bb/main/evidence/20260923T084919Z/mayan_SOL-BSC_s3_full.png" TargetMode="External" Id="rId330" /><Relationship Type="http://schemas.openxmlformats.org/officeDocument/2006/relationships/hyperlink" Target="https://raw.githubusercontent.com/CainBeaudoin/bb/main/evidence/20260923T093752Z/mayan_SOL-BSC_s3_crop.png" TargetMode="External" Id="rId331" /><Relationship Type="http://schemas.openxmlformats.org/officeDocument/2006/relationships/hyperlink" Target="https://raw.githubusercontent.com/CainBeaudoin/bb/main/evidence/20260923T093752Z/mayan_SOL-BSC_s3_full.png" TargetMode="External" Id="rId332" /><Relationship Type="http://schemas.openxmlformats.org/officeDocument/2006/relationships/hyperlink" Target="https://raw.githubusercontent.com/CainBeaudoin/bb/main/evidence/20260923T093752Z/husher_SOL-BSC_s3_crop.png" TargetMode="External" Id="rId333" /><Relationship Type="http://schemas.openxmlformats.org/officeDocument/2006/relationships/hyperlink" Target="https://raw.githubusercontent.com/CainBeaudoin/bb/main/evidence/20260923T093752Z/husher_SOL-BSC_s3_full.png" TargetMode="External" Id="rId334" /><Relationship Type="http://schemas.openxmlformats.org/officeDocument/2006/relationships/hyperlink" Target="https://raw.githubusercontent.com/CainBeaudoin/bb/main/evidence/20260923T093752Z/layerswap_SOL-BSC_s3_crop.png" TargetMode="External" Id="rId335" /><Relationship Type="http://schemas.openxmlformats.org/officeDocument/2006/relationships/hyperlink" Target="https://raw.githubusercontent.com/CainBeaudoin/bb/main/evidence/20260923T093752Z/layerswap_SOL-BSC_s3_full.png" TargetMode="External" Id="rId336" /><Relationship Type="http://schemas.openxmlformats.org/officeDocument/2006/relationships/hyperlink" Target="https://raw.githubusercontent.com/CainBeaudoin/bb/main/evidence/20260923T093752Z/meson_SOL-BSC_s3_crop.png" TargetMode="External" Id="rId337" /><Relationship Type="http://schemas.openxmlformats.org/officeDocument/2006/relationships/hyperlink" Target="https://raw.githubusercontent.com/CainBeaudoin/bb/main/evidence/20260923T093752Z/meson_SOL-BSC_s3_full.png" TargetMode="External" Id="rId338" /><Relationship Type="http://schemas.openxmlformats.org/officeDocument/2006/relationships/hyperlink" Target="https://raw.githubusercontent.com/CainBeaudoin/bb/main/evidence/20260923T093752Z/simpleswap_SOL-BSC_s3_crop.png" TargetMode="External" Id="rId339" /><Relationship Type="http://schemas.openxmlformats.org/officeDocument/2006/relationships/hyperlink" Target="https://raw.githubusercontent.com/CainBeaudoin/bb/main/evidence/20260923T093752Z/simpleswap_SOL-BSC_s3_full.png" TargetMode="External" Id="rId340" /><Relationship Type="http://schemas.openxmlformats.org/officeDocument/2006/relationships/hyperlink" Target="https://raw.githubusercontent.com/CainBeaudoin/bb/main/evidence/20260923T084919Z/bridg_BSC-SOL_s1_crop.png" TargetMode="External" Id="rId341" /><Relationship Type="http://schemas.openxmlformats.org/officeDocument/2006/relationships/hyperlink" Target="https://raw.githubusercontent.com/CainBeaudoin/bb/main/evidence/20260923T084919Z/bridg_BSC-SOL_s1_full.png" TargetMode="External" Id="rId342" /><Relationship Type="http://schemas.openxmlformats.org/officeDocument/2006/relationships/hyperlink" Target="https://raw.githubusercontent.com/CainBeaudoin/bb/main/evidence/20260923T085832Z/bridg_BSC-SOL_s1_crop.png" TargetMode="External" Id="rId343" /><Relationship Type="http://schemas.openxmlformats.org/officeDocument/2006/relationships/hyperlink" Target="https://raw.githubusercontent.com/CainBeaudoin/bb/main/evidence/20260923T085832Z/bridg_BSC-SOL_s1_full.png" TargetMode="External" Id="rId344" /><Relationship Type="http://schemas.openxmlformats.org/officeDocument/2006/relationships/hyperlink" Target="https://raw.githubusercontent.com/CainBeaudoin/bb/main/evidence/20260923T093752Z/bridg_BSC-SOL_s1_crop.png" TargetMode="External" Id="rId345" /><Relationship Type="http://schemas.openxmlformats.org/officeDocument/2006/relationships/hyperlink" Target="https://raw.githubusercontent.com/CainBeaudoin/bb/main/evidence/20260923T093752Z/bridg_BSC-SOL_s1_full.png" TargetMode="External" Id="rId346" /><Relationship Type="http://schemas.openxmlformats.org/officeDocument/2006/relationships/hyperlink" Target="https://raw.githubusercontent.com/CainBeaudoin/bb/main/evidence/20260923T084919Z/relay_BSC-SOL_s1_crop.png" TargetMode="External" Id="rId347" /><Relationship Type="http://schemas.openxmlformats.org/officeDocument/2006/relationships/hyperlink" Target="https://raw.githubusercontent.com/CainBeaudoin/bb/main/evidence/20260923T084919Z/relay_BSC-SOL_s1_full.png" TargetMode="External" Id="rId348" /><Relationship Type="http://schemas.openxmlformats.org/officeDocument/2006/relationships/hyperlink" Target="https://raw.githubusercontent.com/CainBeaudoin/bb/main/evidence/20260923T093752Z/relay_BSC-SOL_s1_crop.png" TargetMode="External" Id="rId349" /><Relationship Type="http://schemas.openxmlformats.org/officeDocument/2006/relationships/hyperlink" Target="https://raw.githubusercontent.com/CainBeaudoin/bb/main/evidence/20260923T093752Z/relay_BSC-SOL_s1_full.png" TargetMode="External" Id="rId350" /><Relationship Type="http://schemas.openxmlformats.org/officeDocument/2006/relationships/hyperlink" Target="https://raw.githubusercontent.com/CainBeaudoin/bb/main/evidence/20260923T084919Z/debridge_BSC-SOL_s1_crop.png" TargetMode="External" Id="rId351" /><Relationship Type="http://schemas.openxmlformats.org/officeDocument/2006/relationships/hyperlink" Target="https://raw.githubusercontent.com/CainBeaudoin/bb/main/evidence/20260923T084919Z/debridge_BSC-SOL_s1_full.png" TargetMode="External" Id="rId352" /><Relationship Type="http://schemas.openxmlformats.org/officeDocument/2006/relationships/hyperlink" Target="https://raw.githubusercontent.com/CainBeaudoin/bb/main/evidence/20260923T093752Z/debridge_BSC-SOL_s1_crop.png" TargetMode="External" Id="rId353" /><Relationship Type="http://schemas.openxmlformats.org/officeDocument/2006/relationships/hyperlink" Target="https://raw.githubusercontent.com/CainBeaudoin/bb/main/evidence/20260923T093752Z/debridge_BSC-SOL_s1_full.png" TargetMode="External" Id="rId354" /><Relationship Type="http://schemas.openxmlformats.org/officeDocument/2006/relationships/hyperlink" Target="https://raw.githubusercontent.com/CainBeaudoin/bb/main/evidence/20260923T084919Z/lifi_BSC-SOL_s1_crop.png" TargetMode="External" Id="rId355" /><Relationship Type="http://schemas.openxmlformats.org/officeDocument/2006/relationships/hyperlink" Target="https://raw.githubusercontent.com/CainBeaudoin/bb/main/evidence/20260923T084919Z/lifi_BSC-SOL_s1_full.png" TargetMode="External" Id="rId356" /><Relationship Type="http://schemas.openxmlformats.org/officeDocument/2006/relationships/hyperlink" Target="https://raw.githubusercontent.com/CainBeaudoin/bb/main/evidence/20260923T093752Z/lifi_BSC-SOL_s1_crop.png" TargetMode="External" Id="rId357" /><Relationship Type="http://schemas.openxmlformats.org/officeDocument/2006/relationships/hyperlink" Target="https://raw.githubusercontent.com/CainBeaudoin/bb/main/evidence/20260923T093752Z/lifi_BSC-SOL_s1_full.png" TargetMode="External" Id="rId358" /><Relationship Type="http://schemas.openxmlformats.org/officeDocument/2006/relationships/hyperlink" Target="https://raw.githubusercontent.com/CainBeaudoin/bb/main/evidence/20260923T093752Z/across_BSC-SOL_s1_crop.png" TargetMode="External" Id="rId359" /><Relationship Type="http://schemas.openxmlformats.org/officeDocument/2006/relationships/hyperlink" Target="https://raw.githubusercontent.com/CainBeaudoin/bb/main/evidence/20260923T093752Z/across_BSC-SOL_s1_full.png" TargetMode="External" Id="rId360" /><Relationship Type="http://schemas.openxmlformats.org/officeDocument/2006/relationships/hyperlink" Target="https://raw.githubusercontent.com/CainBeaudoin/bb/main/evidence/20260923T084919Z/mayan_BSC-SOL_s1_crop.png" TargetMode="External" Id="rId361" /><Relationship Type="http://schemas.openxmlformats.org/officeDocument/2006/relationships/hyperlink" Target="https://raw.githubusercontent.com/CainBeaudoin/bb/main/evidence/20260923T084919Z/mayan_BSC-SOL_s1_full.png" TargetMode="External" Id="rId362" /><Relationship Type="http://schemas.openxmlformats.org/officeDocument/2006/relationships/hyperlink" Target="https://raw.githubusercontent.com/CainBeaudoin/bb/main/evidence/20260923T093752Z/mayan_BSC-SOL_s1_crop.png" TargetMode="External" Id="rId363" /><Relationship Type="http://schemas.openxmlformats.org/officeDocument/2006/relationships/hyperlink" Target="https://raw.githubusercontent.com/CainBeaudoin/bb/main/evidence/20260923T093752Z/mayan_BSC-SOL_s1_full.png" TargetMode="External" Id="rId364" /><Relationship Type="http://schemas.openxmlformats.org/officeDocument/2006/relationships/hyperlink" Target="https://raw.githubusercontent.com/CainBeaudoin/bb/main/evidence/20260923T093752Z/husher_BSC-SOL_s1_crop.png" TargetMode="External" Id="rId365" /><Relationship Type="http://schemas.openxmlformats.org/officeDocument/2006/relationships/hyperlink" Target="https://raw.githubusercontent.com/CainBeaudoin/bb/main/evidence/20260923T093752Z/husher_BSC-SOL_s1_full.png" TargetMode="External" Id="rId366" /><Relationship Type="http://schemas.openxmlformats.org/officeDocument/2006/relationships/hyperlink" Target="https://raw.githubusercontent.com/CainBeaudoin/bb/main/evidence/20260923T093752Z/layerswap_BSC-SOL_s1_crop.png" TargetMode="External" Id="rId367" /><Relationship Type="http://schemas.openxmlformats.org/officeDocument/2006/relationships/hyperlink" Target="https://raw.githubusercontent.com/CainBeaudoin/bb/main/evidence/20260923T093752Z/layerswap_BSC-SOL_s1_full.png" TargetMode="External" Id="rId368" /><Relationship Type="http://schemas.openxmlformats.org/officeDocument/2006/relationships/hyperlink" Target="https://raw.githubusercontent.com/CainBeaudoin/bb/main/evidence/20260923T093752Z/meson_BSC-SOL_s1_crop.png" TargetMode="External" Id="rId369" /><Relationship Type="http://schemas.openxmlformats.org/officeDocument/2006/relationships/hyperlink" Target="https://raw.githubusercontent.com/CainBeaudoin/bb/main/evidence/20260923T093752Z/meson_BSC-SOL_s1_full.png" TargetMode="External" Id="rId370" /><Relationship Type="http://schemas.openxmlformats.org/officeDocument/2006/relationships/hyperlink" Target="https://raw.githubusercontent.com/CainBeaudoin/bb/main/evidence/20260923T093752Z/simpleswap_BSC-SOL_s1_crop.png" TargetMode="External" Id="rId371" /><Relationship Type="http://schemas.openxmlformats.org/officeDocument/2006/relationships/hyperlink" Target="https://raw.githubusercontent.com/CainBeaudoin/bb/main/evidence/20260923T093752Z/simpleswap_BSC-SOL_s1_full.png" TargetMode="External" Id="rId372" /><Relationship Type="http://schemas.openxmlformats.org/officeDocument/2006/relationships/hyperlink" Target="https://raw.githubusercontent.com/CainBeaudoin/bb/main/evidence/20260923T093752Z/symbiosis_BSC-SOL_s1_crop.png" TargetMode="External" Id="rId373" /><Relationship Type="http://schemas.openxmlformats.org/officeDocument/2006/relationships/hyperlink" Target="https://raw.githubusercontent.com/CainBeaudoin/bb/main/evidence/20260923T093752Z/symbiosis_BSC-SOL_s1_full.png" TargetMode="External" Id="rId374" /><Relationship Type="http://schemas.openxmlformats.org/officeDocument/2006/relationships/hyperlink" Target="https://raw.githubusercontent.com/CainBeaudoin/bb/main/evidence/20260923T084919Z/bridg_BSC-SOL_s2_crop.png" TargetMode="External" Id="rId375" /><Relationship Type="http://schemas.openxmlformats.org/officeDocument/2006/relationships/hyperlink" Target="https://raw.githubusercontent.com/CainBeaudoin/bb/main/evidence/20260923T084919Z/bridg_BSC-SOL_s2_full.png" TargetMode="External" Id="rId376" /><Relationship Type="http://schemas.openxmlformats.org/officeDocument/2006/relationships/hyperlink" Target="https://raw.githubusercontent.com/CainBeaudoin/bb/main/evidence/20260923T085832Z/bridg_BSC-SOL_s2_crop.png" TargetMode="External" Id="rId377" /><Relationship Type="http://schemas.openxmlformats.org/officeDocument/2006/relationships/hyperlink" Target="https://raw.githubusercontent.com/CainBeaudoin/bb/main/evidence/20260923T085832Z/bridg_BSC-SOL_s2_full.png" TargetMode="External" Id="rId378" /><Relationship Type="http://schemas.openxmlformats.org/officeDocument/2006/relationships/hyperlink" Target="https://raw.githubusercontent.com/CainBeaudoin/bb/main/evidence/20260923T093752Z/bridg_BSC-SOL_s2_crop.png" TargetMode="External" Id="rId379" /><Relationship Type="http://schemas.openxmlformats.org/officeDocument/2006/relationships/hyperlink" Target="https://raw.githubusercontent.com/CainBeaudoin/bb/main/evidence/20260923T093752Z/bridg_BSC-SOL_s2_full.png" TargetMode="External" Id="rId380" /><Relationship Type="http://schemas.openxmlformats.org/officeDocument/2006/relationships/hyperlink" Target="https://raw.githubusercontent.com/CainBeaudoin/bb/main/evidence/20260923T084919Z/relay_BSC-SOL_s2_crop.png" TargetMode="External" Id="rId381" /><Relationship Type="http://schemas.openxmlformats.org/officeDocument/2006/relationships/hyperlink" Target="https://raw.githubusercontent.com/CainBeaudoin/bb/main/evidence/20260923T084919Z/relay_BSC-SOL_s2_full.png" TargetMode="External" Id="rId382" /><Relationship Type="http://schemas.openxmlformats.org/officeDocument/2006/relationships/hyperlink" Target="https://raw.githubusercontent.com/CainBeaudoin/bb/main/evidence/20260923T093752Z/relay_BSC-SOL_s2_crop.png" TargetMode="External" Id="rId383" /><Relationship Type="http://schemas.openxmlformats.org/officeDocument/2006/relationships/hyperlink" Target="https://raw.githubusercontent.com/CainBeaudoin/bb/main/evidence/20260923T093752Z/relay_BSC-SOL_s2_full.png" TargetMode="External" Id="rId384" /><Relationship Type="http://schemas.openxmlformats.org/officeDocument/2006/relationships/hyperlink" Target="https://raw.githubusercontent.com/CainBeaudoin/bb/main/evidence/20260923T084919Z/debridge_BSC-SOL_s2_crop.png" TargetMode="External" Id="rId385" /><Relationship Type="http://schemas.openxmlformats.org/officeDocument/2006/relationships/hyperlink" Target="https://raw.githubusercontent.com/CainBeaudoin/bb/main/evidence/20260923T084919Z/debridge_BSC-SOL_s2_full.png" TargetMode="External" Id="rId386" /><Relationship Type="http://schemas.openxmlformats.org/officeDocument/2006/relationships/hyperlink" Target="https://raw.githubusercontent.com/CainBeaudoin/bb/main/evidence/20260923T093752Z/debridge_BSC-SOL_s2_crop.png" TargetMode="External" Id="rId387" /><Relationship Type="http://schemas.openxmlformats.org/officeDocument/2006/relationships/hyperlink" Target="https://raw.githubusercontent.com/CainBeaudoin/bb/main/evidence/20260923T093752Z/debridge_BSC-SOL_s2_full.png" TargetMode="External" Id="rId388" /><Relationship Type="http://schemas.openxmlformats.org/officeDocument/2006/relationships/hyperlink" Target="https://raw.githubusercontent.com/CainBeaudoin/bb/main/evidence/20260923T084919Z/lifi_BSC-SOL_s2_crop.png" TargetMode="External" Id="rId389" /><Relationship Type="http://schemas.openxmlformats.org/officeDocument/2006/relationships/hyperlink" Target="https://raw.githubusercontent.com/CainBeaudoin/bb/main/evidence/20260923T084919Z/lifi_BSC-SOL_s2_full.png" TargetMode="External" Id="rId390" /><Relationship Type="http://schemas.openxmlformats.org/officeDocument/2006/relationships/hyperlink" Target="https://raw.githubusercontent.com/CainBeaudoin/bb/main/evidence/20260923T093752Z/lifi_BSC-SOL_s2_crop.png" TargetMode="External" Id="rId391" /><Relationship Type="http://schemas.openxmlformats.org/officeDocument/2006/relationships/hyperlink" Target="https://raw.githubusercontent.com/CainBeaudoin/bb/main/evidence/20260923T093752Z/lifi_BSC-SOL_s2_full.png" TargetMode="External" Id="rId392" /><Relationship Type="http://schemas.openxmlformats.org/officeDocument/2006/relationships/hyperlink" Target="https://raw.githubusercontent.com/CainBeaudoin/bb/main/evidence/20260923T093752Z/across_BSC-SOL_s2_crop.png" TargetMode="External" Id="rId393" /><Relationship Type="http://schemas.openxmlformats.org/officeDocument/2006/relationships/hyperlink" Target="https://raw.githubusercontent.com/CainBeaudoin/bb/main/evidence/20260923T093752Z/across_BSC-SOL_s2_full.png" TargetMode="External" Id="rId394" /><Relationship Type="http://schemas.openxmlformats.org/officeDocument/2006/relationships/hyperlink" Target="https://raw.githubusercontent.com/CainBeaudoin/bb/main/evidence/20260923T084919Z/mayan_BSC-SOL_s2_crop.png" TargetMode="External" Id="rId395" /><Relationship Type="http://schemas.openxmlformats.org/officeDocument/2006/relationships/hyperlink" Target="https://raw.githubusercontent.com/CainBeaudoin/bb/main/evidence/20260923T084919Z/mayan_BSC-SOL_s2_full.png" TargetMode="External" Id="rId396" /><Relationship Type="http://schemas.openxmlformats.org/officeDocument/2006/relationships/hyperlink" Target="https://raw.githubusercontent.com/CainBeaudoin/bb/main/evidence/20260923T093752Z/mayan_BSC-SOL_s2_crop.png" TargetMode="External" Id="rId397" /><Relationship Type="http://schemas.openxmlformats.org/officeDocument/2006/relationships/hyperlink" Target="https://raw.githubusercontent.com/CainBeaudoin/bb/main/evidence/20260923T093752Z/mayan_BSC-SOL_s2_full.png" TargetMode="External" Id="rId398" /><Relationship Type="http://schemas.openxmlformats.org/officeDocument/2006/relationships/hyperlink" Target="https://raw.githubusercontent.com/CainBeaudoin/bb/main/evidence/20260923T093752Z/husher_BSC-SOL_s2_crop.png" TargetMode="External" Id="rId399" /><Relationship Type="http://schemas.openxmlformats.org/officeDocument/2006/relationships/hyperlink" Target="https://raw.githubusercontent.com/CainBeaudoin/bb/main/evidence/20260923T093752Z/husher_BSC-SOL_s2_full.png" TargetMode="External" Id="rId400" /><Relationship Type="http://schemas.openxmlformats.org/officeDocument/2006/relationships/hyperlink" Target="https://raw.githubusercontent.com/CainBeaudoin/bb/main/evidence/20260923T093752Z/layerswap_BSC-SOL_s2_crop.png" TargetMode="External" Id="rId401" /><Relationship Type="http://schemas.openxmlformats.org/officeDocument/2006/relationships/hyperlink" Target="https://raw.githubusercontent.com/CainBeaudoin/bb/main/evidence/20260923T093752Z/layerswap_BSC-SOL_s2_full.png" TargetMode="External" Id="rId402" /><Relationship Type="http://schemas.openxmlformats.org/officeDocument/2006/relationships/hyperlink" Target="https://raw.githubusercontent.com/CainBeaudoin/bb/main/evidence/20260923T093752Z/meson_BSC-SOL_s2_crop.png" TargetMode="External" Id="rId403" /><Relationship Type="http://schemas.openxmlformats.org/officeDocument/2006/relationships/hyperlink" Target="https://raw.githubusercontent.com/CainBeaudoin/bb/main/evidence/20260923T093752Z/meson_BSC-SOL_s2_full.png" TargetMode="External" Id="rId404" /><Relationship Type="http://schemas.openxmlformats.org/officeDocument/2006/relationships/hyperlink" Target="https://raw.githubusercontent.com/CainBeaudoin/bb/main/evidence/20260923T093752Z/simpleswap_BSC-SOL_s2_crop.png" TargetMode="External" Id="rId405" /><Relationship Type="http://schemas.openxmlformats.org/officeDocument/2006/relationships/hyperlink" Target="https://raw.githubusercontent.com/CainBeaudoin/bb/main/evidence/20260923T093752Z/simpleswap_BSC-SOL_s2_full.png" TargetMode="External" Id="rId406" /><Relationship Type="http://schemas.openxmlformats.org/officeDocument/2006/relationships/hyperlink" Target="https://raw.githubusercontent.com/CainBeaudoin/bb/main/evidence/20260923T093752Z/symbiosis_BSC-SOL_s2_crop.png" TargetMode="External" Id="rId407" /><Relationship Type="http://schemas.openxmlformats.org/officeDocument/2006/relationships/hyperlink" Target="https://raw.githubusercontent.com/CainBeaudoin/bb/main/evidence/20260923T093752Z/symbiosis_BSC-SOL_s2_full.png" TargetMode="External" Id="rId408" /><Relationship Type="http://schemas.openxmlformats.org/officeDocument/2006/relationships/hyperlink" Target="https://raw.githubusercontent.com/CainBeaudoin/bb/main/evidence/20260923T084919Z/bridg_BSC-SOL_s3_crop.png" TargetMode="External" Id="rId409" /><Relationship Type="http://schemas.openxmlformats.org/officeDocument/2006/relationships/hyperlink" Target="https://raw.githubusercontent.com/CainBeaudoin/bb/main/evidence/20260923T084919Z/bridg_BSC-SOL_s3_full.png" TargetMode="External" Id="rId410" /><Relationship Type="http://schemas.openxmlformats.org/officeDocument/2006/relationships/hyperlink" Target="https://raw.githubusercontent.com/CainBeaudoin/bb/main/evidence/20260923T085832Z/bridg_BSC-SOL_s3_crop.png" TargetMode="External" Id="rId411" /><Relationship Type="http://schemas.openxmlformats.org/officeDocument/2006/relationships/hyperlink" Target="https://raw.githubusercontent.com/CainBeaudoin/bb/main/evidence/20260923T085832Z/bridg_BSC-SOL_s3_full.png" TargetMode="External" Id="rId412" /><Relationship Type="http://schemas.openxmlformats.org/officeDocument/2006/relationships/hyperlink" Target="https://raw.githubusercontent.com/CainBeaudoin/bb/main/evidence/20260923T093752Z/bridg_BSC-SOL_s3_crop.png" TargetMode="External" Id="rId413" /><Relationship Type="http://schemas.openxmlformats.org/officeDocument/2006/relationships/hyperlink" Target="https://raw.githubusercontent.com/CainBeaudoin/bb/main/evidence/20260923T093752Z/bridg_BSC-SOL_s3_full.png" TargetMode="External" Id="rId414" /><Relationship Type="http://schemas.openxmlformats.org/officeDocument/2006/relationships/hyperlink" Target="https://raw.githubusercontent.com/CainBeaudoin/bb/main/evidence/20260923T084919Z/relay_BSC-SOL_s3_crop.png" TargetMode="External" Id="rId415" /><Relationship Type="http://schemas.openxmlformats.org/officeDocument/2006/relationships/hyperlink" Target="https://raw.githubusercontent.com/CainBeaudoin/bb/main/evidence/20260923T084919Z/relay_BSC-SOL_s3_full.png" TargetMode="External" Id="rId416" /><Relationship Type="http://schemas.openxmlformats.org/officeDocument/2006/relationships/hyperlink" Target="https://raw.githubusercontent.com/CainBeaudoin/bb/main/evidence/20260923T093752Z/relay_BSC-SOL_s3_crop.png" TargetMode="External" Id="rId417" /><Relationship Type="http://schemas.openxmlformats.org/officeDocument/2006/relationships/hyperlink" Target="https://raw.githubusercontent.com/CainBeaudoin/bb/main/evidence/20260923T093752Z/relay_BSC-SOL_s3_full.png" TargetMode="External" Id="rId418" /><Relationship Type="http://schemas.openxmlformats.org/officeDocument/2006/relationships/hyperlink" Target="https://raw.githubusercontent.com/CainBeaudoin/bb/main/evidence/20260923T084919Z/debridge_BSC-SOL_s3_crop.png" TargetMode="External" Id="rId419" /><Relationship Type="http://schemas.openxmlformats.org/officeDocument/2006/relationships/hyperlink" Target="https://raw.githubusercontent.com/CainBeaudoin/bb/main/evidence/20260923T084919Z/debridge_BSC-SOL_s3_full.png" TargetMode="External" Id="rId420" /><Relationship Type="http://schemas.openxmlformats.org/officeDocument/2006/relationships/hyperlink" Target="https://raw.githubusercontent.com/CainBeaudoin/bb/main/evidence/20260923T093752Z/debridge_BSC-SOL_s3_crop.png" TargetMode="External" Id="rId421" /><Relationship Type="http://schemas.openxmlformats.org/officeDocument/2006/relationships/hyperlink" Target="https://raw.githubusercontent.com/CainBeaudoin/bb/main/evidence/20260923T093752Z/debridge_BSC-SOL_s3_full.png" TargetMode="External" Id="rId422" /><Relationship Type="http://schemas.openxmlformats.org/officeDocument/2006/relationships/hyperlink" Target="https://raw.githubusercontent.com/CainBeaudoin/bb/main/evidence/20260923T084919Z/lifi_BSC-SOL_s3_crop.png" TargetMode="External" Id="rId423" /><Relationship Type="http://schemas.openxmlformats.org/officeDocument/2006/relationships/hyperlink" Target="https://raw.githubusercontent.com/CainBeaudoin/bb/main/evidence/20260923T084919Z/lifi_BSC-SOL_s3_full.png" TargetMode="External" Id="rId424" /><Relationship Type="http://schemas.openxmlformats.org/officeDocument/2006/relationships/hyperlink" Target="https://raw.githubusercontent.com/CainBeaudoin/bb/main/evidence/20260923T093752Z/lifi_BSC-SOL_s3_crop.png" TargetMode="External" Id="rId425" /><Relationship Type="http://schemas.openxmlformats.org/officeDocument/2006/relationships/hyperlink" Target="https://raw.githubusercontent.com/CainBeaudoin/bb/main/evidence/20260923T093752Z/lifi_BSC-SOL_s3_full.png" TargetMode="External" Id="rId426" /><Relationship Type="http://schemas.openxmlformats.org/officeDocument/2006/relationships/hyperlink" Target="https://raw.githubusercontent.com/CainBeaudoin/bb/main/evidence/20260923T084919Z/across_BSC-SOL_s3_crop.png" TargetMode="External" Id="rId427" /><Relationship Type="http://schemas.openxmlformats.org/officeDocument/2006/relationships/hyperlink" Target="https://raw.githubusercontent.com/CainBeaudoin/bb/main/evidence/20260923T084919Z/across_BSC-SOL_s3_full.png" TargetMode="External" Id="rId428" /><Relationship Type="http://schemas.openxmlformats.org/officeDocument/2006/relationships/hyperlink" Target="https://raw.githubusercontent.com/CainBeaudoin/bb/main/evidence/20260923T085832Z/across_BSC-SOL_s3_crop.png" TargetMode="External" Id="rId429" /><Relationship Type="http://schemas.openxmlformats.org/officeDocument/2006/relationships/hyperlink" Target="https://raw.githubusercontent.com/CainBeaudoin/bb/main/evidence/20260923T085832Z/across_BSC-SOL_s3_full.png" TargetMode="External" Id="rId430" /><Relationship Type="http://schemas.openxmlformats.org/officeDocument/2006/relationships/hyperlink" Target="https://raw.githubusercontent.com/CainBeaudoin/bb/main/evidence/20260923T093752Z/across_BSC-SOL_s3_crop.png" TargetMode="External" Id="rId431" /><Relationship Type="http://schemas.openxmlformats.org/officeDocument/2006/relationships/hyperlink" Target="https://raw.githubusercontent.com/CainBeaudoin/bb/main/evidence/20260923T093752Z/across_BSC-SOL_s3_full.png" TargetMode="External" Id="rId432" /><Relationship Type="http://schemas.openxmlformats.org/officeDocument/2006/relationships/hyperlink" Target="https://raw.githubusercontent.com/CainBeaudoin/bb/main/evidence/20260923T084919Z/mayan_BSC-SOL_s3_crop.png" TargetMode="External" Id="rId433" /><Relationship Type="http://schemas.openxmlformats.org/officeDocument/2006/relationships/hyperlink" Target="https://raw.githubusercontent.com/CainBeaudoin/bb/main/evidence/20260923T084919Z/mayan_BSC-SOL_s3_full.png" TargetMode="External" Id="rId434" /><Relationship Type="http://schemas.openxmlformats.org/officeDocument/2006/relationships/hyperlink" Target="https://raw.githubusercontent.com/CainBeaudoin/bb/main/evidence/20260923T093752Z/mayan_BSC-SOL_s3_crop.png" TargetMode="External" Id="rId435" /><Relationship Type="http://schemas.openxmlformats.org/officeDocument/2006/relationships/hyperlink" Target="https://raw.githubusercontent.com/CainBeaudoin/bb/main/evidence/20260923T093752Z/mayan_BSC-SOL_s3_full.png" TargetMode="External" Id="rId436" /><Relationship Type="http://schemas.openxmlformats.org/officeDocument/2006/relationships/hyperlink" Target="https://raw.githubusercontent.com/CainBeaudoin/bb/main/evidence/20260923T093752Z/husher_BSC-SOL_s3_crop.png" TargetMode="External" Id="rId437" /><Relationship Type="http://schemas.openxmlformats.org/officeDocument/2006/relationships/hyperlink" Target="https://raw.githubusercontent.com/CainBeaudoin/bb/main/evidence/20260923T093752Z/husher_BSC-SOL_s3_full.png" TargetMode="External" Id="rId438" /><Relationship Type="http://schemas.openxmlformats.org/officeDocument/2006/relationships/hyperlink" Target="https://raw.githubusercontent.com/CainBeaudoin/bb/main/evidence/20260923T093752Z/layerswap_BSC-SOL_s3_crop.png" TargetMode="External" Id="rId439" /><Relationship Type="http://schemas.openxmlformats.org/officeDocument/2006/relationships/hyperlink" Target="https://raw.githubusercontent.com/CainBeaudoin/bb/main/evidence/20260923T093752Z/layerswap_BSC-SOL_s3_full.png" TargetMode="External" Id="rId440" /><Relationship Type="http://schemas.openxmlformats.org/officeDocument/2006/relationships/hyperlink" Target="https://raw.githubusercontent.com/CainBeaudoin/bb/main/evidence/20260923T093752Z/meson_BSC-SOL_s3_crop.png" TargetMode="External" Id="rId441" /><Relationship Type="http://schemas.openxmlformats.org/officeDocument/2006/relationships/hyperlink" Target="https://raw.githubusercontent.com/CainBeaudoin/bb/main/evidence/20260923T093752Z/meson_BSC-SOL_s3_full.png" TargetMode="External" Id="rId442" /><Relationship Type="http://schemas.openxmlformats.org/officeDocument/2006/relationships/hyperlink" Target="https://raw.githubusercontent.com/CainBeaudoin/bb/main/evidence/20260923T093752Z/simpleswap_BSC-SOL_s3_crop.png" TargetMode="External" Id="rId443" /><Relationship Type="http://schemas.openxmlformats.org/officeDocument/2006/relationships/hyperlink" Target="https://raw.githubusercontent.com/CainBeaudoin/bb/main/evidence/20260923T093752Z/simpleswap_BSC-SOL_s3_full.png" TargetMode="External" Id="rId444" /><Relationship Type="http://schemas.openxmlformats.org/officeDocument/2006/relationships/hyperlink" Target="https://raw.githubusercontent.com/CainBeaudoin/bb/main/evidence/20260923T093752Z/symbiosis_BSC-SOL_s3_crop.png" TargetMode="External" Id="rId445" /><Relationship Type="http://schemas.openxmlformats.org/officeDocument/2006/relationships/hyperlink" Target="https://raw.githubusercontent.com/CainBeaudoin/bb/main/evidence/20260923T093752Z/symbiosis_BSC-SOL_s3_full.png" TargetMode="External" Id="rId446" /><Relationship Type="http://schemas.openxmlformats.org/officeDocument/2006/relationships/hyperlink" Target="https://raw.githubusercontent.com/CainBeaudoin/bb/main/evidence/20260923T084919Z/bridg_SOL-Base_s1_crop.png" TargetMode="External" Id="rId447" /><Relationship Type="http://schemas.openxmlformats.org/officeDocument/2006/relationships/hyperlink" Target="https://raw.githubusercontent.com/CainBeaudoin/bb/main/evidence/20260923T084919Z/bridg_SOL-Base_s1_full.png" TargetMode="External" Id="rId448" /><Relationship Type="http://schemas.openxmlformats.org/officeDocument/2006/relationships/hyperlink" Target="https://raw.githubusercontent.com/CainBeaudoin/bb/main/evidence/20260923T093752Z/bridg_SOL-Base_s1_crop.png" TargetMode="External" Id="rId449" /><Relationship Type="http://schemas.openxmlformats.org/officeDocument/2006/relationships/hyperlink" Target="https://raw.githubusercontent.com/CainBeaudoin/bb/main/evidence/20260923T093752Z/bridg_SOL-Base_s1_full.png" TargetMode="External" Id="rId450" /><Relationship Type="http://schemas.openxmlformats.org/officeDocument/2006/relationships/hyperlink" Target="https://raw.githubusercontent.com/CainBeaudoin/bb/main/evidence/20260923T084919Z/relay_SOL-Base_s1_crop.png" TargetMode="External" Id="rId451" /><Relationship Type="http://schemas.openxmlformats.org/officeDocument/2006/relationships/hyperlink" Target="https://raw.githubusercontent.com/CainBeaudoin/bb/main/evidence/20260923T084919Z/relay_SOL-Base_s1_full.png" TargetMode="External" Id="rId452" /><Relationship Type="http://schemas.openxmlformats.org/officeDocument/2006/relationships/hyperlink" Target="https://raw.githubusercontent.com/CainBeaudoin/bb/main/evidence/20260923T093752Z/relay_SOL-Base_s1_crop.png" TargetMode="External" Id="rId453" /><Relationship Type="http://schemas.openxmlformats.org/officeDocument/2006/relationships/hyperlink" Target="https://raw.githubusercontent.com/CainBeaudoin/bb/main/evidence/20260923T093752Z/relay_SOL-Base_s1_full.png" TargetMode="External" Id="rId454" /><Relationship Type="http://schemas.openxmlformats.org/officeDocument/2006/relationships/hyperlink" Target="https://raw.githubusercontent.com/CainBeaudoin/bb/main/evidence/20260923T084919Z/debridge_SOL-Base_s1_crop.png" TargetMode="External" Id="rId455" /><Relationship Type="http://schemas.openxmlformats.org/officeDocument/2006/relationships/hyperlink" Target="https://raw.githubusercontent.com/CainBeaudoin/bb/main/evidence/20260923T084919Z/debridge_SOL-Base_s1_full.png" TargetMode="External" Id="rId456" /><Relationship Type="http://schemas.openxmlformats.org/officeDocument/2006/relationships/hyperlink" Target="https://raw.githubusercontent.com/CainBeaudoin/bb/main/evidence/20260923T093752Z/debridge_SOL-Base_s1_crop.png" TargetMode="External" Id="rId457" /><Relationship Type="http://schemas.openxmlformats.org/officeDocument/2006/relationships/hyperlink" Target="https://raw.githubusercontent.com/CainBeaudoin/bb/main/evidence/20260923T093752Z/debridge_SOL-Base_s1_full.png" TargetMode="External" Id="rId458" /><Relationship Type="http://schemas.openxmlformats.org/officeDocument/2006/relationships/hyperlink" Target="https://raw.githubusercontent.com/CainBeaudoin/bb/main/evidence/20260923T084919Z/lifi_SOL-Base_s1_crop.png" TargetMode="External" Id="rId459" /><Relationship Type="http://schemas.openxmlformats.org/officeDocument/2006/relationships/hyperlink" Target="https://raw.githubusercontent.com/CainBeaudoin/bb/main/evidence/20260923T084919Z/lifi_SOL-Base_s1_full.png" TargetMode="External" Id="rId460" /><Relationship Type="http://schemas.openxmlformats.org/officeDocument/2006/relationships/hyperlink" Target="https://raw.githubusercontent.com/CainBeaudoin/bb/main/evidence/20260923T093752Z/lifi_SOL-Base_s1_crop.png" TargetMode="External" Id="rId461" /><Relationship Type="http://schemas.openxmlformats.org/officeDocument/2006/relationships/hyperlink" Target="https://raw.githubusercontent.com/CainBeaudoin/bb/main/evidence/20260923T093752Z/lifi_SOL-Base_s1_full.png" TargetMode="External" Id="rId462" /><Relationship Type="http://schemas.openxmlformats.org/officeDocument/2006/relationships/hyperlink" Target="https://raw.githubusercontent.com/CainBeaudoin/bb/main/evidence/20260923T084919Z/across_SOL-Base_s1_crop.png" TargetMode="External" Id="rId463" /><Relationship Type="http://schemas.openxmlformats.org/officeDocument/2006/relationships/hyperlink" Target="https://raw.githubusercontent.com/CainBeaudoin/bb/main/evidence/20260923T084919Z/across_SOL-Base_s1_full.png" TargetMode="External" Id="rId464" /><Relationship Type="http://schemas.openxmlformats.org/officeDocument/2006/relationships/hyperlink" Target="https://raw.githubusercontent.com/CainBeaudoin/bb/main/evidence/20260923T093752Z/across_SOL-Base_s1_crop.png" TargetMode="External" Id="rId465" /><Relationship Type="http://schemas.openxmlformats.org/officeDocument/2006/relationships/hyperlink" Target="https://raw.githubusercontent.com/CainBeaudoin/bb/main/evidence/20260923T093752Z/across_SOL-Base_s1_full.png" TargetMode="External" Id="rId466" /><Relationship Type="http://schemas.openxmlformats.org/officeDocument/2006/relationships/hyperlink" Target="https://raw.githubusercontent.com/CainBeaudoin/bb/main/evidence/20260923T084919Z/mayan_SOL-Base_s1_crop.png" TargetMode="External" Id="rId467" /><Relationship Type="http://schemas.openxmlformats.org/officeDocument/2006/relationships/hyperlink" Target="https://raw.githubusercontent.com/CainBeaudoin/bb/main/evidence/20260923T084919Z/mayan_SOL-Base_s1_full.png" TargetMode="External" Id="rId468" /><Relationship Type="http://schemas.openxmlformats.org/officeDocument/2006/relationships/hyperlink" Target="https://raw.githubusercontent.com/CainBeaudoin/bb/main/evidence/20260923T093752Z/mayan_SOL-Base_s1_crop.png" TargetMode="External" Id="rId469" /><Relationship Type="http://schemas.openxmlformats.org/officeDocument/2006/relationships/hyperlink" Target="https://raw.githubusercontent.com/CainBeaudoin/bb/main/evidence/20260923T093752Z/mayan_SOL-Base_s1_full.png" TargetMode="External" Id="rId470" /><Relationship Type="http://schemas.openxmlformats.org/officeDocument/2006/relationships/hyperlink" Target="https://raw.githubusercontent.com/CainBeaudoin/bb/main/evidence/20260923T093752Z/allbridge_SOL-Base_s1_crop.png" TargetMode="External" Id="rId471" /><Relationship Type="http://schemas.openxmlformats.org/officeDocument/2006/relationships/hyperlink" Target="https://raw.githubusercontent.com/CainBeaudoin/bb/main/evidence/20260923T093752Z/allbridge_SOL-Base_s1_full.png" TargetMode="External" Id="rId472" /><Relationship Type="http://schemas.openxmlformats.org/officeDocument/2006/relationships/hyperlink" Target="https://raw.githubusercontent.com/CainBeaudoin/bb/main/evidence/20260923T093752Z/cctp_SOL-Base_s1_crop.png" TargetMode="External" Id="rId473" /><Relationship Type="http://schemas.openxmlformats.org/officeDocument/2006/relationships/hyperlink" Target="https://raw.githubusercontent.com/CainBeaudoin/bb/main/evidence/20260923T093752Z/cctp_SOL-Base_s1_full.png" TargetMode="External" Id="rId474" /><Relationship Type="http://schemas.openxmlformats.org/officeDocument/2006/relationships/hyperlink" Target="https://raw.githubusercontent.com/CainBeaudoin/bb/main/evidence/20260923T093752Z/husher_SOL-Base_s1_crop.png" TargetMode="External" Id="rId475" /><Relationship Type="http://schemas.openxmlformats.org/officeDocument/2006/relationships/hyperlink" Target="https://raw.githubusercontent.com/CainBeaudoin/bb/main/evidence/20260923T093752Z/husher_SOL-Base_s1_full.png" TargetMode="External" Id="rId476" /><Relationship Type="http://schemas.openxmlformats.org/officeDocument/2006/relationships/hyperlink" Target="https://raw.githubusercontent.com/CainBeaudoin/bb/main/evidence/20260923T093752Z/layerswap_SOL-Base_s1_crop.png" TargetMode="External" Id="rId477" /><Relationship Type="http://schemas.openxmlformats.org/officeDocument/2006/relationships/hyperlink" Target="https://raw.githubusercontent.com/CainBeaudoin/bb/main/evidence/20260923T093752Z/layerswap_SOL-Base_s1_full.png" TargetMode="External" Id="rId478" /><Relationship Type="http://schemas.openxmlformats.org/officeDocument/2006/relationships/hyperlink" Target="https://raw.githubusercontent.com/CainBeaudoin/bb/main/evidence/20260923T093752Z/meson_SOL-Base_s1_crop.png" TargetMode="External" Id="rId479" /><Relationship Type="http://schemas.openxmlformats.org/officeDocument/2006/relationships/hyperlink" Target="https://raw.githubusercontent.com/CainBeaudoin/bb/main/evidence/20260923T093752Z/meson_SOL-Base_s1_full.png" TargetMode="External" Id="rId480" /><Relationship Type="http://schemas.openxmlformats.org/officeDocument/2006/relationships/hyperlink" Target="https://raw.githubusercontent.com/CainBeaudoin/bb/main/evidence/20260923T093752Z/simpleswap_SOL-Base_s1_crop.png" TargetMode="External" Id="rId481" /><Relationship Type="http://schemas.openxmlformats.org/officeDocument/2006/relationships/hyperlink" Target="https://raw.githubusercontent.com/CainBeaudoin/bb/main/evidence/20260923T093752Z/simpleswap_SOL-Base_s1_full.png" TargetMode="External" Id="rId482" /><Relationship Type="http://schemas.openxmlformats.org/officeDocument/2006/relationships/hyperlink" Target="https://raw.githubusercontent.com/CainBeaudoin/bb/main/evidence/20260923T093752Z/skip-go_SOL-Base_s1_crop.png" TargetMode="External" Id="rId483" /><Relationship Type="http://schemas.openxmlformats.org/officeDocument/2006/relationships/hyperlink" Target="https://raw.githubusercontent.com/CainBeaudoin/bb/main/evidence/20260923T093752Z/skip-go_SOL-Base_s1_full.png" TargetMode="External" Id="rId484" /><Relationship Type="http://schemas.openxmlformats.org/officeDocument/2006/relationships/hyperlink" Target="https://raw.githubusercontent.com/CainBeaudoin/bb/main/evidence/20260923T084919Z/bridg_SOL-Base_s2_crop.png" TargetMode="External" Id="rId485" /><Relationship Type="http://schemas.openxmlformats.org/officeDocument/2006/relationships/hyperlink" Target="https://raw.githubusercontent.com/CainBeaudoin/bb/main/evidence/20260923T084919Z/bridg_SOL-Base_s2_full.png" TargetMode="External" Id="rId486" /><Relationship Type="http://schemas.openxmlformats.org/officeDocument/2006/relationships/hyperlink" Target="https://raw.githubusercontent.com/CainBeaudoin/bb/main/evidence/20260923T093752Z/bridg_SOL-Base_s2_crop.png" TargetMode="External" Id="rId487" /><Relationship Type="http://schemas.openxmlformats.org/officeDocument/2006/relationships/hyperlink" Target="https://raw.githubusercontent.com/CainBeaudoin/bb/main/evidence/20260923T093752Z/bridg_SOL-Base_s2_full.png" TargetMode="External" Id="rId488" /><Relationship Type="http://schemas.openxmlformats.org/officeDocument/2006/relationships/hyperlink" Target="https://raw.githubusercontent.com/CainBeaudoin/bb/main/evidence/20260923T084919Z/relay_SOL-Base_s2_crop.png" TargetMode="External" Id="rId489" /><Relationship Type="http://schemas.openxmlformats.org/officeDocument/2006/relationships/hyperlink" Target="https://raw.githubusercontent.com/CainBeaudoin/bb/main/evidence/20260923T084919Z/relay_SOL-Base_s2_full.png" TargetMode="External" Id="rId490" /><Relationship Type="http://schemas.openxmlformats.org/officeDocument/2006/relationships/hyperlink" Target="https://raw.githubusercontent.com/CainBeaudoin/bb/main/evidence/20260923T093752Z/relay_SOL-Base_s2_crop.png" TargetMode="External" Id="rId491" /><Relationship Type="http://schemas.openxmlformats.org/officeDocument/2006/relationships/hyperlink" Target="https://raw.githubusercontent.com/CainBeaudoin/bb/main/evidence/20260923T093752Z/relay_SOL-Base_s2_full.png" TargetMode="External" Id="rId492" /><Relationship Type="http://schemas.openxmlformats.org/officeDocument/2006/relationships/hyperlink" Target="https://raw.githubusercontent.com/CainBeaudoin/bb/main/evidence/20260923T084919Z/debridge_SOL-Base_s2_crop.png" TargetMode="External" Id="rId493" /><Relationship Type="http://schemas.openxmlformats.org/officeDocument/2006/relationships/hyperlink" Target="https://raw.githubusercontent.com/CainBeaudoin/bb/main/evidence/20260923T084919Z/debridge_SOL-Base_s2_full.png" TargetMode="External" Id="rId494" /><Relationship Type="http://schemas.openxmlformats.org/officeDocument/2006/relationships/hyperlink" Target="https://raw.githubusercontent.com/CainBeaudoin/bb/main/evidence/20260923T093752Z/debridge_SOL-Base_s2_crop.png" TargetMode="External" Id="rId495" /><Relationship Type="http://schemas.openxmlformats.org/officeDocument/2006/relationships/hyperlink" Target="https://raw.githubusercontent.com/CainBeaudoin/bb/main/evidence/20260923T093752Z/debridge_SOL-Base_s2_full.png" TargetMode="External" Id="rId496" /><Relationship Type="http://schemas.openxmlformats.org/officeDocument/2006/relationships/hyperlink" Target="https://raw.githubusercontent.com/CainBeaudoin/bb/main/evidence/20260923T084919Z/lifi_SOL-Base_s2_crop.png" TargetMode="External" Id="rId497" /><Relationship Type="http://schemas.openxmlformats.org/officeDocument/2006/relationships/hyperlink" Target="https://raw.githubusercontent.com/CainBeaudoin/bb/main/evidence/20260923T084919Z/lifi_SOL-Base_s2_full.png" TargetMode="External" Id="rId498" /><Relationship Type="http://schemas.openxmlformats.org/officeDocument/2006/relationships/hyperlink" Target="https://raw.githubusercontent.com/CainBeaudoin/bb/main/evidence/20260923T093752Z/lifi_SOL-Base_s2_crop.png" TargetMode="External" Id="rId499" /><Relationship Type="http://schemas.openxmlformats.org/officeDocument/2006/relationships/hyperlink" Target="https://raw.githubusercontent.com/CainBeaudoin/bb/main/evidence/20260923T093752Z/lifi_SOL-Base_s2_full.png" TargetMode="External" Id="rId500" /><Relationship Type="http://schemas.openxmlformats.org/officeDocument/2006/relationships/hyperlink" Target="https://raw.githubusercontent.com/CainBeaudoin/bb/main/evidence/20260923T084919Z/across_SOL-Base_s2_crop.png" TargetMode="External" Id="rId501" /><Relationship Type="http://schemas.openxmlformats.org/officeDocument/2006/relationships/hyperlink" Target="https://raw.githubusercontent.com/CainBeaudoin/bb/main/evidence/20260923T084919Z/across_SOL-Base_s2_full.png" TargetMode="External" Id="rId502" /><Relationship Type="http://schemas.openxmlformats.org/officeDocument/2006/relationships/hyperlink" Target="https://raw.githubusercontent.com/CainBeaudoin/bb/main/evidence/20260923T093752Z/across_SOL-Base_s2_crop.png" TargetMode="External" Id="rId503" /><Relationship Type="http://schemas.openxmlformats.org/officeDocument/2006/relationships/hyperlink" Target="https://raw.githubusercontent.com/CainBeaudoin/bb/main/evidence/20260923T093752Z/across_SOL-Base_s2_full.png" TargetMode="External" Id="rId504" /><Relationship Type="http://schemas.openxmlformats.org/officeDocument/2006/relationships/hyperlink" Target="https://raw.githubusercontent.com/CainBeaudoin/bb/main/evidence/20260923T084919Z/mayan_SOL-Base_s2_crop.png" TargetMode="External" Id="rId505" /><Relationship Type="http://schemas.openxmlformats.org/officeDocument/2006/relationships/hyperlink" Target="https://raw.githubusercontent.com/CainBeaudoin/bb/main/evidence/20260923T084919Z/mayan_SOL-Base_s2_full.png" TargetMode="External" Id="rId506" /><Relationship Type="http://schemas.openxmlformats.org/officeDocument/2006/relationships/hyperlink" Target="https://raw.githubusercontent.com/CainBeaudoin/bb/main/evidence/20260923T093752Z/mayan_SOL-Base_s2_crop.png" TargetMode="External" Id="rId507" /><Relationship Type="http://schemas.openxmlformats.org/officeDocument/2006/relationships/hyperlink" Target="https://raw.githubusercontent.com/CainBeaudoin/bb/main/evidence/20260923T093752Z/mayan_SOL-Base_s2_full.png" TargetMode="External" Id="rId508" /><Relationship Type="http://schemas.openxmlformats.org/officeDocument/2006/relationships/hyperlink" Target="https://raw.githubusercontent.com/CainBeaudoin/bb/main/evidence/20260923T093752Z/allbridge_SOL-Base_s2_crop.png" TargetMode="External" Id="rId509" /><Relationship Type="http://schemas.openxmlformats.org/officeDocument/2006/relationships/hyperlink" Target="https://raw.githubusercontent.com/CainBeaudoin/bb/main/evidence/20260923T093752Z/allbridge_SOL-Base_s2_full.png" TargetMode="External" Id="rId510" /><Relationship Type="http://schemas.openxmlformats.org/officeDocument/2006/relationships/hyperlink" Target="https://raw.githubusercontent.com/CainBeaudoin/bb/main/evidence/20260923T093752Z/cctp_SOL-Base_s2_crop.png" TargetMode="External" Id="rId511" /><Relationship Type="http://schemas.openxmlformats.org/officeDocument/2006/relationships/hyperlink" Target="https://raw.githubusercontent.com/CainBeaudoin/bb/main/evidence/20260923T093752Z/cctp_SOL-Base_s2_full.png" TargetMode="External" Id="rId512" /><Relationship Type="http://schemas.openxmlformats.org/officeDocument/2006/relationships/hyperlink" Target="https://raw.githubusercontent.com/CainBeaudoin/bb/main/evidence/20260923T093752Z/husher_SOL-Base_s2_crop.png" TargetMode="External" Id="rId513" /><Relationship Type="http://schemas.openxmlformats.org/officeDocument/2006/relationships/hyperlink" Target="https://raw.githubusercontent.com/CainBeaudoin/bb/main/evidence/20260923T093752Z/husher_SOL-Base_s2_full.png" TargetMode="External" Id="rId514" /><Relationship Type="http://schemas.openxmlformats.org/officeDocument/2006/relationships/hyperlink" Target="https://raw.githubusercontent.com/CainBeaudoin/bb/main/evidence/20260923T093752Z/layerswap_SOL-Base_s2_crop.png" TargetMode="External" Id="rId515" /><Relationship Type="http://schemas.openxmlformats.org/officeDocument/2006/relationships/hyperlink" Target="https://raw.githubusercontent.com/CainBeaudoin/bb/main/evidence/20260923T093752Z/layerswap_SOL-Base_s2_full.png" TargetMode="External" Id="rId516" /><Relationship Type="http://schemas.openxmlformats.org/officeDocument/2006/relationships/hyperlink" Target="https://raw.githubusercontent.com/CainBeaudoin/bb/main/evidence/20260923T093752Z/meson_SOL-Base_s2_crop.png" TargetMode="External" Id="rId517" /><Relationship Type="http://schemas.openxmlformats.org/officeDocument/2006/relationships/hyperlink" Target="https://raw.githubusercontent.com/CainBeaudoin/bb/main/evidence/20260923T093752Z/meson_SOL-Base_s2_full.png" TargetMode="External" Id="rId518" /><Relationship Type="http://schemas.openxmlformats.org/officeDocument/2006/relationships/hyperlink" Target="https://raw.githubusercontent.com/CainBeaudoin/bb/main/evidence/20260923T093752Z/simpleswap_SOL-Base_s2_crop.png" TargetMode="External" Id="rId519" /><Relationship Type="http://schemas.openxmlformats.org/officeDocument/2006/relationships/hyperlink" Target="https://raw.githubusercontent.com/CainBeaudoin/bb/main/evidence/20260923T093752Z/simpleswap_SOL-Base_s2_full.png" TargetMode="External" Id="rId520" /><Relationship Type="http://schemas.openxmlformats.org/officeDocument/2006/relationships/hyperlink" Target="https://raw.githubusercontent.com/CainBeaudoin/bb/main/evidence/20260923T093752Z/skip-go_SOL-Base_s2_crop.png" TargetMode="External" Id="rId521" /><Relationship Type="http://schemas.openxmlformats.org/officeDocument/2006/relationships/hyperlink" Target="https://raw.githubusercontent.com/CainBeaudoin/bb/main/evidence/20260923T093752Z/skip-go_SOL-Base_s2_full.png" TargetMode="External" Id="rId522" /><Relationship Type="http://schemas.openxmlformats.org/officeDocument/2006/relationships/hyperlink" Target="https://raw.githubusercontent.com/CainBeaudoin/bb/main/evidence/20260923T084919Z/bridg_SOL-Base_s3_crop.png" TargetMode="External" Id="rId523" /><Relationship Type="http://schemas.openxmlformats.org/officeDocument/2006/relationships/hyperlink" Target="https://raw.githubusercontent.com/CainBeaudoin/bb/main/evidence/20260923T084919Z/bridg_SOL-Base_s3_full.png" TargetMode="External" Id="rId524" /><Relationship Type="http://schemas.openxmlformats.org/officeDocument/2006/relationships/hyperlink" Target="https://raw.githubusercontent.com/CainBeaudoin/bb/main/evidence/20260923T093752Z/bridg_SOL-Base_s3_crop.png" TargetMode="External" Id="rId525" /><Relationship Type="http://schemas.openxmlformats.org/officeDocument/2006/relationships/hyperlink" Target="https://raw.githubusercontent.com/CainBeaudoin/bb/main/evidence/20260923T093752Z/bridg_SOL-Base_s3_full.png" TargetMode="External" Id="rId526" /><Relationship Type="http://schemas.openxmlformats.org/officeDocument/2006/relationships/hyperlink" Target="https://raw.githubusercontent.com/CainBeaudoin/bb/main/evidence/20260923T084919Z/relay_SOL-Base_s3_crop.png" TargetMode="External" Id="rId527" /><Relationship Type="http://schemas.openxmlformats.org/officeDocument/2006/relationships/hyperlink" Target="https://raw.githubusercontent.com/CainBeaudoin/bb/main/evidence/20260923T084919Z/relay_SOL-Base_s3_full.png" TargetMode="External" Id="rId528" /><Relationship Type="http://schemas.openxmlformats.org/officeDocument/2006/relationships/hyperlink" Target="https://raw.githubusercontent.com/CainBeaudoin/bb/main/evidence/20260923T093752Z/relay_SOL-Base_s3_crop.png" TargetMode="External" Id="rId529" /><Relationship Type="http://schemas.openxmlformats.org/officeDocument/2006/relationships/hyperlink" Target="https://raw.githubusercontent.com/CainBeaudoin/bb/main/evidence/20260923T093752Z/relay_SOL-Base_s3_full.png" TargetMode="External" Id="rId530" /><Relationship Type="http://schemas.openxmlformats.org/officeDocument/2006/relationships/hyperlink" Target="https://raw.githubusercontent.com/CainBeaudoin/bb/main/evidence/20260923T084919Z/debridge_SOL-Base_s3_crop.png" TargetMode="External" Id="rId531" /><Relationship Type="http://schemas.openxmlformats.org/officeDocument/2006/relationships/hyperlink" Target="https://raw.githubusercontent.com/CainBeaudoin/bb/main/evidence/20260923T084919Z/debridge_SOL-Base_s3_full.png" TargetMode="External" Id="rId532" /><Relationship Type="http://schemas.openxmlformats.org/officeDocument/2006/relationships/hyperlink" Target="https://raw.githubusercontent.com/CainBeaudoin/bb/main/evidence/20260923T093752Z/debridge_SOL-Base_s3_crop.png" TargetMode="External" Id="rId533" /><Relationship Type="http://schemas.openxmlformats.org/officeDocument/2006/relationships/hyperlink" Target="https://raw.githubusercontent.com/CainBeaudoin/bb/main/evidence/20260923T093752Z/debridge_SOL-Base_s3_full.png" TargetMode="External" Id="rId534" /><Relationship Type="http://schemas.openxmlformats.org/officeDocument/2006/relationships/hyperlink" Target="https://raw.githubusercontent.com/CainBeaudoin/bb/main/evidence/20260923T084919Z/lifi_SOL-Base_s3_crop.png" TargetMode="External" Id="rId535" /><Relationship Type="http://schemas.openxmlformats.org/officeDocument/2006/relationships/hyperlink" Target="https://raw.githubusercontent.com/CainBeaudoin/bb/main/evidence/20260923T084919Z/lifi_SOL-Base_s3_full.png" TargetMode="External" Id="rId536" /><Relationship Type="http://schemas.openxmlformats.org/officeDocument/2006/relationships/hyperlink" Target="https://raw.githubusercontent.com/CainBeaudoin/bb/main/evidence/20260923T093752Z/lifi_SOL-Base_s3_crop.png" TargetMode="External" Id="rId537" /><Relationship Type="http://schemas.openxmlformats.org/officeDocument/2006/relationships/hyperlink" Target="https://raw.githubusercontent.com/CainBeaudoin/bb/main/evidence/20260923T093752Z/lifi_SOL-Base_s3_full.png" TargetMode="External" Id="rId538" /><Relationship Type="http://schemas.openxmlformats.org/officeDocument/2006/relationships/hyperlink" Target="https://raw.githubusercontent.com/CainBeaudoin/bb/main/evidence/20260923T084919Z/across_SOL-Base_s3_crop.png" TargetMode="External" Id="rId539" /><Relationship Type="http://schemas.openxmlformats.org/officeDocument/2006/relationships/hyperlink" Target="https://raw.githubusercontent.com/CainBeaudoin/bb/main/evidence/20260923T084919Z/across_SOL-Base_s3_full.png" TargetMode="External" Id="rId540" /><Relationship Type="http://schemas.openxmlformats.org/officeDocument/2006/relationships/hyperlink" Target="https://raw.githubusercontent.com/CainBeaudoin/bb/main/evidence/20260923T093752Z/across_SOL-Base_s3_crop.png" TargetMode="External" Id="rId541" /><Relationship Type="http://schemas.openxmlformats.org/officeDocument/2006/relationships/hyperlink" Target="https://raw.githubusercontent.com/CainBeaudoin/bb/main/evidence/20260923T093752Z/across_SOL-Base_s3_full.png" TargetMode="External" Id="rId542" /><Relationship Type="http://schemas.openxmlformats.org/officeDocument/2006/relationships/hyperlink" Target="https://raw.githubusercontent.com/CainBeaudoin/bb/main/evidence/20260923T084919Z/mayan_SOL-Base_s3_crop.png" TargetMode="External" Id="rId543" /><Relationship Type="http://schemas.openxmlformats.org/officeDocument/2006/relationships/hyperlink" Target="https://raw.githubusercontent.com/CainBeaudoin/bb/main/evidence/20260923T084919Z/mayan_SOL-Base_s3_full.png" TargetMode="External" Id="rId544" /><Relationship Type="http://schemas.openxmlformats.org/officeDocument/2006/relationships/hyperlink" Target="https://raw.githubusercontent.com/CainBeaudoin/bb/main/evidence/20260923T093752Z/mayan_SOL-Base_s3_crop.png" TargetMode="External" Id="rId545" /><Relationship Type="http://schemas.openxmlformats.org/officeDocument/2006/relationships/hyperlink" Target="https://raw.githubusercontent.com/CainBeaudoin/bb/main/evidence/20260923T093752Z/mayan_SOL-Base_s3_full.png" TargetMode="External" Id="rId546" /><Relationship Type="http://schemas.openxmlformats.org/officeDocument/2006/relationships/hyperlink" Target="https://raw.githubusercontent.com/CainBeaudoin/bb/main/evidence/20260923T093752Z/allbridge_SOL-Base_s3_crop.png" TargetMode="External" Id="rId547" /><Relationship Type="http://schemas.openxmlformats.org/officeDocument/2006/relationships/hyperlink" Target="https://raw.githubusercontent.com/CainBeaudoin/bb/main/evidence/20260923T093752Z/allbridge_SOL-Base_s3_full.png" TargetMode="External" Id="rId548" /><Relationship Type="http://schemas.openxmlformats.org/officeDocument/2006/relationships/hyperlink" Target="https://raw.githubusercontent.com/CainBeaudoin/bb/main/evidence/20260923T093752Z/cctp_SOL-Base_s3_crop.png" TargetMode="External" Id="rId549" /><Relationship Type="http://schemas.openxmlformats.org/officeDocument/2006/relationships/hyperlink" Target="https://raw.githubusercontent.com/CainBeaudoin/bb/main/evidence/20260923T093752Z/cctp_SOL-Base_s3_full.png" TargetMode="External" Id="rId550" /><Relationship Type="http://schemas.openxmlformats.org/officeDocument/2006/relationships/hyperlink" Target="https://raw.githubusercontent.com/CainBeaudoin/bb/main/evidence/20260923T093752Z/husher_SOL-Base_s3_crop.png" TargetMode="External" Id="rId551" /><Relationship Type="http://schemas.openxmlformats.org/officeDocument/2006/relationships/hyperlink" Target="https://raw.githubusercontent.com/CainBeaudoin/bb/main/evidence/20260923T093752Z/husher_SOL-Base_s3_full.png" TargetMode="External" Id="rId552" /><Relationship Type="http://schemas.openxmlformats.org/officeDocument/2006/relationships/hyperlink" Target="https://raw.githubusercontent.com/CainBeaudoin/bb/main/evidence/20260923T093752Z/layerswap_SOL-Base_s3_crop.png" TargetMode="External" Id="rId553" /><Relationship Type="http://schemas.openxmlformats.org/officeDocument/2006/relationships/hyperlink" Target="https://raw.githubusercontent.com/CainBeaudoin/bb/main/evidence/20260923T093752Z/layerswap_SOL-Base_s3_full.png" TargetMode="External" Id="rId554" /><Relationship Type="http://schemas.openxmlformats.org/officeDocument/2006/relationships/hyperlink" Target="https://raw.githubusercontent.com/CainBeaudoin/bb/main/evidence/20260923T093752Z/meson_SOL-Base_s3_crop.png" TargetMode="External" Id="rId555" /><Relationship Type="http://schemas.openxmlformats.org/officeDocument/2006/relationships/hyperlink" Target="https://raw.githubusercontent.com/CainBeaudoin/bb/main/evidence/20260923T093752Z/meson_SOL-Base_s3_full.png" TargetMode="External" Id="rId556" /><Relationship Type="http://schemas.openxmlformats.org/officeDocument/2006/relationships/hyperlink" Target="https://raw.githubusercontent.com/CainBeaudoin/bb/main/evidence/20260923T093752Z/simpleswap_SOL-Base_s3_crop.png" TargetMode="External" Id="rId557" /><Relationship Type="http://schemas.openxmlformats.org/officeDocument/2006/relationships/hyperlink" Target="https://raw.githubusercontent.com/CainBeaudoin/bb/main/evidence/20260923T093752Z/simpleswap_SOL-Base_s3_full.png" TargetMode="External" Id="rId558" /><Relationship Type="http://schemas.openxmlformats.org/officeDocument/2006/relationships/hyperlink" Target="https://raw.githubusercontent.com/CainBeaudoin/bb/main/evidence/20260923T093752Z/skip-go_SOL-Base_s3_crop.png" TargetMode="External" Id="rId559" /><Relationship Type="http://schemas.openxmlformats.org/officeDocument/2006/relationships/hyperlink" Target="https://raw.githubusercontent.com/CainBeaudoin/bb/main/evidence/20260923T093752Z/skip-go_SOL-Base_s3_full.png" TargetMode="External" Id="rId560" /><Relationship Type="http://schemas.openxmlformats.org/officeDocument/2006/relationships/hyperlink" Target="https://raw.githubusercontent.com/CainBeaudoin/bb/main/evidence/20260923T084919Z/bridg_Base-SOL_s1_crop.png" TargetMode="External" Id="rId561" /><Relationship Type="http://schemas.openxmlformats.org/officeDocument/2006/relationships/hyperlink" Target="https://raw.githubusercontent.com/CainBeaudoin/bb/main/evidence/20260923T084919Z/bridg_Base-SOL_s1_full.png" TargetMode="External" Id="rId562" /><Relationship Type="http://schemas.openxmlformats.org/officeDocument/2006/relationships/hyperlink" Target="https://raw.githubusercontent.com/CainBeaudoin/bb/main/evidence/20260923T093752Z/bridg_Base-SOL_s1_crop.png" TargetMode="External" Id="rId563" /><Relationship Type="http://schemas.openxmlformats.org/officeDocument/2006/relationships/hyperlink" Target="https://raw.githubusercontent.com/CainBeaudoin/bb/main/evidence/20260923T093752Z/bridg_Base-SOL_s1_full.png" TargetMode="External" Id="rId564" /><Relationship Type="http://schemas.openxmlformats.org/officeDocument/2006/relationships/hyperlink" Target="https://raw.githubusercontent.com/CainBeaudoin/bb/main/evidence/20260923T084919Z/relay_Base-SOL_s1_crop.png" TargetMode="External" Id="rId565" /><Relationship Type="http://schemas.openxmlformats.org/officeDocument/2006/relationships/hyperlink" Target="https://raw.githubusercontent.com/CainBeaudoin/bb/main/evidence/20260923T084919Z/relay_Base-SOL_s1_full.png" TargetMode="External" Id="rId566" /><Relationship Type="http://schemas.openxmlformats.org/officeDocument/2006/relationships/hyperlink" Target="https://raw.githubusercontent.com/CainBeaudoin/bb/main/evidence/20260923T093752Z/relay_Base-SOL_s1_crop.png" TargetMode="External" Id="rId567" /><Relationship Type="http://schemas.openxmlformats.org/officeDocument/2006/relationships/hyperlink" Target="https://raw.githubusercontent.com/CainBeaudoin/bb/main/evidence/20260923T093752Z/relay_Base-SOL_s1_full.png" TargetMode="External" Id="rId568" /><Relationship Type="http://schemas.openxmlformats.org/officeDocument/2006/relationships/hyperlink" Target="https://raw.githubusercontent.com/CainBeaudoin/bb/main/evidence/20260923T084919Z/debridge_Base-SOL_s1_crop.png" TargetMode="External" Id="rId569" /><Relationship Type="http://schemas.openxmlformats.org/officeDocument/2006/relationships/hyperlink" Target="https://raw.githubusercontent.com/CainBeaudoin/bb/main/evidence/20260923T084919Z/debridge_Base-SOL_s1_full.png" TargetMode="External" Id="rId570" /><Relationship Type="http://schemas.openxmlformats.org/officeDocument/2006/relationships/hyperlink" Target="https://raw.githubusercontent.com/CainBeaudoin/bb/main/evidence/20260923T093752Z/debridge_Base-SOL_s1_crop.png" TargetMode="External" Id="rId571" /><Relationship Type="http://schemas.openxmlformats.org/officeDocument/2006/relationships/hyperlink" Target="https://raw.githubusercontent.com/CainBeaudoin/bb/main/evidence/20260923T093752Z/debridge_Base-SOL_s1_full.png" TargetMode="External" Id="rId572" /><Relationship Type="http://schemas.openxmlformats.org/officeDocument/2006/relationships/hyperlink" Target="https://raw.githubusercontent.com/CainBeaudoin/bb/main/evidence/20260923T084919Z/lifi_Base-SOL_s1_crop.png" TargetMode="External" Id="rId573" /><Relationship Type="http://schemas.openxmlformats.org/officeDocument/2006/relationships/hyperlink" Target="https://raw.githubusercontent.com/CainBeaudoin/bb/main/evidence/20260923T084919Z/lifi_Base-SOL_s1_full.png" TargetMode="External" Id="rId574" /><Relationship Type="http://schemas.openxmlformats.org/officeDocument/2006/relationships/hyperlink" Target="https://raw.githubusercontent.com/CainBeaudoin/bb/main/evidence/20260923T093752Z/lifi_Base-SOL_s1_crop.png" TargetMode="External" Id="rId575" /><Relationship Type="http://schemas.openxmlformats.org/officeDocument/2006/relationships/hyperlink" Target="https://raw.githubusercontent.com/CainBeaudoin/bb/main/evidence/20260923T093752Z/lifi_Base-SOL_s1_full.png" TargetMode="External" Id="rId576" /><Relationship Type="http://schemas.openxmlformats.org/officeDocument/2006/relationships/hyperlink" Target="https://raw.githubusercontent.com/CainBeaudoin/bb/main/evidence/20260923T084919Z/across_Base-SOL_s1_crop.png" TargetMode="External" Id="rId577" /><Relationship Type="http://schemas.openxmlformats.org/officeDocument/2006/relationships/hyperlink" Target="https://raw.githubusercontent.com/CainBeaudoin/bb/main/evidence/20260923T084919Z/across_Base-SOL_s1_full.png" TargetMode="External" Id="rId578" /><Relationship Type="http://schemas.openxmlformats.org/officeDocument/2006/relationships/hyperlink" Target="https://raw.githubusercontent.com/CainBeaudoin/bb/main/evidence/20260923T093752Z/across_Base-SOL_s1_crop.png" TargetMode="External" Id="rId579" /><Relationship Type="http://schemas.openxmlformats.org/officeDocument/2006/relationships/hyperlink" Target="https://raw.githubusercontent.com/CainBeaudoin/bb/main/evidence/20260923T093752Z/across_Base-SOL_s1_full.png" TargetMode="External" Id="rId580" /><Relationship Type="http://schemas.openxmlformats.org/officeDocument/2006/relationships/hyperlink" Target="https://raw.githubusercontent.com/CainBeaudoin/bb/main/evidence/20260923T084919Z/mayan_Base-SOL_s1_crop.png" TargetMode="External" Id="rId581" /><Relationship Type="http://schemas.openxmlformats.org/officeDocument/2006/relationships/hyperlink" Target="https://raw.githubusercontent.com/CainBeaudoin/bb/main/evidence/20260923T084919Z/mayan_Base-SOL_s1_full.png" TargetMode="External" Id="rId582" /><Relationship Type="http://schemas.openxmlformats.org/officeDocument/2006/relationships/hyperlink" Target="https://raw.githubusercontent.com/CainBeaudoin/bb/main/evidence/20260923T093752Z/mayan_Base-SOL_s1_crop.png" TargetMode="External" Id="rId583" /><Relationship Type="http://schemas.openxmlformats.org/officeDocument/2006/relationships/hyperlink" Target="https://raw.githubusercontent.com/CainBeaudoin/bb/main/evidence/20260923T093752Z/mayan_Base-SOL_s1_full.png" TargetMode="External" Id="rId584" /><Relationship Type="http://schemas.openxmlformats.org/officeDocument/2006/relationships/hyperlink" Target="https://raw.githubusercontent.com/CainBeaudoin/bb/main/evidence/20260923T093752Z/allbridge_Base-SOL_s1_crop.png" TargetMode="External" Id="rId585" /><Relationship Type="http://schemas.openxmlformats.org/officeDocument/2006/relationships/hyperlink" Target="https://raw.githubusercontent.com/CainBeaudoin/bb/main/evidence/20260923T093752Z/allbridge_Base-SOL_s1_full.png" TargetMode="External" Id="rId586" /><Relationship Type="http://schemas.openxmlformats.org/officeDocument/2006/relationships/hyperlink" Target="https://raw.githubusercontent.com/CainBeaudoin/bb/main/evidence/20260923T093752Z/cctp_Base-SOL_s1_crop.png" TargetMode="External" Id="rId587" /><Relationship Type="http://schemas.openxmlformats.org/officeDocument/2006/relationships/hyperlink" Target="https://raw.githubusercontent.com/CainBeaudoin/bb/main/evidence/20260923T093752Z/cctp_Base-SOL_s1_full.png" TargetMode="External" Id="rId588" /><Relationship Type="http://schemas.openxmlformats.org/officeDocument/2006/relationships/hyperlink" Target="https://raw.githubusercontent.com/CainBeaudoin/bb/main/evidence/20260923T093752Z/husher_Base-SOL_s1_crop.png" TargetMode="External" Id="rId589" /><Relationship Type="http://schemas.openxmlformats.org/officeDocument/2006/relationships/hyperlink" Target="https://raw.githubusercontent.com/CainBeaudoin/bb/main/evidence/20260923T093752Z/husher_Base-SOL_s1_full.png" TargetMode="External" Id="rId590" /><Relationship Type="http://schemas.openxmlformats.org/officeDocument/2006/relationships/hyperlink" Target="https://raw.githubusercontent.com/CainBeaudoin/bb/main/evidence/20260923T093752Z/layerswap_Base-SOL_s1_crop.png" TargetMode="External" Id="rId591" /><Relationship Type="http://schemas.openxmlformats.org/officeDocument/2006/relationships/hyperlink" Target="https://raw.githubusercontent.com/CainBeaudoin/bb/main/evidence/20260923T093752Z/layerswap_Base-SOL_s1_full.png" TargetMode="External" Id="rId592" /><Relationship Type="http://schemas.openxmlformats.org/officeDocument/2006/relationships/hyperlink" Target="https://raw.githubusercontent.com/CainBeaudoin/bb/main/evidence/20260923T093752Z/meson_Base-SOL_s1_crop.png" TargetMode="External" Id="rId593" /><Relationship Type="http://schemas.openxmlformats.org/officeDocument/2006/relationships/hyperlink" Target="https://raw.githubusercontent.com/CainBeaudoin/bb/main/evidence/20260923T093752Z/meson_Base-SOL_s1_full.png" TargetMode="External" Id="rId594" /><Relationship Type="http://schemas.openxmlformats.org/officeDocument/2006/relationships/hyperlink" Target="https://raw.githubusercontent.com/CainBeaudoin/bb/main/evidence/20260923T093752Z/skip-go_Base-SOL_s1_crop.png" TargetMode="External" Id="rId595" /><Relationship Type="http://schemas.openxmlformats.org/officeDocument/2006/relationships/hyperlink" Target="https://raw.githubusercontent.com/CainBeaudoin/bb/main/evidence/20260923T093752Z/skip-go_Base-SOL_s1_full.png" TargetMode="External" Id="rId596" /><Relationship Type="http://schemas.openxmlformats.org/officeDocument/2006/relationships/hyperlink" Target="https://raw.githubusercontent.com/CainBeaudoin/bb/main/evidence/20260923T093752Z/symbiosis_Base-SOL_s1_crop.png" TargetMode="External" Id="rId597" /><Relationship Type="http://schemas.openxmlformats.org/officeDocument/2006/relationships/hyperlink" Target="https://raw.githubusercontent.com/CainBeaudoin/bb/main/evidence/20260923T093752Z/symbiosis_Base-SOL_s1_full.png" TargetMode="External" Id="rId598" /><Relationship Type="http://schemas.openxmlformats.org/officeDocument/2006/relationships/hyperlink" Target="https://raw.githubusercontent.com/CainBeaudoin/bb/main/evidence/20260923T084919Z/bridg_Base-SOL_s2_crop.png" TargetMode="External" Id="rId599" /><Relationship Type="http://schemas.openxmlformats.org/officeDocument/2006/relationships/hyperlink" Target="https://raw.githubusercontent.com/CainBeaudoin/bb/main/evidence/20260923T084919Z/bridg_Base-SOL_s2_full.png" TargetMode="External" Id="rId600" /><Relationship Type="http://schemas.openxmlformats.org/officeDocument/2006/relationships/hyperlink" Target="https://raw.githubusercontent.com/CainBeaudoin/bb/main/evidence/20260923T093752Z/bridg_Base-SOL_s2_crop.png" TargetMode="External" Id="rId601" /><Relationship Type="http://schemas.openxmlformats.org/officeDocument/2006/relationships/hyperlink" Target="https://raw.githubusercontent.com/CainBeaudoin/bb/main/evidence/20260923T093752Z/bridg_Base-SOL_s2_full.png" TargetMode="External" Id="rId602" /><Relationship Type="http://schemas.openxmlformats.org/officeDocument/2006/relationships/hyperlink" Target="https://raw.githubusercontent.com/CainBeaudoin/bb/main/evidence/20260923T084919Z/relay_Base-SOL_s2_crop.png" TargetMode="External" Id="rId603" /><Relationship Type="http://schemas.openxmlformats.org/officeDocument/2006/relationships/hyperlink" Target="https://raw.githubusercontent.com/CainBeaudoin/bb/main/evidence/20260923T084919Z/relay_Base-SOL_s2_full.png" TargetMode="External" Id="rId604" /><Relationship Type="http://schemas.openxmlformats.org/officeDocument/2006/relationships/hyperlink" Target="https://raw.githubusercontent.com/CainBeaudoin/bb/main/evidence/20260923T093752Z/relay_Base-SOL_s2_crop.png" TargetMode="External" Id="rId605" /><Relationship Type="http://schemas.openxmlformats.org/officeDocument/2006/relationships/hyperlink" Target="https://raw.githubusercontent.com/CainBeaudoin/bb/main/evidence/20260923T093752Z/relay_Base-SOL_s2_full.png" TargetMode="External" Id="rId606" /><Relationship Type="http://schemas.openxmlformats.org/officeDocument/2006/relationships/hyperlink" Target="https://raw.githubusercontent.com/CainBeaudoin/bb/main/evidence/20260923T084919Z/debridge_Base-SOL_s2_crop.png" TargetMode="External" Id="rId607" /><Relationship Type="http://schemas.openxmlformats.org/officeDocument/2006/relationships/hyperlink" Target="https://raw.githubusercontent.com/CainBeaudoin/bb/main/evidence/20260923T084919Z/debridge_Base-SOL_s2_full.png" TargetMode="External" Id="rId608" /><Relationship Type="http://schemas.openxmlformats.org/officeDocument/2006/relationships/hyperlink" Target="https://raw.githubusercontent.com/CainBeaudoin/bb/main/evidence/20260923T093752Z/debridge_Base-SOL_s2_crop.png" TargetMode="External" Id="rId609" /><Relationship Type="http://schemas.openxmlformats.org/officeDocument/2006/relationships/hyperlink" Target="https://raw.githubusercontent.com/CainBeaudoin/bb/main/evidence/20260923T093752Z/debridge_Base-SOL_s2_full.png" TargetMode="External" Id="rId610" /><Relationship Type="http://schemas.openxmlformats.org/officeDocument/2006/relationships/hyperlink" Target="https://raw.githubusercontent.com/CainBeaudoin/bb/main/evidence/20260923T084919Z/lifi_Base-SOL_s2_crop.png" TargetMode="External" Id="rId611" /><Relationship Type="http://schemas.openxmlformats.org/officeDocument/2006/relationships/hyperlink" Target="https://raw.githubusercontent.com/CainBeaudoin/bb/main/evidence/20260923T084919Z/lifi_Base-SOL_s2_full.png" TargetMode="External" Id="rId612" /><Relationship Type="http://schemas.openxmlformats.org/officeDocument/2006/relationships/hyperlink" Target="https://raw.githubusercontent.com/CainBeaudoin/bb/main/evidence/20260923T093752Z/lifi_Base-SOL_s2_crop.png" TargetMode="External" Id="rId613" /><Relationship Type="http://schemas.openxmlformats.org/officeDocument/2006/relationships/hyperlink" Target="https://raw.githubusercontent.com/CainBeaudoin/bb/main/evidence/20260923T093752Z/lifi_Base-SOL_s2_full.png" TargetMode="External" Id="rId614" /><Relationship Type="http://schemas.openxmlformats.org/officeDocument/2006/relationships/hyperlink" Target="https://raw.githubusercontent.com/CainBeaudoin/bb/main/evidence/20260923T084919Z/across_Base-SOL_s2_crop.png" TargetMode="External" Id="rId615" /><Relationship Type="http://schemas.openxmlformats.org/officeDocument/2006/relationships/hyperlink" Target="https://raw.githubusercontent.com/CainBeaudoin/bb/main/evidence/20260923T084919Z/across_Base-SOL_s2_full.png" TargetMode="External" Id="rId616" /><Relationship Type="http://schemas.openxmlformats.org/officeDocument/2006/relationships/hyperlink" Target="https://raw.githubusercontent.com/CainBeaudoin/bb/main/evidence/20260923T093752Z/across_Base-SOL_s2_crop.png" TargetMode="External" Id="rId617" /><Relationship Type="http://schemas.openxmlformats.org/officeDocument/2006/relationships/hyperlink" Target="https://raw.githubusercontent.com/CainBeaudoin/bb/main/evidence/20260923T093752Z/across_Base-SOL_s2_full.png" TargetMode="External" Id="rId618" /><Relationship Type="http://schemas.openxmlformats.org/officeDocument/2006/relationships/hyperlink" Target="https://raw.githubusercontent.com/CainBeaudoin/bb/main/evidence/20260923T084919Z/mayan_Base-SOL_s2_crop.png" TargetMode="External" Id="rId619" /><Relationship Type="http://schemas.openxmlformats.org/officeDocument/2006/relationships/hyperlink" Target="https://raw.githubusercontent.com/CainBeaudoin/bb/main/evidence/20260923T084919Z/mayan_Base-SOL_s2_full.png" TargetMode="External" Id="rId620" /><Relationship Type="http://schemas.openxmlformats.org/officeDocument/2006/relationships/hyperlink" Target="https://raw.githubusercontent.com/CainBeaudoin/bb/main/evidence/20260923T093752Z/mayan_Base-SOL_s2_crop.png" TargetMode="External" Id="rId621" /><Relationship Type="http://schemas.openxmlformats.org/officeDocument/2006/relationships/hyperlink" Target="https://raw.githubusercontent.com/CainBeaudoin/bb/main/evidence/20260923T093752Z/mayan_Base-SOL_s2_full.png" TargetMode="External" Id="rId622" /><Relationship Type="http://schemas.openxmlformats.org/officeDocument/2006/relationships/hyperlink" Target="https://raw.githubusercontent.com/CainBeaudoin/bb/main/evidence/20260923T093752Z/allbridge_Base-SOL_s2_crop.png" TargetMode="External" Id="rId623" /><Relationship Type="http://schemas.openxmlformats.org/officeDocument/2006/relationships/hyperlink" Target="https://raw.githubusercontent.com/CainBeaudoin/bb/main/evidence/20260923T093752Z/allbridge_Base-SOL_s2_full.png" TargetMode="External" Id="rId624" /><Relationship Type="http://schemas.openxmlformats.org/officeDocument/2006/relationships/hyperlink" Target="https://raw.githubusercontent.com/CainBeaudoin/bb/main/evidence/20260923T093752Z/cctp_Base-SOL_s2_crop.png" TargetMode="External" Id="rId625" /><Relationship Type="http://schemas.openxmlformats.org/officeDocument/2006/relationships/hyperlink" Target="https://raw.githubusercontent.com/CainBeaudoin/bb/main/evidence/20260923T093752Z/cctp_Base-SOL_s2_full.png" TargetMode="External" Id="rId626" /><Relationship Type="http://schemas.openxmlformats.org/officeDocument/2006/relationships/hyperlink" Target="https://raw.githubusercontent.com/CainBeaudoin/bb/main/evidence/20260923T093752Z/husher_Base-SOL_s2_crop.png" TargetMode="External" Id="rId627" /><Relationship Type="http://schemas.openxmlformats.org/officeDocument/2006/relationships/hyperlink" Target="https://raw.githubusercontent.com/CainBeaudoin/bb/main/evidence/20260923T093752Z/husher_Base-SOL_s2_full.png" TargetMode="External" Id="rId628" /><Relationship Type="http://schemas.openxmlformats.org/officeDocument/2006/relationships/hyperlink" Target="https://raw.githubusercontent.com/CainBeaudoin/bb/main/evidence/20260923T093752Z/layerswap_Base-SOL_s2_crop.png" TargetMode="External" Id="rId629" /><Relationship Type="http://schemas.openxmlformats.org/officeDocument/2006/relationships/hyperlink" Target="https://raw.githubusercontent.com/CainBeaudoin/bb/main/evidence/20260923T093752Z/layerswap_Base-SOL_s2_full.png" TargetMode="External" Id="rId630" /><Relationship Type="http://schemas.openxmlformats.org/officeDocument/2006/relationships/hyperlink" Target="https://raw.githubusercontent.com/CainBeaudoin/bb/main/evidence/20260923T093752Z/meson_Base-SOL_s2_crop.png" TargetMode="External" Id="rId631" /><Relationship Type="http://schemas.openxmlformats.org/officeDocument/2006/relationships/hyperlink" Target="https://raw.githubusercontent.com/CainBeaudoin/bb/main/evidence/20260923T093752Z/meson_Base-SOL_s2_full.png" TargetMode="External" Id="rId632" /><Relationship Type="http://schemas.openxmlformats.org/officeDocument/2006/relationships/hyperlink" Target="https://raw.githubusercontent.com/CainBeaudoin/bb/main/evidence/20260923T093752Z/skip-go_Base-SOL_s2_crop.png" TargetMode="External" Id="rId633" /><Relationship Type="http://schemas.openxmlformats.org/officeDocument/2006/relationships/hyperlink" Target="https://raw.githubusercontent.com/CainBeaudoin/bb/main/evidence/20260923T093752Z/skip-go_Base-SOL_s2_full.png" TargetMode="External" Id="rId634" /><Relationship Type="http://schemas.openxmlformats.org/officeDocument/2006/relationships/hyperlink" Target="https://raw.githubusercontent.com/CainBeaudoin/bb/main/evidence/20260923T093752Z/symbiosis_Base-SOL_s2_crop.png" TargetMode="External" Id="rId635" /><Relationship Type="http://schemas.openxmlformats.org/officeDocument/2006/relationships/hyperlink" Target="https://raw.githubusercontent.com/CainBeaudoin/bb/main/evidence/20260923T093752Z/symbiosis_Base-SOL_s2_full.png" TargetMode="External" Id="rId636" /><Relationship Type="http://schemas.openxmlformats.org/officeDocument/2006/relationships/hyperlink" Target="https://raw.githubusercontent.com/CainBeaudoin/bb/main/evidence/20260923T084919Z/bridg_Base-SOL_s3_crop.png" TargetMode="External" Id="rId637" /><Relationship Type="http://schemas.openxmlformats.org/officeDocument/2006/relationships/hyperlink" Target="https://raw.githubusercontent.com/CainBeaudoin/bb/main/evidence/20260923T084919Z/bridg_Base-SOL_s3_full.png" TargetMode="External" Id="rId638" /><Relationship Type="http://schemas.openxmlformats.org/officeDocument/2006/relationships/hyperlink" Target="https://raw.githubusercontent.com/CainBeaudoin/bb/main/evidence/20260923T093752Z/bridg_Base-SOL_s3_crop.png" TargetMode="External" Id="rId639" /><Relationship Type="http://schemas.openxmlformats.org/officeDocument/2006/relationships/hyperlink" Target="https://raw.githubusercontent.com/CainBeaudoin/bb/main/evidence/20260923T093752Z/bridg_Base-SOL_s3_full.png" TargetMode="External" Id="rId640" /><Relationship Type="http://schemas.openxmlformats.org/officeDocument/2006/relationships/hyperlink" Target="https://raw.githubusercontent.com/CainBeaudoin/bb/main/evidence/20260923T084919Z/relay_Base-SOL_s3_crop.png" TargetMode="External" Id="rId641" /><Relationship Type="http://schemas.openxmlformats.org/officeDocument/2006/relationships/hyperlink" Target="https://raw.githubusercontent.com/CainBeaudoin/bb/main/evidence/20260923T084919Z/relay_Base-SOL_s3_full.png" TargetMode="External" Id="rId642" /><Relationship Type="http://schemas.openxmlformats.org/officeDocument/2006/relationships/hyperlink" Target="https://raw.githubusercontent.com/CainBeaudoin/bb/main/evidence/20260923T093752Z/relay_Base-SOL_s3_crop.png" TargetMode="External" Id="rId643" /><Relationship Type="http://schemas.openxmlformats.org/officeDocument/2006/relationships/hyperlink" Target="https://raw.githubusercontent.com/CainBeaudoin/bb/main/evidence/20260923T093752Z/relay_Base-SOL_s3_full.png" TargetMode="External" Id="rId644" /><Relationship Type="http://schemas.openxmlformats.org/officeDocument/2006/relationships/hyperlink" Target="https://raw.githubusercontent.com/CainBeaudoin/bb/main/evidence/20260923T084919Z/debridge_Base-SOL_s3_crop.png" TargetMode="External" Id="rId645" /><Relationship Type="http://schemas.openxmlformats.org/officeDocument/2006/relationships/hyperlink" Target="https://raw.githubusercontent.com/CainBeaudoin/bb/main/evidence/20260923T084919Z/debridge_Base-SOL_s3_full.png" TargetMode="External" Id="rId646" /><Relationship Type="http://schemas.openxmlformats.org/officeDocument/2006/relationships/hyperlink" Target="https://raw.githubusercontent.com/CainBeaudoin/bb/main/evidence/20260923T093752Z/debridge_Base-SOL_s3_crop.png" TargetMode="External" Id="rId647" /><Relationship Type="http://schemas.openxmlformats.org/officeDocument/2006/relationships/hyperlink" Target="https://raw.githubusercontent.com/CainBeaudoin/bb/main/evidence/20260923T093752Z/debridge_Base-SOL_s3_full.png" TargetMode="External" Id="rId648" /><Relationship Type="http://schemas.openxmlformats.org/officeDocument/2006/relationships/hyperlink" Target="https://raw.githubusercontent.com/CainBeaudoin/bb/main/evidence/20260923T084919Z/lifi_Base-SOL_s3_crop.png" TargetMode="External" Id="rId649" /><Relationship Type="http://schemas.openxmlformats.org/officeDocument/2006/relationships/hyperlink" Target="https://raw.githubusercontent.com/CainBeaudoin/bb/main/evidence/20260923T084919Z/lifi_Base-SOL_s3_full.png" TargetMode="External" Id="rId650" /><Relationship Type="http://schemas.openxmlformats.org/officeDocument/2006/relationships/hyperlink" Target="https://raw.githubusercontent.com/CainBeaudoin/bb/main/evidence/20260923T093752Z/lifi_Base-SOL_s3_crop.png" TargetMode="External" Id="rId651" /><Relationship Type="http://schemas.openxmlformats.org/officeDocument/2006/relationships/hyperlink" Target="https://raw.githubusercontent.com/CainBeaudoin/bb/main/evidence/20260923T093752Z/lifi_Base-SOL_s3_full.png" TargetMode="External" Id="rId652" /><Relationship Type="http://schemas.openxmlformats.org/officeDocument/2006/relationships/hyperlink" Target="https://raw.githubusercontent.com/CainBeaudoin/bb/main/evidence/20260923T084919Z/across_Base-SOL_s3_crop.png" TargetMode="External" Id="rId653" /><Relationship Type="http://schemas.openxmlformats.org/officeDocument/2006/relationships/hyperlink" Target="https://raw.githubusercontent.com/CainBeaudoin/bb/main/evidence/20260923T084919Z/across_Base-SOL_s3_full.png" TargetMode="External" Id="rId654" /><Relationship Type="http://schemas.openxmlformats.org/officeDocument/2006/relationships/hyperlink" Target="https://raw.githubusercontent.com/CainBeaudoin/bb/main/evidence/20260923T093752Z/across_Base-SOL_s3_crop.png" TargetMode="External" Id="rId655" /><Relationship Type="http://schemas.openxmlformats.org/officeDocument/2006/relationships/hyperlink" Target="https://raw.githubusercontent.com/CainBeaudoin/bb/main/evidence/20260923T093752Z/across_Base-SOL_s3_full.png" TargetMode="External" Id="rId656" /><Relationship Type="http://schemas.openxmlformats.org/officeDocument/2006/relationships/hyperlink" Target="https://raw.githubusercontent.com/CainBeaudoin/bb/main/evidence/20260923T084919Z/mayan_Base-SOL_s3_crop.png" TargetMode="External" Id="rId657" /><Relationship Type="http://schemas.openxmlformats.org/officeDocument/2006/relationships/hyperlink" Target="https://raw.githubusercontent.com/CainBeaudoin/bb/main/evidence/20260923T084919Z/mayan_Base-SOL_s3_full.png" TargetMode="External" Id="rId658" /><Relationship Type="http://schemas.openxmlformats.org/officeDocument/2006/relationships/hyperlink" Target="https://raw.githubusercontent.com/CainBeaudoin/bb/main/evidence/20260923T093752Z/mayan_Base-SOL_s3_crop.png" TargetMode="External" Id="rId659" /><Relationship Type="http://schemas.openxmlformats.org/officeDocument/2006/relationships/hyperlink" Target="https://raw.githubusercontent.com/CainBeaudoin/bb/main/evidence/20260923T093752Z/mayan_Base-SOL_s3_full.png" TargetMode="External" Id="rId660" /><Relationship Type="http://schemas.openxmlformats.org/officeDocument/2006/relationships/hyperlink" Target="https://raw.githubusercontent.com/CainBeaudoin/bb/main/evidence/20260923T093752Z/allbridge_Base-SOL_s3_crop.png" TargetMode="External" Id="rId661" /><Relationship Type="http://schemas.openxmlformats.org/officeDocument/2006/relationships/hyperlink" Target="https://raw.githubusercontent.com/CainBeaudoin/bb/main/evidence/20260923T093752Z/allbridge_Base-SOL_s3_full.png" TargetMode="External" Id="rId662" /><Relationship Type="http://schemas.openxmlformats.org/officeDocument/2006/relationships/hyperlink" Target="https://raw.githubusercontent.com/CainBeaudoin/bb/main/evidence/20260923T093752Z/cctp_Base-SOL_s3_crop.png" TargetMode="External" Id="rId663" /><Relationship Type="http://schemas.openxmlformats.org/officeDocument/2006/relationships/hyperlink" Target="https://raw.githubusercontent.com/CainBeaudoin/bb/main/evidence/20260923T093752Z/cctp_Base-SOL_s3_full.png" TargetMode="External" Id="rId664" /><Relationship Type="http://schemas.openxmlformats.org/officeDocument/2006/relationships/hyperlink" Target="https://raw.githubusercontent.com/CainBeaudoin/bb/main/evidence/20260923T093752Z/husher_Base-SOL_s3_crop.png" TargetMode="External" Id="rId665" /><Relationship Type="http://schemas.openxmlformats.org/officeDocument/2006/relationships/hyperlink" Target="https://raw.githubusercontent.com/CainBeaudoin/bb/main/evidence/20260923T093752Z/husher_Base-SOL_s3_full.png" TargetMode="External" Id="rId666" /><Relationship Type="http://schemas.openxmlformats.org/officeDocument/2006/relationships/hyperlink" Target="https://raw.githubusercontent.com/CainBeaudoin/bb/main/evidence/20260923T093752Z/layerswap_Base-SOL_s3_crop.png" TargetMode="External" Id="rId667" /><Relationship Type="http://schemas.openxmlformats.org/officeDocument/2006/relationships/hyperlink" Target="https://raw.githubusercontent.com/CainBeaudoin/bb/main/evidence/20260923T093752Z/layerswap_Base-SOL_s3_full.png" TargetMode="External" Id="rId668" /><Relationship Type="http://schemas.openxmlformats.org/officeDocument/2006/relationships/hyperlink" Target="https://raw.githubusercontent.com/CainBeaudoin/bb/main/evidence/20260923T093752Z/meson_Base-SOL_s3_crop.png" TargetMode="External" Id="rId669" /><Relationship Type="http://schemas.openxmlformats.org/officeDocument/2006/relationships/hyperlink" Target="https://raw.githubusercontent.com/CainBeaudoin/bb/main/evidence/20260923T093752Z/meson_Base-SOL_s3_full.png" TargetMode="External" Id="rId670" /><Relationship Type="http://schemas.openxmlformats.org/officeDocument/2006/relationships/hyperlink" Target="https://raw.githubusercontent.com/CainBeaudoin/bb/main/evidence/20260923T093752Z/simpleswap_Base-SOL_s3_crop.png" TargetMode="External" Id="rId671" /><Relationship Type="http://schemas.openxmlformats.org/officeDocument/2006/relationships/hyperlink" Target="https://raw.githubusercontent.com/CainBeaudoin/bb/main/evidence/20260923T093752Z/simpleswap_Base-SOL_s3_full.png" TargetMode="External" Id="rId672" /><Relationship Type="http://schemas.openxmlformats.org/officeDocument/2006/relationships/hyperlink" Target="https://raw.githubusercontent.com/CainBeaudoin/bb/main/evidence/20260923T093752Z/skip-go_Base-SOL_s3_crop.png" TargetMode="External" Id="rId673" /><Relationship Type="http://schemas.openxmlformats.org/officeDocument/2006/relationships/hyperlink" Target="https://raw.githubusercontent.com/CainBeaudoin/bb/main/evidence/20260923T093752Z/skip-go_Base-SOL_s3_full.png" TargetMode="External" Id="rId674" /><Relationship Type="http://schemas.openxmlformats.org/officeDocument/2006/relationships/hyperlink" Target="https://raw.githubusercontent.com/CainBeaudoin/bb/main/evidence/20260923T093752Z/symbiosis_Base-SOL_s3_crop.png" TargetMode="External" Id="rId675" /><Relationship Type="http://schemas.openxmlformats.org/officeDocument/2006/relationships/hyperlink" Target="https://raw.githubusercontent.com/CainBeaudoin/bb/main/evidence/20260923T093752Z/symbiosis_Base-SOL_s3_full.png" TargetMode="External" Id="rId67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Bridg Competitive Benchmark</t>
        </is>
      </c>
    </row>
    <row r="2">
      <c r="A2" s="2" t="inlineStr">
        <is>
          <t>100 USDC → USDC · 6 routes · quotes read from each site's own web UI, no wallet connected · collected 2026-09-23 08:49 – 09:49 UTC</t>
        </is>
      </c>
    </row>
    <row r="4">
      <c r="A4" s="3" t="inlineStr">
        <is>
          <t>Headline</t>
        </is>
      </c>
    </row>
    <row r="5">
      <c r="A5" s="4" t="inlineStr">
        <is>
          <t>Routes where Bridg's best beat every direct quote</t>
        </is>
      </c>
      <c r="B5" s="5">
        <f>COUNTIF('Competitor Matrix'!$E$27:$E$32,"&gt;=-2")&amp;" / 6"</f>
        <v/>
      </c>
    </row>
    <row r="6">
      <c r="A6" s="4" t="inlineStr">
        <is>
          <t>Venue pairs where Bridg's listing matches the venue's site</t>
        </is>
      </c>
      <c r="B6" s="5">
        <f>COUNTIF('Venue Analysis'!$X$5:$X$74,"Match*")&amp;" / "&amp;COUNTA('Venue Analysis'!$X$5:$X$74)</f>
        <v/>
      </c>
    </row>
    <row r="7">
      <c r="A7" s="4" t="inlineStr">
        <is>
          <t>… Bridg lists LESS than the venue's own site</t>
        </is>
      </c>
      <c r="B7" s="5">
        <f>COUNTIF('Venue Analysis'!$X$5:$X$74,"Bridg LOWER*")</f>
        <v/>
      </c>
    </row>
    <row r="8">
      <c r="A8" s="4" t="inlineStr">
        <is>
          <t>… Bridg lists MORE than the venue's own site</t>
        </is>
      </c>
      <c r="B8" s="5">
        <f>COUNTIF('Venue Analysis'!$X$5:$X$74,"Bridg HIGHER*")</f>
        <v/>
      </c>
    </row>
    <row r="9">
      <c r="A9" s="4" t="inlineStr">
        <is>
          <t>… venue quotes on its site but is missing from Bridg</t>
        </is>
      </c>
      <c r="B9" s="5">
        <f>COUNTIF('Venue Analysis'!$X$5:$X$74,"NOT LISTED*")</f>
        <v/>
      </c>
    </row>
    <row r="10">
      <c r="A10" s="4" t="inlineStr">
        <is>
          <t>Worst venue-accuracy gap (bps, ex-Bridg fee)</t>
        </is>
      </c>
      <c r="B10" s="6">
        <f>MIN('Venue Analysis'!$V$5:$V$74)</f>
        <v/>
      </c>
    </row>
    <row r="11">
      <c r="A11" s="4" t="inlineStr">
        <is>
          <t>Venues / platforms compared</t>
        </is>
      </c>
      <c r="B11" s="7" t="inlineStr">
        <is>
          <t>13 venues + 0 platforms</t>
        </is>
      </c>
    </row>
    <row r="12">
      <c r="A12" s="4" t="inlineStr">
        <is>
          <t>Blocked (no public quote)</t>
        </is>
      </c>
      <c r="B12" s="7" t="inlineStr">
        <is>
          <t>3 venues + 4 platforms</t>
        </is>
      </c>
    </row>
    <row r="15">
      <c r="A15" s="3" t="inlineStr">
        <is>
          <t>Route winners (Bridg best vs best direct quote)</t>
        </is>
      </c>
    </row>
    <row r="16">
      <c r="A16" s="8" t="inlineStr">
        <is>
          <t>Route</t>
        </is>
      </c>
      <c r="B16" s="8" t="inlineStr">
        <is>
          <t>Bridg best</t>
        </is>
      </c>
      <c r="C16" s="8" t="inlineStr">
        <is>
          <t>Best elsewhere</t>
        </is>
      </c>
      <c r="D16" s="8" t="inlineStr">
        <is>
          <t>Site</t>
        </is>
      </c>
      <c r="E16" s="8" t="inlineStr">
        <is>
          <t>Bridg vs best (bps)</t>
        </is>
      </c>
      <c r="F16" s="8" t="inlineStr">
        <is>
          <t>Sites Bridg beats</t>
        </is>
      </c>
      <c r="G16" s="8" t="inlineStr">
        <is>
          <t>Sites beating Bridg</t>
        </is>
      </c>
    </row>
    <row r="17">
      <c r="A17" s="9">
        <f>'Competitor Matrix'!A27</f>
        <v/>
      </c>
      <c r="B17" s="10">
        <f>'Competitor Matrix'!B27</f>
        <v/>
      </c>
      <c r="C17" s="10">
        <f>'Competitor Matrix'!C27</f>
        <v/>
      </c>
      <c r="D17" s="9">
        <f>'Competitor Matrix'!D27</f>
        <v/>
      </c>
      <c r="E17" s="11">
        <f>'Competitor Matrix'!E27</f>
        <v/>
      </c>
      <c r="F17" s="9">
        <f>'Competitor Matrix'!F27</f>
        <v/>
      </c>
      <c r="G17" s="9">
        <f>'Competitor Matrix'!G27</f>
        <v/>
      </c>
    </row>
    <row r="18">
      <c r="A18" s="9">
        <f>'Competitor Matrix'!A28</f>
        <v/>
      </c>
      <c r="B18" s="10">
        <f>'Competitor Matrix'!B28</f>
        <v/>
      </c>
      <c r="C18" s="10">
        <f>'Competitor Matrix'!C28</f>
        <v/>
      </c>
      <c r="D18" s="9">
        <f>'Competitor Matrix'!D28</f>
        <v/>
      </c>
      <c r="E18" s="11">
        <f>'Competitor Matrix'!E28</f>
        <v/>
      </c>
      <c r="F18" s="9">
        <f>'Competitor Matrix'!F28</f>
        <v/>
      </c>
      <c r="G18" s="9">
        <f>'Competitor Matrix'!G28</f>
        <v/>
      </c>
    </row>
    <row r="19">
      <c r="A19" s="9">
        <f>'Competitor Matrix'!A29</f>
        <v/>
      </c>
      <c r="B19" s="10">
        <f>'Competitor Matrix'!B29</f>
        <v/>
      </c>
      <c r="C19" s="10">
        <f>'Competitor Matrix'!C29</f>
        <v/>
      </c>
      <c r="D19" s="9">
        <f>'Competitor Matrix'!D29</f>
        <v/>
      </c>
      <c r="E19" s="11">
        <f>'Competitor Matrix'!E29</f>
        <v/>
      </c>
      <c r="F19" s="9">
        <f>'Competitor Matrix'!F29</f>
        <v/>
      </c>
      <c r="G19" s="9">
        <f>'Competitor Matrix'!G29</f>
        <v/>
      </c>
    </row>
    <row r="20">
      <c r="A20" s="9">
        <f>'Competitor Matrix'!A30</f>
        <v/>
      </c>
      <c r="B20" s="10">
        <f>'Competitor Matrix'!B30</f>
        <v/>
      </c>
      <c r="C20" s="10">
        <f>'Competitor Matrix'!C30</f>
        <v/>
      </c>
      <c r="D20" s="9">
        <f>'Competitor Matrix'!D30</f>
        <v/>
      </c>
      <c r="E20" s="11">
        <f>'Competitor Matrix'!E30</f>
        <v/>
      </c>
      <c r="F20" s="9">
        <f>'Competitor Matrix'!F30</f>
        <v/>
      </c>
      <c r="G20" s="9">
        <f>'Competitor Matrix'!G30</f>
        <v/>
      </c>
    </row>
    <row r="21">
      <c r="A21" s="9">
        <f>'Competitor Matrix'!A31</f>
        <v/>
      </c>
      <c r="B21" s="10">
        <f>'Competitor Matrix'!B31</f>
        <v/>
      </c>
      <c r="C21" s="10">
        <f>'Competitor Matrix'!C31</f>
        <v/>
      </c>
      <c r="D21" s="9">
        <f>'Competitor Matrix'!D31</f>
        <v/>
      </c>
      <c r="E21" s="11">
        <f>'Competitor Matrix'!E31</f>
        <v/>
      </c>
      <c r="F21" s="9">
        <f>'Competitor Matrix'!F31</f>
        <v/>
      </c>
      <c r="G21" s="9">
        <f>'Competitor Matrix'!G31</f>
        <v/>
      </c>
    </row>
    <row r="22">
      <c r="A22" s="9">
        <f>'Competitor Matrix'!A32</f>
        <v/>
      </c>
      <c r="B22" s="10">
        <f>'Competitor Matrix'!B32</f>
        <v/>
      </c>
      <c r="C22" s="10">
        <f>'Competitor Matrix'!C32</f>
        <v/>
      </c>
      <c r="D22" s="9">
        <f>'Competitor Matrix'!D32</f>
        <v/>
      </c>
      <c r="E22" s="11">
        <f>'Competitor Matrix'!E32</f>
        <v/>
      </c>
      <c r="F22" s="9">
        <f>'Competitor Matrix'!F32</f>
        <v/>
      </c>
      <c r="G22" s="9">
        <f>'Competitor Matrix'!G32</f>
        <v/>
      </c>
    </row>
    <row r="24">
      <c r="A24" s="3" t="inlineStr">
        <is>
          <t>Venue accuracy (avg gap ex-Bridg fee, bps) — Bridg listed vs venue's own site</t>
        </is>
      </c>
    </row>
    <row r="25">
      <c r="A25" s="12" t="inlineStr">
        <is>
          <t>Venue</t>
        </is>
      </c>
      <c r="B25" s="12" t="inlineStr">
        <is>
          <t>SOL → ETH</t>
        </is>
      </c>
      <c r="C25" s="12" t="inlineStr">
        <is>
          <t>ETH → SOL</t>
        </is>
      </c>
      <c r="D25" s="12" t="inlineStr">
        <is>
          <t>SOL → BSC</t>
        </is>
      </c>
      <c r="E25" s="12" t="inlineStr">
        <is>
          <t>BSC → SOL</t>
        </is>
      </c>
      <c r="F25" s="12" t="inlineStr">
        <is>
          <t>SOL → Base</t>
        </is>
      </c>
      <c r="G25" s="12" t="inlineStr">
        <is>
          <t>Base → SOL</t>
        </is>
      </c>
    </row>
    <row r="26">
      <c r="A26" s="4" t="inlineStr">
        <is>
          <t>Relay</t>
        </is>
      </c>
      <c r="B26" s="11">
        <f>IF('Venue Analysis'!R5=0,"not listed",'Venue Analysis'!V5)</f>
        <v/>
      </c>
      <c r="C26" s="11">
        <f>IF('Venue Analysis'!R18=0,"not listed",'Venue Analysis'!V18)</f>
        <v/>
      </c>
      <c r="D26" s="11">
        <f>IF('Venue Analysis'!R31=0,"not listed",'Venue Analysis'!V31)</f>
        <v/>
      </c>
      <c r="E26" s="11">
        <f>IF('Venue Analysis'!R40=0,"not listed",'Venue Analysis'!V40)</f>
        <v/>
      </c>
      <c r="F26" s="11">
        <f>IF('Venue Analysis'!R50=0,"not listed",'Venue Analysis'!V50)</f>
        <v/>
      </c>
      <c r="G26" s="11">
        <f>IF('Venue Analysis'!R62=0,"not listed",'Venue Analysis'!V62)</f>
        <v/>
      </c>
    </row>
    <row r="27">
      <c r="A27" s="4" t="inlineStr">
        <is>
          <t>deBridge</t>
        </is>
      </c>
      <c r="B27" s="11">
        <f>IF('Venue Analysis'!R6=0,"not listed",'Venue Analysis'!V6)</f>
        <v/>
      </c>
      <c r="C27" s="11">
        <f>IF('Venue Analysis'!R19=0,"not listed",'Venue Analysis'!V19)</f>
        <v/>
      </c>
      <c r="D27" s="11">
        <f>IF('Venue Analysis'!R32=0,"not listed",'Venue Analysis'!V32)</f>
        <v/>
      </c>
      <c r="E27" s="11">
        <f>IF('Venue Analysis'!R41=0,"not listed",'Venue Analysis'!V41)</f>
        <v/>
      </c>
      <c r="F27" s="11">
        <f>IF('Venue Analysis'!R51=0,"not listed",'Venue Analysis'!V51)</f>
        <v/>
      </c>
      <c r="G27" s="11">
        <f>IF('Venue Analysis'!R63=0,"not listed",'Venue Analysis'!V63)</f>
        <v/>
      </c>
    </row>
    <row r="28">
      <c r="A28" s="4" t="inlineStr">
        <is>
          <t>LI.FI (Jumper)</t>
        </is>
      </c>
      <c r="B28" s="11">
        <f>IF('Venue Analysis'!R7=0,"not listed",'Venue Analysis'!V7)</f>
        <v/>
      </c>
      <c r="C28" s="11">
        <f>IF('Venue Analysis'!R20=0,"not listed",'Venue Analysis'!V20)</f>
        <v/>
      </c>
      <c r="D28" s="11">
        <f>IF('Venue Analysis'!R33=0,"not listed",'Venue Analysis'!V33)</f>
        <v/>
      </c>
      <c r="E28" s="11">
        <f>IF('Venue Analysis'!R42=0,"not listed",'Venue Analysis'!V42)</f>
        <v/>
      </c>
      <c r="F28" s="11">
        <f>IF('Venue Analysis'!R52=0,"not listed",'Venue Analysis'!V52)</f>
        <v/>
      </c>
      <c r="G28" s="11">
        <f>IF('Venue Analysis'!R64=0,"not listed",'Venue Analysis'!V64)</f>
        <v/>
      </c>
    </row>
    <row r="29">
      <c r="A29" s="4" t="inlineStr">
        <is>
          <t>Across</t>
        </is>
      </c>
      <c r="B29" s="11">
        <f>IF('Venue Analysis'!R8=0,"not listed",'Venue Analysis'!V8)</f>
        <v/>
      </c>
      <c r="C29" s="11">
        <f>IF('Venue Analysis'!R21=0,"not listed",'Venue Analysis'!V21)</f>
        <v/>
      </c>
      <c r="D29" s="11">
        <f>IF('Venue Analysis'!R34=0,"not listed",'Venue Analysis'!V34)</f>
        <v/>
      </c>
      <c r="E29" s="11">
        <f>IF('Venue Analysis'!R43=0,"not listed",'Venue Analysis'!V43)</f>
        <v/>
      </c>
      <c r="F29" s="11">
        <f>IF('Venue Analysis'!R53=0,"not listed",'Venue Analysis'!V53)</f>
        <v/>
      </c>
      <c r="G29" s="11">
        <f>IF('Venue Analysis'!R65=0,"not listed",'Venue Analysis'!V65)</f>
        <v/>
      </c>
    </row>
    <row r="30">
      <c r="A30" s="4" t="inlineStr">
        <is>
          <t>Mayan</t>
        </is>
      </c>
      <c r="B30" s="11">
        <f>IF('Venue Analysis'!R9=0,"not listed",'Venue Analysis'!V9)</f>
        <v/>
      </c>
      <c r="C30" s="11">
        <f>IF('Venue Analysis'!R22=0,"not listed",'Venue Analysis'!V22)</f>
        <v/>
      </c>
      <c r="D30" s="11">
        <f>IF('Venue Analysis'!R35=0,"not listed",'Venue Analysis'!V35)</f>
        <v/>
      </c>
      <c r="E30" s="11">
        <f>IF('Venue Analysis'!R44=0,"not listed",'Venue Analysis'!V44)</f>
        <v/>
      </c>
      <c r="F30" s="11">
        <f>IF('Venue Analysis'!R54=0,"not listed",'Venue Analysis'!V54)</f>
        <v/>
      </c>
      <c r="G30" s="11">
        <f>IF('Venue Analysis'!R66=0,"not listed",'Venue Analysis'!V66)</f>
        <v/>
      </c>
    </row>
    <row r="31">
      <c r="A31" s="4" t="inlineStr">
        <is>
          <t>Allbridge Core</t>
        </is>
      </c>
      <c r="B31" s="11">
        <f>IF('Venue Analysis'!R10=0,"not listed",'Venue Analysis'!V10)</f>
        <v/>
      </c>
      <c r="C31" s="11">
        <f>IF('Venue Analysis'!R23=0,"not listed",'Venue Analysis'!V23)</f>
        <v/>
      </c>
      <c r="D31" s="2" t="inlineStr">
        <is>
          <t>n/a</t>
        </is>
      </c>
      <c r="E31" s="2" t="inlineStr">
        <is>
          <t>n/a</t>
        </is>
      </c>
      <c r="F31" s="11">
        <f>IF('Venue Analysis'!R55=0,"not listed",'Venue Analysis'!V55)</f>
        <v/>
      </c>
      <c r="G31" s="11">
        <f>IF('Venue Analysis'!R67=0,"not listed",'Venue Analysis'!V67)</f>
        <v/>
      </c>
    </row>
    <row r="32">
      <c r="A32" s="4" t="inlineStr">
        <is>
          <t>CCTP (via Portal)</t>
        </is>
      </c>
      <c r="B32" s="11">
        <f>IF('Venue Analysis'!R11=0,"not listed",'Venue Analysis'!V11)</f>
        <v/>
      </c>
      <c r="C32" s="11">
        <f>IF('Venue Analysis'!R24=0,"not listed",'Venue Analysis'!V24)</f>
        <v/>
      </c>
      <c r="D32" s="2" t="inlineStr">
        <is>
          <t>n/a</t>
        </is>
      </c>
      <c r="E32" s="2" t="inlineStr">
        <is>
          <t>n/a</t>
        </is>
      </c>
      <c r="F32" s="11">
        <f>IF('Venue Analysis'!R56=0,"not listed",'Venue Analysis'!V56)</f>
        <v/>
      </c>
      <c r="G32" s="11">
        <f>IF('Venue Analysis'!R68=0,"not listed",'Venue Analysis'!V68)</f>
        <v/>
      </c>
    </row>
    <row r="33">
      <c r="A33" s="4" t="inlineStr">
        <is>
          <t>Husher</t>
        </is>
      </c>
      <c r="B33" s="11">
        <f>IF('Venue Analysis'!R12=0,"not listed",'Venue Analysis'!V12)</f>
        <v/>
      </c>
      <c r="C33" s="11">
        <f>IF('Venue Analysis'!R25=0,"not listed",'Venue Analysis'!V25)</f>
        <v/>
      </c>
      <c r="D33" s="11">
        <f>IF('Venue Analysis'!R36=0,"not listed",'Venue Analysis'!V36)</f>
        <v/>
      </c>
      <c r="E33" s="11">
        <f>IF('Venue Analysis'!R45=0,"not listed",'Venue Analysis'!V45)</f>
        <v/>
      </c>
      <c r="F33" s="11">
        <f>IF('Venue Analysis'!R57=0,"not listed",'Venue Analysis'!V57)</f>
        <v/>
      </c>
      <c r="G33" s="11">
        <f>IF('Venue Analysis'!R69=0,"not listed",'Venue Analysis'!V69)</f>
        <v/>
      </c>
    </row>
    <row r="34">
      <c r="A34" s="4" t="inlineStr">
        <is>
          <t>Layerswap</t>
        </is>
      </c>
      <c r="B34" s="11">
        <f>IF('Venue Analysis'!R13=0,"not listed",'Venue Analysis'!V13)</f>
        <v/>
      </c>
      <c r="C34" s="11">
        <f>IF('Venue Analysis'!R26=0,"not listed",'Venue Analysis'!V26)</f>
        <v/>
      </c>
      <c r="D34" s="11">
        <f>IF('Venue Analysis'!R37=0,"not listed",'Venue Analysis'!V37)</f>
        <v/>
      </c>
      <c r="E34" s="11">
        <f>IF('Venue Analysis'!R46=0,"not listed",'Venue Analysis'!V46)</f>
        <v/>
      </c>
      <c r="F34" s="11">
        <f>IF('Venue Analysis'!R58=0,"not listed",'Venue Analysis'!V58)</f>
        <v/>
      </c>
      <c r="G34" s="11">
        <f>IF('Venue Analysis'!R70=0,"not listed",'Venue Analysis'!V70)</f>
        <v/>
      </c>
    </row>
    <row r="35">
      <c r="A35" s="4" t="inlineStr">
        <is>
          <t>Meson</t>
        </is>
      </c>
      <c r="B35" s="11">
        <f>IF('Venue Analysis'!R14=0,"not listed",'Venue Analysis'!V14)</f>
        <v/>
      </c>
      <c r="C35" s="11">
        <f>IF('Venue Analysis'!R27=0,"not listed",'Venue Analysis'!V27)</f>
        <v/>
      </c>
      <c r="D35" s="11">
        <f>IF('Venue Analysis'!R38=0,"not listed",'Venue Analysis'!V38)</f>
        <v/>
      </c>
      <c r="E35" s="11">
        <f>IF('Venue Analysis'!R47=0,"not listed",'Venue Analysis'!V47)</f>
        <v/>
      </c>
      <c r="F35" s="11">
        <f>IF('Venue Analysis'!R59=0,"not listed",'Venue Analysis'!V59)</f>
        <v/>
      </c>
      <c r="G35" s="11">
        <f>IF('Venue Analysis'!R71=0,"not listed",'Venue Analysis'!V71)</f>
        <v/>
      </c>
    </row>
    <row r="36">
      <c r="A36" s="4" t="inlineStr">
        <is>
          <t>SimpleSwap</t>
        </is>
      </c>
      <c r="B36" s="11">
        <f>IF('Venue Analysis'!R15=0,"not listed",'Venue Analysis'!V15)</f>
        <v/>
      </c>
      <c r="C36" s="11">
        <f>IF('Venue Analysis'!R28=0,"not listed",'Venue Analysis'!V28)</f>
        <v/>
      </c>
      <c r="D36" s="11">
        <f>IF('Venue Analysis'!R39=0,"not listed",'Venue Analysis'!V39)</f>
        <v/>
      </c>
      <c r="E36" s="11">
        <f>IF('Venue Analysis'!R48=0,"not listed",'Venue Analysis'!V48)</f>
        <v/>
      </c>
      <c r="F36" s="11">
        <f>IF('Venue Analysis'!R60=0,"not listed",'Venue Analysis'!V60)</f>
        <v/>
      </c>
      <c r="G36" s="11">
        <f>IF('Venue Analysis'!R72=0,"not listed",'Venue Analysis'!V72)</f>
        <v/>
      </c>
    </row>
    <row r="37">
      <c r="A37" s="4" t="inlineStr">
        <is>
          <t>Skip Go</t>
        </is>
      </c>
      <c r="B37" s="11">
        <f>IF('Venue Analysis'!R16=0,"not listed",'Venue Analysis'!V16)</f>
        <v/>
      </c>
      <c r="C37" s="11">
        <f>IF('Venue Analysis'!R29=0,"not listed",'Venue Analysis'!V29)</f>
        <v/>
      </c>
      <c r="D37" s="2" t="inlineStr">
        <is>
          <t>n/a</t>
        </is>
      </c>
      <c r="E37" s="2" t="inlineStr">
        <is>
          <t>n/a</t>
        </is>
      </c>
      <c r="F37" s="11">
        <f>IF('Venue Analysis'!R61=0,"not listed",'Venue Analysis'!V61)</f>
        <v/>
      </c>
      <c r="G37" s="11">
        <f>IF('Venue Analysis'!R73=0,"not listed",'Venue Analysis'!V73)</f>
        <v/>
      </c>
    </row>
    <row r="38">
      <c r="A38" s="4" t="inlineStr">
        <is>
          <t>Symbiosis</t>
        </is>
      </c>
      <c r="B38" s="11">
        <f>IF('Venue Analysis'!R17=0,"not listed",'Venue Analysis'!V17)</f>
        <v/>
      </c>
      <c r="C38" s="11">
        <f>IF('Venue Analysis'!R30=0,"not listed",'Venue Analysis'!V30)</f>
        <v/>
      </c>
      <c r="D38" s="2" t="inlineStr">
        <is>
          <t>n/a</t>
        </is>
      </c>
      <c r="E38" s="11">
        <f>IF('Venue Analysis'!R49=0,"not listed",'Venue Analysis'!V49)</f>
        <v/>
      </c>
      <c r="F38" s="2" t="inlineStr">
        <is>
          <t>n/a</t>
        </is>
      </c>
      <c r="G38" s="11">
        <f>IF('Venue Analysis'!R74=0,"not listed",'Venue Analysis'!V74)</f>
        <v/>
      </c>
    </row>
    <row r="40">
      <c r="A40" s="2" t="inlineStr">
        <is>
          <t>Green = linked from other sheets. Red cells: Bridg lower / going direct pays more; blue: Bridg higher / Bridg pays more. Hypotheses in Issues are unverified.</t>
        </is>
      </c>
    </row>
  </sheetData>
  <conditionalFormatting sqref="E17:E22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B26:G38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0" customWidth="1" min="9" max="9"/>
  </cols>
  <sheetData>
    <row r="1">
      <c r="A1" s="1" t="inlineStr">
        <is>
          <t>Competitor Matrix — does a user get more on Bridg, or by going direct?</t>
        </is>
      </c>
    </row>
    <row r="2">
      <c r="A2" s="2" t="inlineStr">
        <is>
          <t>Savings (bps) = (Bridg best − other) / 100 × 10,000. Positive = Bridg pays more. Bridg best = what Bridg's own page says you receive on its best-price route. Source-chain gas paid separately is not counted on either side.</t>
        </is>
      </c>
    </row>
    <row r="4">
      <c r="A4" s="3" t="inlineStr">
        <is>
          <t>Average savings (bps) by site and route</t>
        </is>
      </c>
    </row>
    <row r="5">
      <c r="A5" s="13" t="inlineStr">
        <is>
          <t>Site</t>
        </is>
      </c>
      <c r="B5" s="13" t="inlineStr">
        <is>
          <t>Kind</t>
        </is>
      </c>
      <c r="C5" s="13" t="inlineStr">
        <is>
          <t>SOL → ETH</t>
        </is>
      </c>
      <c r="D5" s="13" t="inlineStr">
        <is>
          <t>ETH → SOL</t>
        </is>
      </c>
      <c r="E5" s="13" t="inlineStr">
        <is>
          <t>SOL → BSC</t>
        </is>
      </c>
      <c r="F5" s="13" t="inlineStr">
        <is>
          <t>BSC → SOL</t>
        </is>
      </c>
      <c r="G5" s="13" t="inlineStr">
        <is>
          <t>SOL → Base</t>
        </is>
      </c>
      <c r="H5" s="13" t="inlineStr">
        <is>
          <t>Base → SOL</t>
        </is>
      </c>
      <c r="M5" s="2" t="inlineStr">
        <is>
          <t>Avg other out (helper)</t>
        </is>
      </c>
      <c r="N5" s="14" t="inlineStr">
        <is>
          <t>SOL → ETH</t>
        </is>
      </c>
      <c r="O5" s="14" t="inlineStr">
        <is>
          <t>ETH → SOL</t>
        </is>
      </c>
      <c r="P5" s="14" t="inlineStr">
        <is>
          <t>SOL → BSC</t>
        </is>
      </c>
      <c r="Q5" s="14" t="inlineStr">
        <is>
          <t>BSC → SOL</t>
        </is>
      </c>
      <c r="R5" s="14" t="inlineStr">
        <is>
          <t>SOL → Base</t>
        </is>
      </c>
      <c r="S5" s="14" t="inlineStr">
        <is>
          <t>Base → SOL</t>
        </is>
      </c>
    </row>
    <row r="6">
      <c r="A6" s="4" t="inlineStr">
        <is>
          <t>Relay</t>
        </is>
      </c>
      <c r="B6" s="4" t="inlineStr">
        <is>
          <t>venue</t>
        </is>
      </c>
      <c r="C6" s="15">
        <f>IFERROR(AVERAGEIFS($H$36:$H$331,$A$36:$A$331,"SOL → ETH",$C$36:$C$331,$A6),"n/a")</f>
        <v/>
      </c>
      <c r="D6" s="15">
        <f>IFERROR(AVERAGEIFS($H$36:$H$331,$A$36:$A$331,"ETH → SOL",$C$36:$C$331,$A6),"n/a")</f>
        <v/>
      </c>
      <c r="E6" s="15">
        <f>IFERROR(AVERAGEIFS($H$36:$H$331,$A$36:$A$331,"SOL → BSC",$C$36:$C$331,$A6),"n/a")</f>
        <v/>
      </c>
      <c r="F6" s="15">
        <f>IFERROR(AVERAGEIFS($H$36:$H$331,$A$36:$A$331,"BSC → SOL",$C$36:$C$331,$A6),"n/a")</f>
        <v/>
      </c>
      <c r="G6" s="15">
        <f>IFERROR(AVERAGEIFS($H$36:$H$331,$A$36:$A$331,"SOL → Base",$C$36:$C$331,$A6),"n/a")</f>
        <v/>
      </c>
      <c r="H6" s="15">
        <f>IFERROR(AVERAGEIFS($H$36:$H$331,$A$36:$A$331,"Base → SOL",$C$36:$C$331,$A6),"n/a")</f>
        <v/>
      </c>
      <c r="M6" s="4" t="inlineStr">
        <is>
          <t>Relay</t>
        </is>
      </c>
      <c r="N6" s="16">
        <f>IFERROR(AVERAGEIFS($G$36:$G$331,$A$36:$A$331,"SOL → ETH",$C$36:$C$331,$M6),"")</f>
        <v/>
      </c>
      <c r="O6" s="16">
        <f>IFERROR(AVERAGEIFS($G$36:$G$331,$A$36:$A$331,"ETH → SOL",$C$36:$C$331,$M6),"")</f>
        <v/>
      </c>
      <c r="P6" s="16">
        <f>IFERROR(AVERAGEIFS($G$36:$G$331,$A$36:$A$331,"SOL → BSC",$C$36:$C$331,$M6),"")</f>
        <v/>
      </c>
      <c r="Q6" s="16">
        <f>IFERROR(AVERAGEIFS($G$36:$G$331,$A$36:$A$331,"BSC → SOL",$C$36:$C$331,$M6),"")</f>
        <v/>
      </c>
      <c r="R6" s="16">
        <f>IFERROR(AVERAGEIFS($G$36:$G$331,$A$36:$A$331,"SOL → Base",$C$36:$C$331,$M6),"")</f>
        <v/>
      </c>
      <c r="S6" s="16">
        <f>IFERROR(AVERAGEIFS($G$36:$G$331,$A$36:$A$331,"Base → SOL",$C$36:$C$331,$M6),"")</f>
        <v/>
      </c>
    </row>
    <row r="7">
      <c r="A7" s="4" t="inlineStr">
        <is>
          <t>deBridge</t>
        </is>
      </c>
      <c r="B7" s="4" t="inlineStr">
        <is>
          <t>venue</t>
        </is>
      </c>
      <c r="C7" s="15">
        <f>IFERROR(AVERAGEIFS($H$36:$H$331,$A$36:$A$331,"SOL → ETH",$C$36:$C$331,$A7),"n/a")</f>
        <v/>
      </c>
      <c r="D7" s="15">
        <f>IFERROR(AVERAGEIFS($H$36:$H$331,$A$36:$A$331,"ETH → SOL",$C$36:$C$331,$A7),"n/a")</f>
        <v/>
      </c>
      <c r="E7" s="15">
        <f>IFERROR(AVERAGEIFS($H$36:$H$331,$A$36:$A$331,"SOL → BSC",$C$36:$C$331,$A7),"n/a")</f>
        <v/>
      </c>
      <c r="F7" s="15">
        <f>IFERROR(AVERAGEIFS($H$36:$H$331,$A$36:$A$331,"BSC → SOL",$C$36:$C$331,$A7),"n/a")</f>
        <v/>
      </c>
      <c r="G7" s="15">
        <f>IFERROR(AVERAGEIFS($H$36:$H$331,$A$36:$A$331,"SOL → Base",$C$36:$C$331,$A7),"n/a")</f>
        <v/>
      </c>
      <c r="H7" s="15">
        <f>IFERROR(AVERAGEIFS($H$36:$H$331,$A$36:$A$331,"Base → SOL",$C$36:$C$331,$A7),"n/a")</f>
        <v/>
      </c>
      <c r="M7" s="4" t="inlineStr">
        <is>
          <t>deBridge</t>
        </is>
      </c>
      <c r="N7" s="16">
        <f>IFERROR(AVERAGEIFS($G$36:$G$331,$A$36:$A$331,"SOL → ETH",$C$36:$C$331,$M7),"")</f>
        <v/>
      </c>
      <c r="O7" s="16">
        <f>IFERROR(AVERAGEIFS($G$36:$G$331,$A$36:$A$331,"ETH → SOL",$C$36:$C$331,$M7),"")</f>
        <v/>
      </c>
      <c r="P7" s="16">
        <f>IFERROR(AVERAGEIFS($G$36:$G$331,$A$36:$A$331,"SOL → BSC",$C$36:$C$331,$M7),"")</f>
        <v/>
      </c>
      <c r="Q7" s="16">
        <f>IFERROR(AVERAGEIFS($G$36:$G$331,$A$36:$A$331,"BSC → SOL",$C$36:$C$331,$M7),"")</f>
        <v/>
      </c>
      <c r="R7" s="16">
        <f>IFERROR(AVERAGEIFS($G$36:$G$331,$A$36:$A$331,"SOL → Base",$C$36:$C$331,$M7),"")</f>
        <v/>
      </c>
      <c r="S7" s="16">
        <f>IFERROR(AVERAGEIFS($G$36:$G$331,$A$36:$A$331,"Base → SOL",$C$36:$C$331,$M7),"")</f>
        <v/>
      </c>
    </row>
    <row r="8">
      <c r="A8" s="4" t="inlineStr">
        <is>
          <t>LI.FI (Jumper)</t>
        </is>
      </c>
      <c r="B8" s="4" t="inlineStr">
        <is>
          <t>venue</t>
        </is>
      </c>
      <c r="C8" s="15">
        <f>IFERROR(AVERAGEIFS($H$36:$H$331,$A$36:$A$331,"SOL → ETH",$C$36:$C$331,$A8),"n/a")</f>
        <v/>
      </c>
      <c r="D8" s="15">
        <f>IFERROR(AVERAGEIFS($H$36:$H$331,$A$36:$A$331,"ETH → SOL",$C$36:$C$331,$A8),"n/a")</f>
        <v/>
      </c>
      <c r="E8" s="15">
        <f>IFERROR(AVERAGEIFS($H$36:$H$331,$A$36:$A$331,"SOL → BSC",$C$36:$C$331,$A8),"n/a")</f>
        <v/>
      </c>
      <c r="F8" s="15">
        <f>IFERROR(AVERAGEIFS($H$36:$H$331,$A$36:$A$331,"BSC → SOL",$C$36:$C$331,$A8),"n/a")</f>
        <v/>
      </c>
      <c r="G8" s="15">
        <f>IFERROR(AVERAGEIFS($H$36:$H$331,$A$36:$A$331,"SOL → Base",$C$36:$C$331,$A8),"n/a")</f>
        <v/>
      </c>
      <c r="H8" s="15">
        <f>IFERROR(AVERAGEIFS($H$36:$H$331,$A$36:$A$331,"Base → SOL",$C$36:$C$331,$A8),"n/a")</f>
        <v/>
      </c>
      <c r="M8" s="4" t="inlineStr">
        <is>
          <t>LI.FI (Jumper)</t>
        </is>
      </c>
      <c r="N8" s="16">
        <f>IFERROR(AVERAGEIFS($G$36:$G$331,$A$36:$A$331,"SOL → ETH",$C$36:$C$331,$M8),"")</f>
        <v/>
      </c>
      <c r="O8" s="16">
        <f>IFERROR(AVERAGEIFS($G$36:$G$331,$A$36:$A$331,"ETH → SOL",$C$36:$C$331,$M8),"")</f>
        <v/>
      </c>
      <c r="P8" s="16">
        <f>IFERROR(AVERAGEIFS($G$36:$G$331,$A$36:$A$331,"SOL → BSC",$C$36:$C$331,$M8),"")</f>
        <v/>
      </c>
      <c r="Q8" s="16">
        <f>IFERROR(AVERAGEIFS($G$36:$G$331,$A$36:$A$331,"BSC → SOL",$C$36:$C$331,$M8),"")</f>
        <v/>
      </c>
      <c r="R8" s="16">
        <f>IFERROR(AVERAGEIFS($G$36:$G$331,$A$36:$A$331,"SOL → Base",$C$36:$C$331,$M8),"")</f>
        <v/>
      </c>
      <c r="S8" s="16">
        <f>IFERROR(AVERAGEIFS($G$36:$G$331,$A$36:$A$331,"Base → SOL",$C$36:$C$331,$M8),"")</f>
        <v/>
      </c>
    </row>
    <row r="9">
      <c r="A9" s="4" t="inlineStr">
        <is>
          <t>Across</t>
        </is>
      </c>
      <c r="B9" s="4" t="inlineStr">
        <is>
          <t>venue</t>
        </is>
      </c>
      <c r="C9" s="15">
        <f>IFERROR(AVERAGEIFS($H$36:$H$331,$A$36:$A$331,"SOL → ETH",$C$36:$C$331,$A9),"n/a")</f>
        <v/>
      </c>
      <c r="D9" s="15">
        <f>IFERROR(AVERAGEIFS($H$36:$H$331,$A$36:$A$331,"ETH → SOL",$C$36:$C$331,$A9),"n/a")</f>
        <v/>
      </c>
      <c r="E9" s="15">
        <f>IFERROR(AVERAGEIFS($H$36:$H$331,$A$36:$A$331,"SOL → BSC",$C$36:$C$331,$A9),"n/a")</f>
        <v/>
      </c>
      <c r="F9" s="15">
        <f>IFERROR(AVERAGEIFS($H$36:$H$331,$A$36:$A$331,"BSC → SOL",$C$36:$C$331,$A9),"n/a")</f>
        <v/>
      </c>
      <c r="G9" s="15">
        <f>IFERROR(AVERAGEIFS($H$36:$H$331,$A$36:$A$331,"SOL → Base",$C$36:$C$331,$A9),"n/a")</f>
        <v/>
      </c>
      <c r="H9" s="15">
        <f>IFERROR(AVERAGEIFS($H$36:$H$331,$A$36:$A$331,"Base → SOL",$C$36:$C$331,$A9),"n/a")</f>
        <v/>
      </c>
      <c r="M9" s="4" t="inlineStr">
        <is>
          <t>Across</t>
        </is>
      </c>
      <c r="N9" s="16">
        <f>IFERROR(AVERAGEIFS($G$36:$G$331,$A$36:$A$331,"SOL → ETH",$C$36:$C$331,$M9),"")</f>
        <v/>
      </c>
      <c r="O9" s="16">
        <f>IFERROR(AVERAGEIFS($G$36:$G$331,$A$36:$A$331,"ETH → SOL",$C$36:$C$331,$M9),"")</f>
        <v/>
      </c>
      <c r="P9" s="16">
        <f>IFERROR(AVERAGEIFS($G$36:$G$331,$A$36:$A$331,"SOL → BSC",$C$36:$C$331,$M9),"")</f>
        <v/>
      </c>
      <c r="Q9" s="16">
        <f>IFERROR(AVERAGEIFS($G$36:$G$331,$A$36:$A$331,"BSC → SOL",$C$36:$C$331,$M9),"")</f>
        <v/>
      </c>
      <c r="R9" s="16">
        <f>IFERROR(AVERAGEIFS($G$36:$G$331,$A$36:$A$331,"SOL → Base",$C$36:$C$331,$M9),"")</f>
        <v/>
      </c>
      <c r="S9" s="16">
        <f>IFERROR(AVERAGEIFS($G$36:$G$331,$A$36:$A$331,"Base → SOL",$C$36:$C$331,$M9),"")</f>
        <v/>
      </c>
    </row>
    <row r="10">
      <c r="A10" s="4" t="inlineStr">
        <is>
          <t>Mayan</t>
        </is>
      </c>
      <c r="B10" s="4" t="inlineStr">
        <is>
          <t>venue</t>
        </is>
      </c>
      <c r="C10" s="15">
        <f>IFERROR(AVERAGEIFS($H$36:$H$331,$A$36:$A$331,"SOL → ETH",$C$36:$C$331,$A10),"n/a")</f>
        <v/>
      </c>
      <c r="D10" s="15">
        <f>IFERROR(AVERAGEIFS($H$36:$H$331,$A$36:$A$331,"ETH → SOL",$C$36:$C$331,$A10),"n/a")</f>
        <v/>
      </c>
      <c r="E10" s="15">
        <f>IFERROR(AVERAGEIFS($H$36:$H$331,$A$36:$A$331,"SOL → BSC",$C$36:$C$331,$A10),"n/a")</f>
        <v/>
      </c>
      <c r="F10" s="15">
        <f>IFERROR(AVERAGEIFS($H$36:$H$331,$A$36:$A$331,"BSC → SOL",$C$36:$C$331,$A10),"n/a")</f>
        <v/>
      </c>
      <c r="G10" s="15">
        <f>IFERROR(AVERAGEIFS($H$36:$H$331,$A$36:$A$331,"SOL → Base",$C$36:$C$331,$A10),"n/a")</f>
        <v/>
      </c>
      <c r="H10" s="15">
        <f>IFERROR(AVERAGEIFS($H$36:$H$331,$A$36:$A$331,"Base → SOL",$C$36:$C$331,$A10),"n/a")</f>
        <v/>
      </c>
      <c r="M10" s="4" t="inlineStr">
        <is>
          <t>Mayan</t>
        </is>
      </c>
      <c r="N10" s="16">
        <f>IFERROR(AVERAGEIFS($G$36:$G$331,$A$36:$A$331,"SOL → ETH",$C$36:$C$331,$M10),"")</f>
        <v/>
      </c>
      <c r="O10" s="16">
        <f>IFERROR(AVERAGEIFS($G$36:$G$331,$A$36:$A$331,"ETH → SOL",$C$36:$C$331,$M10),"")</f>
        <v/>
      </c>
      <c r="P10" s="16">
        <f>IFERROR(AVERAGEIFS($G$36:$G$331,$A$36:$A$331,"SOL → BSC",$C$36:$C$331,$M10),"")</f>
        <v/>
      </c>
      <c r="Q10" s="16">
        <f>IFERROR(AVERAGEIFS($G$36:$G$331,$A$36:$A$331,"BSC → SOL",$C$36:$C$331,$M10),"")</f>
        <v/>
      </c>
      <c r="R10" s="16">
        <f>IFERROR(AVERAGEIFS($G$36:$G$331,$A$36:$A$331,"SOL → Base",$C$36:$C$331,$M10),"")</f>
        <v/>
      </c>
      <c r="S10" s="16">
        <f>IFERROR(AVERAGEIFS($G$36:$G$331,$A$36:$A$331,"Base → SOL",$C$36:$C$331,$M10),"")</f>
        <v/>
      </c>
    </row>
    <row r="11">
      <c r="A11" s="4" t="inlineStr">
        <is>
          <t>Allbridge Core</t>
        </is>
      </c>
      <c r="B11" s="4" t="inlineStr">
        <is>
          <t>venue</t>
        </is>
      </c>
      <c r="C11" s="15">
        <f>IFERROR(AVERAGEIFS($H$36:$H$331,$A$36:$A$331,"SOL → ETH",$C$36:$C$331,$A11),"n/a")</f>
        <v/>
      </c>
      <c r="D11" s="15">
        <f>IFERROR(AVERAGEIFS($H$36:$H$331,$A$36:$A$331,"ETH → SOL",$C$36:$C$331,$A11),"n/a")</f>
        <v/>
      </c>
      <c r="E11" s="15">
        <f>IFERROR(AVERAGEIFS($H$36:$H$331,$A$36:$A$331,"SOL → BSC",$C$36:$C$331,$A11),"n/a")</f>
        <v/>
      </c>
      <c r="F11" s="15">
        <f>IFERROR(AVERAGEIFS($H$36:$H$331,$A$36:$A$331,"BSC → SOL",$C$36:$C$331,$A11),"n/a")</f>
        <v/>
      </c>
      <c r="G11" s="15">
        <f>IFERROR(AVERAGEIFS($H$36:$H$331,$A$36:$A$331,"SOL → Base",$C$36:$C$331,$A11),"n/a")</f>
        <v/>
      </c>
      <c r="H11" s="15">
        <f>IFERROR(AVERAGEIFS($H$36:$H$331,$A$36:$A$331,"Base → SOL",$C$36:$C$331,$A11),"n/a")</f>
        <v/>
      </c>
      <c r="M11" s="4" t="inlineStr">
        <is>
          <t>Allbridge Core</t>
        </is>
      </c>
      <c r="N11" s="16">
        <f>IFERROR(AVERAGEIFS($G$36:$G$331,$A$36:$A$331,"SOL → ETH",$C$36:$C$331,$M11),"")</f>
        <v/>
      </c>
      <c r="O11" s="16">
        <f>IFERROR(AVERAGEIFS($G$36:$G$331,$A$36:$A$331,"ETH → SOL",$C$36:$C$331,$M11),"")</f>
        <v/>
      </c>
      <c r="P11" s="16">
        <f>IFERROR(AVERAGEIFS($G$36:$G$331,$A$36:$A$331,"SOL → BSC",$C$36:$C$331,$M11),"")</f>
        <v/>
      </c>
      <c r="Q11" s="16">
        <f>IFERROR(AVERAGEIFS($G$36:$G$331,$A$36:$A$331,"BSC → SOL",$C$36:$C$331,$M11),"")</f>
        <v/>
      </c>
      <c r="R11" s="16">
        <f>IFERROR(AVERAGEIFS($G$36:$G$331,$A$36:$A$331,"SOL → Base",$C$36:$C$331,$M11),"")</f>
        <v/>
      </c>
      <c r="S11" s="16">
        <f>IFERROR(AVERAGEIFS($G$36:$G$331,$A$36:$A$331,"Base → SOL",$C$36:$C$331,$M11),"")</f>
        <v/>
      </c>
    </row>
    <row r="12">
      <c r="A12" s="4" t="inlineStr">
        <is>
          <t>CCTP (via Portal)</t>
        </is>
      </c>
      <c r="B12" s="4" t="inlineStr">
        <is>
          <t>venue</t>
        </is>
      </c>
      <c r="C12" s="15">
        <f>IFERROR(AVERAGEIFS($H$36:$H$331,$A$36:$A$331,"SOL → ETH",$C$36:$C$331,$A12),"n/a")</f>
        <v/>
      </c>
      <c r="D12" s="15">
        <f>IFERROR(AVERAGEIFS($H$36:$H$331,$A$36:$A$331,"ETH → SOL",$C$36:$C$331,$A12),"n/a")</f>
        <v/>
      </c>
      <c r="E12" s="15">
        <f>IFERROR(AVERAGEIFS($H$36:$H$331,$A$36:$A$331,"SOL → BSC",$C$36:$C$331,$A12),"n/a")</f>
        <v/>
      </c>
      <c r="F12" s="15">
        <f>IFERROR(AVERAGEIFS($H$36:$H$331,$A$36:$A$331,"BSC → SOL",$C$36:$C$331,$A12),"n/a")</f>
        <v/>
      </c>
      <c r="G12" s="15">
        <f>IFERROR(AVERAGEIFS($H$36:$H$331,$A$36:$A$331,"SOL → Base",$C$36:$C$331,$A12),"n/a")</f>
        <v/>
      </c>
      <c r="H12" s="15">
        <f>IFERROR(AVERAGEIFS($H$36:$H$331,$A$36:$A$331,"Base → SOL",$C$36:$C$331,$A12),"n/a")</f>
        <v/>
      </c>
      <c r="M12" s="4" t="inlineStr">
        <is>
          <t>CCTP (via Portal)</t>
        </is>
      </c>
      <c r="N12" s="16">
        <f>IFERROR(AVERAGEIFS($G$36:$G$331,$A$36:$A$331,"SOL → ETH",$C$36:$C$331,$M12),"")</f>
        <v/>
      </c>
      <c r="O12" s="16">
        <f>IFERROR(AVERAGEIFS($G$36:$G$331,$A$36:$A$331,"ETH → SOL",$C$36:$C$331,$M12),"")</f>
        <v/>
      </c>
      <c r="P12" s="16">
        <f>IFERROR(AVERAGEIFS($G$36:$G$331,$A$36:$A$331,"SOL → BSC",$C$36:$C$331,$M12),"")</f>
        <v/>
      </c>
      <c r="Q12" s="16">
        <f>IFERROR(AVERAGEIFS($G$36:$G$331,$A$36:$A$331,"BSC → SOL",$C$36:$C$331,$M12),"")</f>
        <v/>
      </c>
      <c r="R12" s="16">
        <f>IFERROR(AVERAGEIFS($G$36:$G$331,$A$36:$A$331,"SOL → Base",$C$36:$C$331,$M12),"")</f>
        <v/>
      </c>
      <c r="S12" s="16">
        <f>IFERROR(AVERAGEIFS($G$36:$G$331,$A$36:$A$331,"Base → SOL",$C$36:$C$331,$M12),"")</f>
        <v/>
      </c>
    </row>
    <row r="13">
      <c r="A13" s="4" t="inlineStr">
        <is>
          <t>Husher</t>
        </is>
      </c>
      <c r="B13" s="4" t="inlineStr">
        <is>
          <t>venue</t>
        </is>
      </c>
      <c r="C13" s="15">
        <f>IFERROR(AVERAGEIFS($H$36:$H$331,$A$36:$A$331,"SOL → ETH",$C$36:$C$331,$A13),"n/a")</f>
        <v/>
      </c>
      <c r="D13" s="15">
        <f>IFERROR(AVERAGEIFS($H$36:$H$331,$A$36:$A$331,"ETH → SOL",$C$36:$C$331,$A13),"n/a")</f>
        <v/>
      </c>
      <c r="E13" s="15">
        <f>IFERROR(AVERAGEIFS($H$36:$H$331,$A$36:$A$331,"SOL → BSC",$C$36:$C$331,$A13),"n/a")</f>
        <v/>
      </c>
      <c r="F13" s="15">
        <f>IFERROR(AVERAGEIFS($H$36:$H$331,$A$36:$A$331,"BSC → SOL",$C$36:$C$331,$A13),"n/a")</f>
        <v/>
      </c>
      <c r="G13" s="15">
        <f>IFERROR(AVERAGEIFS($H$36:$H$331,$A$36:$A$331,"SOL → Base",$C$36:$C$331,$A13),"n/a")</f>
        <v/>
      </c>
      <c r="H13" s="15">
        <f>IFERROR(AVERAGEIFS($H$36:$H$331,$A$36:$A$331,"Base → SOL",$C$36:$C$331,$A13),"n/a")</f>
        <v/>
      </c>
      <c r="M13" s="4" t="inlineStr">
        <is>
          <t>Husher</t>
        </is>
      </c>
      <c r="N13" s="16">
        <f>IFERROR(AVERAGEIFS($G$36:$G$331,$A$36:$A$331,"SOL → ETH",$C$36:$C$331,$M13),"")</f>
        <v/>
      </c>
      <c r="O13" s="16">
        <f>IFERROR(AVERAGEIFS($G$36:$G$331,$A$36:$A$331,"ETH → SOL",$C$36:$C$331,$M13),"")</f>
        <v/>
      </c>
      <c r="P13" s="16">
        <f>IFERROR(AVERAGEIFS($G$36:$G$331,$A$36:$A$331,"SOL → BSC",$C$36:$C$331,$M13),"")</f>
        <v/>
      </c>
      <c r="Q13" s="16">
        <f>IFERROR(AVERAGEIFS($G$36:$G$331,$A$36:$A$331,"BSC → SOL",$C$36:$C$331,$M13),"")</f>
        <v/>
      </c>
      <c r="R13" s="16">
        <f>IFERROR(AVERAGEIFS($G$36:$G$331,$A$36:$A$331,"SOL → Base",$C$36:$C$331,$M13),"")</f>
        <v/>
      </c>
      <c r="S13" s="16">
        <f>IFERROR(AVERAGEIFS($G$36:$G$331,$A$36:$A$331,"Base → SOL",$C$36:$C$331,$M13),"")</f>
        <v/>
      </c>
    </row>
    <row r="14">
      <c r="A14" s="4" t="inlineStr">
        <is>
          <t>Layerswap</t>
        </is>
      </c>
      <c r="B14" s="4" t="inlineStr">
        <is>
          <t>venue</t>
        </is>
      </c>
      <c r="C14" s="15">
        <f>IFERROR(AVERAGEIFS($H$36:$H$331,$A$36:$A$331,"SOL → ETH",$C$36:$C$331,$A14),"n/a")</f>
        <v/>
      </c>
      <c r="D14" s="15">
        <f>IFERROR(AVERAGEIFS($H$36:$H$331,$A$36:$A$331,"ETH → SOL",$C$36:$C$331,$A14),"n/a")</f>
        <v/>
      </c>
      <c r="E14" s="15">
        <f>IFERROR(AVERAGEIFS($H$36:$H$331,$A$36:$A$331,"SOL → BSC",$C$36:$C$331,$A14),"n/a")</f>
        <v/>
      </c>
      <c r="F14" s="15">
        <f>IFERROR(AVERAGEIFS($H$36:$H$331,$A$36:$A$331,"BSC → SOL",$C$36:$C$331,$A14),"n/a")</f>
        <v/>
      </c>
      <c r="G14" s="15">
        <f>IFERROR(AVERAGEIFS($H$36:$H$331,$A$36:$A$331,"SOL → Base",$C$36:$C$331,$A14),"n/a")</f>
        <v/>
      </c>
      <c r="H14" s="15">
        <f>IFERROR(AVERAGEIFS($H$36:$H$331,$A$36:$A$331,"Base → SOL",$C$36:$C$331,$A14),"n/a")</f>
        <v/>
      </c>
      <c r="M14" s="4" t="inlineStr">
        <is>
          <t>Layerswap</t>
        </is>
      </c>
      <c r="N14" s="16">
        <f>IFERROR(AVERAGEIFS($G$36:$G$331,$A$36:$A$331,"SOL → ETH",$C$36:$C$331,$M14),"")</f>
        <v/>
      </c>
      <c r="O14" s="16">
        <f>IFERROR(AVERAGEIFS($G$36:$G$331,$A$36:$A$331,"ETH → SOL",$C$36:$C$331,$M14),"")</f>
        <v/>
      </c>
      <c r="P14" s="16">
        <f>IFERROR(AVERAGEIFS($G$36:$G$331,$A$36:$A$331,"SOL → BSC",$C$36:$C$331,$M14),"")</f>
        <v/>
      </c>
      <c r="Q14" s="16">
        <f>IFERROR(AVERAGEIFS($G$36:$G$331,$A$36:$A$331,"BSC → SOL",$C$36:$C$331,$M14),"")</f>
        <v/>
      </c>
      <c r="R14" s="16">
        <f>IFERROR(AVERAGEIFS($G$36:$G$331,$A$36:$A$331,"SOL → Base",$C$36:$C$331,$M14),"")</f>
        <v/>
      </c>
      <c r="S14" s="16">
        <f>IFERROR(AVERAGEIFS($G$36:$G$331,$A$36:$A$331,"Base → SOL",$C$36:$C$331,$M14),"")</f>
        <v/>
      </c>
    </row>
    <row r="15">
      <c r="A15" s="4" t="inlineStr">
        <is>
          <t>Meson</t>
        </is>
      </c>
      <c r="B15" s="4" t="inlineStr">
        <is>
          <t>venue</t>
        </is>
      </c>
      <c r="C15" s="15">
        <f>IFERROR(AVERAGEIFS($H$36:$H$331,$A$36:$A$331,"SOL → ETH",$C$36:$C$331,$A15),"n/a")</f>
        <v/>
      </c>
      <c r="D15" s="15">
        <f>IFERROR(AVERAGEIFS($H$36:$H$331,$A$36:$A$331,"ETH → SOL",$C$36:$C$331,$A15),"n/a")</f>
        <v/>
      </c>
      <c r="E15" s="15">
        <f>IFERROR(AVERAGEIFS($H$36:$H$331,$A$36:$A$331,"SOL → BSC",$C$36:$C$331,$A15),"n/a")</f>
        <v/>
      </c>
      <c r="F15" s="15">
        <f>IFERROR(AVERAGEIFS($H$36:$H$331,$A$36:$A$331,"BSC → SOL",$C$36:$C$331,$A15),"n/a")</f>
        <v/>
      </c>
      <c r="G15" s="15">
        <f>IFERROR(AVERAGEIFS($H$36:$H$331,$A$36:$A$331,"SOL → Base",$C$36:$C$331,$A15),"n/a")</f>
        <v/>
      </c>
      <c r="H15" s="15">
        <f>IFERROR(AVERAGEIFS($H$36:$H$331,$A$36:$A$331,"Base → SOL",$C$36:$C$331,$A15),"n/a")</f>
        <v/>
      </c>
      <c r="M15" s="4" t="inlineStr">
        <is>
          <t>Meson</t>
        </is>
      </c>
      <c r="N15" s="16">
        <f>IFERROR(AVERAGEIFS($G$36:$G$331,$A$36:$A$331,"SOL → ETH",$C$36:$C$331,$M15),"")</f>
        <v/>
      </c>
      <c r="O15" s="16">
        <f>IFERROR(AVERAGEIFS($G$36:$G$331,$A$36:$A$331,"ETH → SOL",$C$36:$C$331,$M15),"")</f>
        <v/>
      </c>
      <c r="P15" s="16">
        <f>IFERROR(AVERAGEIFS($G$36:$G$331,$A$36:$A$331,"SOL → BSC",$C$36:$C$331,$M15),"")</f>
        <v/>
      </c>
      <c r="Q15" s="16">
        <f>IFERROR(AVERAGEIFS($G$36:$G$331,$A$36:$A$331,"BSC → SOL",$C$36:$C$331,$M15),"")</f>
        <v/>
      </c>
      <c r="R15" s="16">
        <f>IFERROR(AVERAGEIFS($G$36:$G$331,$A$36:$A$331,"SOL → Base",$C$36:$C$331,$M15),"")</f>
        <v/>
      </c>
      <c r="S15" s="16">
        <f>IFERROR(AVERAGEIFS($G$36:$G$331,$A$36:$A$331,"Base → SOL",$C$36:$C$331,$M15),"")</f>
        <v/>
      </c>
    </row>
    <row r="16">
      <c r="A16" s="4" t="inlineStr">
        <is>
          <t>SimpleSwap</t>
        </is>
      </c>
      <c r="B16" s="4" t="inlineStr">
        <is>
          <t>venue</t>
        </is>
      </c>
      <c r="C16" s="15">
        <f>IFERROR(AVERAGEIFS($H$36:$H$331,$A$36:$A$331,"SOL → ETH",$C$36:$C$331,$A16),"n/a")</f>
        <v/>
      </c>
      <c r="D16" s="15">
        <f>IFERROR(AVERAGEIFS($H$36:$H$331,$A$36:$A$331,"ETH → SOL",$C$36:$C$331,$A16),"n/a")</f>
        <v/>
      </c>
      <c r="E16" s="15">
        <f>IFERROR(AVERAGEIFS($H$36:$H$331,$A$36:$A$331,"SOL → BSC",$C$36:$C$331,$A16),"n/a")</f>
        <v/>
      </c>
      <c r="F16" s="15">
        <f>IFERROR(AVERAGEIFS($H$36:$H$331,$A$36:$A$331,"BSC → SOL",$C$36:$C$331,$A16),"n/a")</f>
        <v/>
      </c>
      <c r="G16" s="15">
        <f>IFERROR(AVERAGEIFS($H$36:$H$331,$A$36:$A$331,"SOL → Base",$C$36:$C$331,$A16),"n/a")</f>
        <v/>
      </c>
      <c r="H16" s="15">
        <f>IFERROR(AVERAGEIFS($H$36:$H$331,$A$36:$A$331,"Base → SOL",$C$36:$C$331,$A16),"n/a")</f>
        <v/>
      </c>
      <c r="M16" s="4" t="inlineStr">
        <is>
          <t>SimpleSwap</t>
        </is>
      </c>
      <c r="N16" s="16">
        <f>IFERROR(AVERAGEIFS($G$36:$G$331,$A$36:$A$331,"SOL → ETH",$C$36:$C$331,$M16),"")</f>
        <v/>
      </c>
      <c r="O16" s="16">
        <f>IFERROR(AVERAGEIFS($G$36:$G$331,$A$36:$A$331,"ETH → SOL",$C$36:$C$331,$M16),"")</f>
        <v/>
      </c>
      <c r="P16" s="16">
        <f>IFERROR(AVERAGEIFS($G$36:$G$331,$A$36:$A$331,"SOL → BSC",$C$36:$C$331,$M16),"")</f>
        <v/>
      </c>
      <c r="Q16" s="16">
        <f>IFERROR(AVERAGEIFS($G$36:$G$331,$A$36:$A$331,"BSC → SOL",$C$36:$C$331,$M16),"")</f>
        <v/>
      </c>
      <c r="R16" s="16">
        <f>IFERROR(AVERAGEIFS($G$36:$G$331,$A$36:$A$331,"SOL → Base",$C$36:$C$331,$M16),"")</f>
        <v/>
      </c>
      <c r="S16" s="16">
        <f>IFERROR(AVERAGEIFS($G$36:$G$331,$A$36:$A$331,"Base → SOL",$C$36:$C$331,$M16),"")</f>
        <v/>
      </c>
    </row>
    <row r="17">
      <c r="A17" s="4" t="inlineStr">
        <is>
          <t>Skip Go</t>
        </is>
      </c>
      <c r="B17" s="4" t="inlineStr">
        <is>
          <t>venue</t>
        </is>
      </c>
      <c r="C17" s="15">
        <f>IFERROR(AVERAGEIFS($H$36:$H$331,$A$36:$A$331,"SOL → ETH",$C$36:$C$331,$A17),"n/a")</f>
        <v/>
      </c>
      <c r="D17" s="15">
        <f>IFERROR(AVERAGEIFS($H$36:$H$331,$A$36:$A$331,"ETH → SOL",$C$36:$C$331,$A17),"n/a")</f>
        <v/>
      </c>
      <c r="E17" s="15">
        <f>IFERROR(AVERAGEIFS($H$36:$H$331,$A$36:$A$331,"SOL → BSC",$C$36:$C$331,$A17),"n/a")</f>
        <v/>
      </c>
      <c r="F17" s="15">
        <f>IFERROR(AVERAGEIFS($H$36:$H$331,$A$36:$A$331,"BSC → SOL",$C$36:$C$331,$A17),"n/a")</f>
        <v/>
      </c>
      <c r="G17" s="15">
        <f>IFERROR(AVERAGEIFS($H$36:$H$331,$A$36:$A$331,"SOL → Base",$C$36:$C$331,$A17),"n/a")</f>
        <v/>
      </c>
      <c r="H17" s="15">
        <f>IFERROR(AVERAGEIFS($H$36:$H$331,$A$36:$A$331,"Base → SOL",$C$36:$C$331,$A17),"n/a")</f>
        <v/>
      </c>
      <c r="M17" s="4" t="inlineStr">
        <is>
          <t>Skip Go</t>
        </is>
      </c>
      <c r="N17" s="16">
        <f>IFERROR(AVERAGEIFS($G$36:$G$331,$A$36:$A$331,"SOL → ETH",$C$36:$C$331,$M17),"")</f>
        <v/>
      </c>
      <c r="O17" s="16">
        <f>IFERROR(AVERAGEIFS($G$36:$G$331,$A$36:$A$331,"ETH → SOL",$C$36:$C$331,$M17),"")</f>
        <v/>
      </c>
      <c r="P17" s="16">
        <f>IFERROR(AVERAGEIFS($G$36:$G$331,$A$36:$A$331,"SOL → BSC",$C$36:$C$331,$M17),"")</f>
        <v/>
      </c>
      <c r="Q17" s="16">
        <f>IFERROR(AVERAGEIFS($G$36:$G$331,$A$36:$A$331,"BSC → SOL",$C$36:$C$331,$M17),"")</f>
        <v/>
      </c>
      <c r="R17" s="16">
        <f>IFERROR(AVERAGEIFS($G$36:$G$331,$A$36:$A$331,"SOL → Base",$C$36:$C$331,$M17),"")</f>
        <v/>
      </c>
      <c r="S17" s="16">
        <f>IFERROR(AVERAGEIFS($G$36:$G$331,$A$36:$A$331,"Base → SOL",$C$36:$C$331,$M17),"")</f>
        <v/>
      </c>
    </row>
    <row r="18">
      <c r="A18" s="4" t="inlineStr">
        <is>
          <t>Symbiosis</t>
        </is>
      </c>
      <c r="B18" s="4" t="inlineStr">
        <is>
          <t>venue</t>
        </is>
      </c>
      <c r="C18" s="15">
        <f>IFERROR(AVERAGEIFS($H$36:$H$331,$A$36:$A$331,"SOL → ETH",$C$36:$C$331,$A18),"n/a")</f>
        <v/>
      </c>
      <c r="D18" s="15">
        <f>IFERROR(AVERAGEIFS($H$36:$H$331,$A$36:$A$331,"ETH → SOL",$C$36:$C$331,$A18),"n/a")</f>
        <v/>
      </c>
      <c r="E18" s="15">
        <f>IFERROR(AVERAGEIFS($H$36:$H$331,$A$36:$A$331,"SOL → BSC",$C$36:$C$331,$A18),"n/a")</f>
        <v/>
      </c>
      <c r="F18" s="15">
        <f>IFERROR(AVERAGEIFS($H$36:$H$331,$A$36:$A$331,"BSC → SOL",$C$36:$C$331,$A18),"n/a")</f>
        <v/>
      </c>
      <c r="G18" s="15">
        <f>IFERROR(AVERAGEIFS($H$36:$H$331,$A$36:$A$331,"SOL → Base",$C$36:$C$331,$A18),"n/a")</f>
        <v/>
      </c>
      <c r="H18" s="15">
        <f>IFERROR(AVERAGEIFS($H$36:$H$331,$A$36:$A$331,"Base → SOL",$C$36:$C$331,$A18),"n/a")</f>
        <v/>
      </c>
      <c r="M18" s="4" t="inlineStr">
        <is>
          <t>Symbiosis</t>
        </is>
      </c>
      <c r="N18" s="16">
        <f>IFERROR(AVERAGEIFS($G$36:$G$331,$A$36:$A$331,"SOL → ETH",$C$36:$C$331,$M18),"")</f>
        <v/>
      </c>
      <c r="O18" s="16">
        <f>IFERROR(AVERAGEIFS($G$36:$G$331,$A$36:$A$331,"ETH → SOL",$C$36:$C$331,$M18),"")</f>
        <v/>
      </c>
      <c r="P18" s="16">
        <f>IFERROR(AVERAGEIFS($G$36:$G$331,$A$36:$A$331,"SOL → BSC",$C$36:$C$331,$M18),"")</f>
        <v/>
      </c>
      <c r="Q18" s="16">
        <f>IFERROR(AVERAGEIFS($G$36:$G$331,$A$36:$A$331,"BSC → SOL",$C$36:$C$331,$M18),"")</f>
        <v/>
      </c>
      <c r="R18" s="16">
        <f>IFERROR(AVERAGEIFS($G$36:$G$331,$A$36:$A$331,"SOL → Base",$C$36:$C$331,$M18),"")</f>
        <v/>
      </c>
      <c r="S18" s="16">
        <f>IFERROR(AVERAGEIFS($G$36:$G$331,$A$36:$A$331,"Base → SOL",$C$36:$C$331,$M18),"")</f>
        <v/>
      </c>
    </row>
    <row r="19">
      <c r="A19" s="4" t="inlineStr">
        <is>
          <t>Axiom</t>
        </is>
      </c>
      <c r="B19" s="4" t="inlineStr">
        <is>
          <t>platform</t>
        </is>
      </c>
      <c r="C19" s="2" t="inlineStr">
        <is>
          <t>BLOCKED — bot protection + login required: axiom.trade serves a Cloudflare bot-verification page (HTTP 403) to a fresh browser; its official docs list no bridge/cross-chain transfer feature (only in-wallet Convert/swap and a Hyperliquid perps deposit), and any wallet features need an Axiom account.</t>
        </is>
      </c>
    </row>
    <row r="20">
      <c r="A20" s="4" t="inlineStr">
        <is>
          <t>FOMO</t>
        </is>
      </c>
      <c r="B20" s="4" t="inlineStr">
        <is>
          <t>platform</t>
        </is>
      </c>
      <c r="C20" s="2" t="inlineStr">
        <is>
          <t>BLOCKED — no bridge feature + login required: fomo.family abstracts chains behind a single USD balance (Solana/Base/BNB/Monad, 'no bridges needed'); no cross-chain USDC transfer quote exists, and deposit/withdraw/trade all require creating an account. Ethereum mainnet not supported.</t>
        </is>
      </c>
    </row>
    <row r="21">
      <c r="A21" s="4" t="inlineStr">
        <is>
          <t>GMGN</t>
        </is>
      </c>
      <c r="B21" s="4" t="inlineStr">
        <is>
          <t>platform</t>
        </is>
      </c>
      <c r="C21" s="2" t="inlineStr">
        <is>
          <t>BLOCKED — bot protection: gmgn.ai blocks a fresh browser with a Cloudflare 'you have been blocked' page (HTTP 403); official docs list no cross-chain bridge feature (only same-chain token swaps, which need a connected wallet/login).</t>
        </is>
      </c>
    </row>
    <row r="22">
      <c r="A22" s="4" t="inlineStr">
        <is>
          <t>Pump.fun</t>
        </is>
      </c>
      <c r="B22" s="4" t="inlineStr">
        <is>
          <t>platform</t>
        </is>
      </c>
      <c r="C22" s="2" t="inlineStr">
        <is>
          <t>BLOCKED — Solana-only + login required: no general bridge; the only cross-chain feature is a MoonPay 'Cross Chain Deposit' into the user's own Pump.fun (Solana) account, which needs sign-in (and accepting the ToS modal). SOL-&gt;EVM directions are not offered at all.</t>
        </is>
      </c>
    </row>
    <row r="25">
      <c r="A25" s="3" t="inlineStr">
        <is>
          <t>Route winners</t>
        </is>
      </c>
    </row>
    <row r="26" ht="30" customHeight="1">
      <c r="A26" s="17" t="inlineStr">
        <is>
          <t>Route</t>
        </is>
      </c>
      <c r="B26" s="17" t="inlineStr">
        <is>
          <t>Bridg best (avg)</t>
        </is>
      </c>
      <c r="C26" s="17" t="inlineStr">
        <is>
          <t>Best elsewhere (avg out)</t>
        </is>
      </c>
      <c r="D26" s="17" t="inlineStr">
        <is>
          <t>Site</t>
        </is>
      </c>
      <c r="E26" s="17" t="inlineStr">
        <is>
          <t>Bridg vs best (bps)</t>
        </is>
      </c>
      <c r="F26" s="17" t="inlineStr">
        <is>
          <t>Sites Bridg beats</t>
        </is>
      </c>
      <c r="G26" s="17" t="inlineStr">
        <is>
          <t>Sites beating Bridg</t>
        </is>
      </c>
    </row>
    <row r="27">
      <c r="A27" s="4" t="inlineStr">
        <is>
          <t>SOL → ETH</t>
        </is>
      </c>
      <c r="B27" s="10">
        <f>IFERROR(AVERAGEIFS('Raw Quotes'!$K:$K,'Raw Quotes'!$B:$B,"SOL-&gt;ETH",'Raw Quotes'!$D:$D,"Bridg",'Raw Quotes'!$F:$F,"OK"),"")</f>
        <v/>
      </c>
      <c r="C27" s="16">
        <f>MAX($N$6:$N$18)</f>
        <v/>
      </c>
      <c r="D27" s="4">
        <f>INDEX($M$6:$M$18,MATCH(C27,$N$6:$N$18,0))</f>
        <v/>
      </c>
      <c r="E27" s="15">
        <f>(B27-C27)/100*10000</f>
        <v/>
      </c>
      <c r="F27" s="4">
        <f>COUNTIF($C$6:$C$18,"&gt;2")</f>
        <v/>
      </c>
      <c r="G27" s="4">
        <f>COUNTIF($C$6:$C$18,"&lt;-2")</f>
        <v/>
      </c>
      <c r="H27" s="2" t="inlineStr">
        <is>
          <t>Bridg best is averaged per synchronized run (Raw Quotes); savings compare it with the best per-site average.</t>
        </is>
      </c>
    </row>
    <row r="28">
      <c r="A28" s="4" t="inlineStr">
        <is>
          <t>ETH → SOL</t>
        </is>
      </c>
      <c r="B28" s="10">
        <f>IFERROR(AVERAGEIFS('Raw Quotes'!$K:$K,'Raw Quotes'!$B:$B,"ETH-&gt;SOL",'Raw Quotes'!$D:$D,"Bridg",'Raw Quotes'!$F:$F,"OK"),"")</f>
        <v/>
      </c>
      <c r="C28" s="16">
        <f>MAX($O$6:$O$18)</f>
        <v/>
      </c>
      <c r="D28" s="4">
        <f>INDEX($M$6:$M$18,MATCH(C28,$O$6:$O$18,0))</f>
        <v/>
      </c>
      <c r="E28" s="15">
        <f>(B28-C28)/100*10000</f>
        <v/>
      </c>
      <c r="F28" s="4">
        <f>COUNTIF($D$6:$D$18,"&gt;2")</f>
        <v/>
      </c>
      <c r="G28" s="4">
        <f>COUNTIF($D$6:$D$18,"&lt;-2")</f>
        <v/>
      </c>
    </row>
    <row r="29">
      <c r="A29" s="4" t="inlineStr">
        <is>
          <t>SOL → BSC</t>
        </is>
      </c>
      <c r="B29" s="10">
        <f>IFERROR(AVERAGEIFS('Raw Quotes'!$K:$K,'Raw Quotes'!$B:$B,"SOL-&gt;BSC",'Raw Quotes'!$D:$D,"Bridg",'Raw Quotes'!$F:$F,"OK"),"")</f>
        <v/>
      </c>
      <c r="C29" s="16">
        <f>MAX($P$6:$P$18)</f>
        <v/>
      </c>
      <c r="D29" s="4">
        <f>INDEX($M$6:$M$18,MATCH(C29,$P$6:$P$18,0))</f>
        <v/>
      </c>
      <c r="E29" s="15">
        <f>(B29-C29)/100*10000</f>
        <v/>
      </c>
      <c r="F29" s="4">
        <f>COUNTIF($E$6:$E$18,"&gt;2")</f>
        <v/>
      </c>
      <c r="G29" s="4">
        <f>COUNTIF($E$6:$E$18,"&lt;-2")</f>
        <v/>
      </c>
    </row>
    <row r="30">
      <c r="A30" s="4" t="inlineStr">
        <is>
          <t>BSC → SOL</t>
        </is>
      </c>
      <c r="B30" s="10">
        <f>IFERROR(AVERAGEIFS('Raw Quotes'!$K:$K,'Raw Quotes'!$B:$B,"BSC-&gt;SOL",'Raw Quotes'!$D:$D,"Bridg",'Raw Quotes'!$F:$F,"OK"),"")</f>
        <v/>
      </c>
      <c r="C30" s="16">
        <f>MAX($Q$6:$Q$18)</f>
        <v/>
      </c>
      <c r="D30" s="4">
        <f>INDEX($M$6:$M$18,MATCH(C30,$Q$6:$Q$18,0))</f>
        <v/>
      </c>
      <c r="E30" s="15">
        <f>(B30-C30)/100*10000</f>
        <v/>
      </c>
      <c r="F30" s="4">
        <f>COUNTIF($F$6:$F$18,"&gt;2")</f>
        <v/>
      </c>
      <c r="G30" s="4">
        <f>COUNTIF($F$6:$F$18,"&lt;-2")</f>
        <v/>
      </c>
    </row>
    <row r="31">
      <c r="A31" s="4" t="inlineStr">
        <is>
          <t>SOL → Base</t>
        </is>
      </c>
      <c r="B31" s="10">
        <f>IFERROR(AVERAGEIFS('Raw Quotes'!$K:$K,'Raw Quotes'!$B:$B,"SOL-&gt;Base",'Raw Quotes'!$D:$D,"Bridg",'Raw Quotes'!$F:$F,"OK"),"")</f>
        <v/>
      </c>
      <c r="C31" s="16">
        <f>MAX($R$6:$R$18)</f>
        <v/>
      </c>
      <c r="D31" s="4">
        <f>INDEX($M$6:$M$18,MATCH(C31,$R$6:$R$18,0))</f>
        <v/>
      </c>
      <c r="E31" s="15">
        <f>(B31-C31)/100*10000</f>
        <v/>
      </c>
      <c r="F31" s="4">
        <f>COUNTIF($G$6:$G$18,"&gt;2")</f>
        <v/>
      </c>
      <c r="G31" s="4">
        <f>COUNTIF($G$6:$G$18,"&lt;-2")</f>
        <v/>
      </c>
    </row>
    <row r="32">
      <c r="A32" s="4" t="inlineStr">
        <is>
          <t>Base → SOL</t>
        </is>
      </c>
      <c r="B32" s="10">
        <f>IFERROR(AVERAGEIFS('Raw Quotes'!$K:$K,'Raw Quotes'!$B:$B,"Base-&gt;SOL",'Raw Quotes'!$D:$D,"Bridg",'Raw Quotes'!$F:$F,"OK"),"")</f>
        <v/>
      </c>
      <c r="C32" s="16">
        <f>MAX($S$6:$S$18)</f>
        <v/>
      </c>
      <c r="D32" s="4">
        <f>INDEX($M$6:$M$18,MATCH(C32,$S$6:$S$18,0))</f>
        <v/>
      </c>
      <c r="E32" s="15">
        <f>(B32-C32)/100*10000</f>
        <v/>
      </c>
      <c r="F32" s="4">
        <f>COUNTIF($H$6:$H$18,"&gt;2")</f>
        <v/>
      </c>
      <c r="G32" s="4">
        <f>COUNTIF($H$6:$H$18,"&lt;-2")</f>
        <v/>
      </c>
    </row>
    <row r="34">
      <c r="A34" s="3" t="inlineStr">
        <is>
          <t>Per-sample observations</t>
        </is>
      </c>
    </row>
    <row r="35">
      <c r="A35" s="17" t="inlineStr">
        <is>
          <t>Route</t>
        </is>
      </c>
      <c r="B35" s="17" t="inlineStr">
        <is>
          <t>Sample</t>
        </is>
      </c>
      <c r="C35" s="17" t="inlineStr">
        <is>
          <t>Site</t>
        </is>
      </c>
      <c r="D35" s="17" t="inlineStr">
        <is>
          <t>Kind</t>
        </is>
      </c>
      <c r="E35" s="17" t="inlineStr">
        <is>
          <t>Bridg best</t>
        </is>
      </c>
      <c r="F35" s="17" t="inlineStr">
        <is>
          <t>Bridg best via</t>
        </is>
      </c>
      <c r="G35" s="17" t="inlineStr">
        <is>
          <t>Other out (cmp)</t>
        </is>
      </c>
      <c r="H35" s="17" t="inlineStr">
        <is>
          <t>Savings bps</t>
        </is>
      </c>
      <c r="I35" s="17" t="inlineStr">
        <is>
          <t>Fee on top in SOL/ETH (not counted)</t>
        </is>
      </c>
    </row>
    <row r="36">
      <c r="A36" s="4" t="inlineStr">
        <is>
          <t>SOL → ETH</t>
        </is>
      </c>
      <c r="B36" s="4" t="n">
        <v>1</v>
      </c>
      <c r="C36" s="4" t="inlineStr">
        <is>
          <t>Relay</t>
        </is>
      </c>
      <c r="D36" s="4" t="inlineStr">
        <is>
          <t>venue</t>
        </is>
      </c>
      <c r="E36" s="18" t="n">
        <v>99.940005</v>
      </c>
      <c r="F36" s="4" t="inlineStr">
        <is>
          <t>Across</t>
        </is>
      </c>
      <c r="G36" s="18" t="n">
        <v>99.786475</v>
      </c>
      <c r="H36" s="15">
        <f>(E36-G36)/100*10000</f>
        <v/>
      </c>
      <c r="I36" s="4" t="inlineStr"/>
    </row>
    <row r="37">
      <c r="A37" s="4" t="inlineStr">
        <is>
          <t>SOL → ETH</t>
        </is>
      </c>
      <c r="B37" s="4" t="n">
        <v>1</v>
      </c>
      <c r="C37" s="4" t="inlineStr">
        <is>
          <t>Relay</t>
        </is>
      </c>
      <c r="D37" s="4" t="inlineStr">
        <is>
          <t>venue</t>
        </is>
      </c>
      <c r="E37" s="18" t="n">
        <v>99.693094</v>
      </c>
      <c r="F37" s="4" t="inlineStr">
        <is>
          <t>Relay</t>
        </is>
      </c>
      <c r="G37" s="18" t="n">
        <v>99.898059</v>
      </c>
      <c r="H37" s="15">
        <f>(E37-G37)/100*10000</f>
        <v/>
      </c>
      <c r="I37" s="4" t="inlineStr"/>
    </row>
    <row r="38">
      <c r="A38" s="4" t="inlineStr">
        <is>
          <t>SOL → ETH</t>
        </is>
      </c>
      <c r="B38" s="4" t="n">
        <v>2</v>
      </c>
      <c r="C38" s="4" t="inlineStr">
        <is>
          <t>Relay</t>
        </is>
      </c>
      <c r="D38" s="4" t="inlineStr">
        <is>
          <t>venue</t>
        </is>
      </c>
      <c r="E38" s="18" t="n">
        <v>99.89001</v>
      </c>
      <c r="F38" s="4" t="inlineStr">
        <is>
          <t>Across</t>
        </is>
      </c>
      <c r="G38" s="18" t="n">
        <v>99.725416</v>
      </c>
      <c r="H38" s="15">
        <f>(E38-G38)/100*10000</f>
        <v/>
      </c>
      <c r="I38" s="4" t="inlineStr"/>
    </row>
    <row r="39">
      <c r="A39" s="4" t="inlineStr">
        <is>
          <t>SOL → ETH</t>
        </is>
      </c>
      <c r="B39" s="4" t="n">
        <v>2</v>
      </c>
      <c r="C39" s="4" t="inlineStr">
        <is>
          <t>Relay</t>
        </is>
      </c>
      <c r="D39" s="4" t="inlineStr">
        <is>
          <t>venue</t>
        </is>
      </c>
      <c r="E39" s="18" t="n">
        <v>99.940005</v>
      </c>
      <c r="F39" s="4" t="inlineStr">
        <is>
          <t>Across</t>
        </is>
      </c>
      <c r="G39" s="18" t="n">
        <v>99.889167</v>
      </c>
      <c r="H39" s="15">
        <f>(E39-G39)/100*10000</f>
        <v/>
      </c>
      <c r="I39" s="4" t="inlineStr"/>
    </row>
    <row r="40">
      <c r="A40" s="4" t="inlineStr">
        <is>
          <t>SOL → ETH</t>
        </is>
      </c>
      <c r="B40" s="4" t="n">
        <v>3</v>
      </c>
      <c r="C40" s="4" t="inlineStr">
        <is>
          <t>Relay</t>
        </is>
      </c>
      <c r="D40" s="4" t="inlineStr">
        <is>
          <t>venue</t>
        </is>
      </c>
      <c r="E40" s="18" t="n">
        <v>99.940005</v>
      </c>
      <c r="F40" s="4" t="inlineStr">
        <is>
          <t>Across</t>
        </is>
      </c>
      <c r="G40" s="18" t="n">
        <v>99.86262000000001</v>
      </c>
      <c r="H40" s="15">
        <f>(E40-G40)/100*10000</f>
        <v/>
      </c>
      <c r="I40" s="4" t="inlineStr"/>
    </row>
    <row r="41">
      <c r="A41" s="4" t="inlineStr">
        <is>
          <t>SOL → ETH</t>
        </is>
      </c>
      <c r="B41" s="4" t="n">
        <v>3</v>
      </c>
      <c r="C41" s="4" t="inlineStr">
        <is>
          <t>Relay</t>
        </is>
      </c>
      <c r="D41" s="4" t="inlineStr">
        <is>
          <t>venue</t>
        </is>
      </c>
      <c r="E41" s="18" t="n">
        <v>99.940005</v>
      </c>
      <c r="F41" s="4" t="inlineStr">
        <is>
          <t>Across</t>
        </is>
      </c>
      <c r="G41" s="18" t="n">
        <v>99.89036900000001</v>
      </c>
      <c r="H41" s="15">
        <f>(E41-G41)/100*10000</f>
        <v/>
      </c>
      <c r="I41" s="4" t="inlineStr"/>
    </row>
    <row r="42">
      <c r="A42" s="4" t="inlineStr">
        <is>
          <t>SOL → ETH</t>
        </is>
      </c>
      <c r="B42" s="4" t="n">
        <v>1</v>
      </c>
      <c r="C42" s="4" t="inlineStr">
        <is>
          <t>deBridge</t>
        </is>
      </c>
      <c r="D42" s="4" t="inlineStr">
        <is>
          <t>venue</t>
        </is>
      </c>
      <c r="E42" s="18" t="n">
        <v>99.940005</v>
      </c>
      <c r="F42" s="4" t="inlineStr">
        <is>
          <t>Across</t>
        </is>
      </c>
      <c r="G42" s="18" t="n">
        <v>98.627218</v>
      </c>
      <c r="H42" s="15">
        <f>(E42-G42)/100*10000</f>
        <v/>
      </c>
      <c r="I42" s="4" t="inlineStr"/>
    </row>
    <row r="43">
      <c r="A43" s="4" t="inlineStr">
        <is>
          <t>SOL → ETH</t>
        </is>
      </c>
      <c r="B43" s="4" t="n">
        <v>1</v>
      </c>
      <c r="C43" s="4" t="inlineStr">
        <is>
          <t>deBridge</t>
        </is>
      </c>
      <c r="D43" s="4" t="inlineStr">
        <is>
          <t>venue</t>
        </is>
      </c>
      <c r="E43" s="18" t="n">
        <v>99.693094</v>
      </c>
      <c r="F43" s="4" t="inlineStr">
        <is>
          <t>Relay</t>
        </is>
      </c>
      <c r="G43" s="18" t="n">
        <v>98.184033</v>
      </c>
      <c r="H43" s="15">
        <f>(E43-G43)/100*10000</f>
        <v/>
      </c>
      <c r="I43" s="4" t="inlineStr"/>
    </row>
    <row r="44">
      <c r="A44" s="4" t="inlineStr">
        <is>
          <t>SOL → ETH</t>
        </is>
      </c>
      <c r="B44" s="4" t="n">
        <v>2</v>
      </c>
      <c r="C44" s="4" t="inlineStr">
        <is>
          <t>deBridge</t>
        </is>
      </c>
      <c r="D44" s="4" t="inlineStr">
        <is>
          <t>venue</t>
        </is>
      </c>
      <c r="E44" s="18" t="n">
        <v>99.89001</v>
      </c>
      <c r="F44" s="4" t="inlineStr">
        <is>
          <t>Across</t>
        </is>
      </c>
      <c r="G44" s="18" t="n">
        <v>98.581118</v>
      </c>
      <c r="H44" s="15">
        <f>(E44-G44)/100*10000</f>
        <v/>
      </c>
      <c r="I44" s="4" t="inlineStr"/>
    </row>
    <row r="45">
      <c r="A45" s="4" t="inlineStr">
        <is>
          <t>SOL → ETH</t>
        </is>
      </c>
      <c r="B45" s="4" t="n">
        <v>2</v>
      </c>
      <c r="C45" s="4" t="inlineStr">
        <is>
          <t>deBridge</t>
        </is>
      </c>
      <c r="D45" s="4" t="inlineStr">
        <is>
          <t>venue</t>
        </is>
      </c>
      <c r="E45" s="18" t="n">
        <v>99.940005</v>
      </c>
      <c r="F45" s="4" t="inlineStr">
        <is>
          <t>Across</t>
        </is>
      </c>
      <c r="G45" s="18" t="n">
        <v>98.676818</v>
      </c>
      <c r="H45" s="15">
        <f>(E45-G45)/100*10000</f>
        <v/>
      </c>
      <c r="I45" s="4" t="inlineStr"/>
    </row>
    <row r="46">
      <c r="A46" s="4" t="inlineStr">
        <is>
          <t>SOL → ETH</t>
        </is>
      </c>
      <c r="B46" s="4" t="n">
        <v>3</v>
      </c>
      <c r="C46" s="4" t="inlineStr">
        <is>
          <t>deBridge</t>
        </is>
      </c>
      <c r="D46" s="4" t="inlineStr">
        <is>
          <t>venue</t>
        </is>
      </c>
      <c r="E46" s="18" t="n">
        <v>99.940005</v>
      </c>
      <c r="F46" s="4" t="inlineStr">
        <is>
          <t>Across</t>
        </is>
      </c>
      <c r="G46" s="18" t="n">
        <v>98.146034</v>
      </c>
      <c r="H46" s="15">
        <f>(E46-G46)/100*10000</f>
        <v/>
      </c>
      <c r="I46" s="4" t="inlineStr"/>
    </row>
    <row r="47">
      <c r="A47" s="4" t="inlineStr">
        <is>
          <t>SOL → ETH</t>
        </is>
      </c>
      <c r="B47" s="4" t="n">
        <v>3</v>
      </c>
      <c r="C47" s="4" t="inlineStr">
        <is>
          <t>deBridge</t>
        </is>
      </c>
      <c r="D47" s="4" t="inlineStr">
        <is>
          <t>venue</t>
        </is>
      </c>
      <c r="E47" s="18" t="n">
        <v>99.940005</v>
      </c>
      <c r="F47" s="4" t="inlineStr">
        <is>
          <t>Across</t>
        </is>
      </c>
      <c r="G47" s="18" t="n">
        <v>98.178933</v>
      </c>
      <c r="H47" s="15">
        <f>(E47-G47)/100*10000</f>
        <v/>
      </c>
      <c r="I47" s="4" t="inlineStr"/>
    </row>
    <row r="48">
      <c r="A48" s="4" t="inlineStr">
        <is>
          <t>SOL → ETH</t>
        </is>
      </c>
      <c r="B48" s="4" t="n">
        <v>1</v>
      </c>
      <c r="C48" s="4" t="inlineStr">
        <is>
          <t>LI.FI (Jumper)</t>
        </is>
      </c>
      <c r="D48" s="4" t="inlineStr">
        <is>
          <t>venue</t>
        </is>
      </c>
      <c r="E48" s="18" t="n">
        <v>99.940005</v>
      </c>
      <c r="F48" s="4" t="inlineStr">
        <is>
          <t>Across</t>
        </is>
      </c>
      <c r="G48" s="18" t="n">
        <v>99.786475</v>
      </c>
      <c r="H48" s="15">
        <f>(E48-G48)/100*10000</f>
        <v/>
      </c>
      <c r="I48" s="4" t="inlineStr"/>
    </row>
    <row r="49">
      <c r="A49" s="4" t="inlineStr">
        <is>
          <t>SOL → ETH</t>
        </is>
      </c>
      <c r="B49" s="4" t="n">
        <v>1</v>
      </c>
      <c r="C49" s="4" t="inlineStr">
        <is>
          <t>LI.FI (Jumper)</t>
        </is>
      </c>
      <c r="D49" s="4" t="inlineStr">
        <is>
          <t>venue</t>
        </is>
      </c>
      <c r="E49" s="18" t="n">
        <v>99.693094</v>
      </c>
      <c r="F49" s="4" t="inlineStr">
        <is>
          <t>Relay</t>
        </is>
      </c>
      <c r="G49" s="18" t="n">
        <v>99.898059</v>
      </c>
      <c r="H49" s="15">
        <f>(E49-G49)/100*10000</f>
        <v/>
      </c>
      <c r="I49" s="4" t="inlineStr"/>
    </row>
    <row r="50">
      <c r="A50" s="4" t="inlineStr">
        <is>
          <t>SOL → ETH</t>
        </is>
      </c>
      <c r="B50" s="4" t="n">
        <v>2</v>
      </c>
      <c r="C50" s="4" t="inlineStr">
        <is>
          <t>LI.FI (Jumper)</t>
        </is>
      </c>
      <c r="D50" s="4" t="inlineStr">
        <is>
          <t>venue</t>
        </is>
      </c>
      <c r="E50" s="18" t="n">
        <v>99.89001</v>
      </c>
      <c r="F50" s="4" t="inlineStr">
        <is>
          <t>Across</t>
        </is>
      </c>
      <c r="G50" s="18" t="n">
        <v>99.73308299999999</v>
      </c>
      <c r="H50" s="15">
        <f>(E50-G50)/100*10000</f>
        <v/>
      </c>
      <c r="I50" s="4" t="inlineStr"/>
    </row>
    <row r="51">
      <c r="A51" s="4" t="inlineStr">
        <is>
          <t>SOL → ETH</t>
        </is>
      </c>
      <c r="B51" s="4" t="n">
        <v>2</v>
      </c>
      <c r="C51" s="4" t="inlineStr">
        <is>
          <t>LI.FI (Jumper)</t>
        </is>
      </c>
      <c r="D51" s="4" t="inlineStr">
        <is>
          <t>venue</t>
        </is>
      </c>
      <c r="E51" s="18" t="n">
        <v>99.940005</v>
      </c>
      <c r="F51" s="4" t="inlineStr">
        <is>
          <t>Across</t>
        </is>
      </c>
      <c r="G51" s="18" t="n">
        <v>99.889167</v>
      </c>
      <c r="H51" s="15">
        <f>(E51-G51)/100*10000</f>
        <v/>
      </c>
      <c r="I51" s="4" t="inlineStr"/>
    </row>
    <row r="52">
      <c r="A52" s="4" t="inlineStr">
        <is>
          <t>SOL → ETH</t>
        </is>
      </c>
      <c r="B52" s="4" t="n">
        <v>3</v>
      </c>
      <c r="C52" s="4" t="inlineStr">
        <is>
          <t>LI.FI (Jumper)</t>
        </is>
      </c>
      <c r="D52" s="4" t="inlineStr">
        <is>
          <t>venue</t>
        </is>
      </c>
      <c r="E52" s="18" t="n">
        <v>99.940005</v>
      </c>
      <c r="F52" s="4" t="inlineStr">
        <is>
          <t>Across</t>
        </is>
      </c>
      <c r="G52" s="18" t="n">
        <v>99.86478200000001</v>
      </c>
      <c r="H52" s="15">
        <f>(E52-G52)/100*10000</f>
        <v/>
      </c>
      <c r="I52" s="4" t="inlineStr"/>
    </row>
    <row r="53">
      <c r="A53" s="4" t="inlineStr">
        <is>
          <t>SOL → ETH</t>
        </is>
      </c>
      <c r="B53" s="4" t="n">
        <v>3</v>
      </c>
      <c r="C53" s="4" t="inlineStr">
        <is>
          <t>LI.FI (Jumper)</t>
        </is>
      </c>
      <c r="D53" s="4" t="inlineStr">
        <is>
          <t>venue</t>
        </is>
      </c>
      <c r="E53" s="18" t="n">
        <v>99.940005</v>
      </c>
      <c r="F53" s="4" t="inlineStr">
        <is>
          <t>Across</t>
        </is>
      </c>
      <c r="G53" s="18" t="n">
        <v>99.89036900000001</v>
      </c>
      <c r="H53" s="15">
        <f>(E53-G53)/100*10000</f>
        <v/>
      </c>
      <c r="I53" s="4" t="inlineStr"/>
    </row>
    <row r="54">
      <c r="A54" s="4" t="inlineStr">
        <is>
          <t>SOL → ETH</t>
        </is>
      </c>
      <c r="B54" s="4" t="n">
        <v>1</v>
      </c>
      <c r="C54" s="4" t="inlineStr">
        <is>
          <t>Across</t>
        </is>
      </c>
      <c r="D54" s="4" t="inlineStr">
        <is>
          <t>venue</t>
        </is>
      </c>
      <c r="E54" s="18" t="n">
        <v>99.940005</v>
      </c>
      <c r="F54" s="4" t="inlineStr">
        <is>
          <t>Across</t>
        </is>
      </c>
      <c r="G54" s="18" t="n">
        <v>99.98999999999999</v>
      </c>
      <c r="H54" s="15">
        <f>(E54-G54)/100*10000</f>
        <v/>
      </c>
      <c r="I54" s="4" t="inlineStr"/>
    </row>
    <row r="55">
      <c r="A55" s="4" t="inlineStr">
        <is>
          <t>SOL → ETH</t>
        </is>
      </c>
      <c r="B55" s="4" t="n">
        <v>1</v>
      </c>
      <c r="C55" s="4" t="inlineStr">
        <is>
          <t>Across</t>
        </is>
      </c>
      <c r="D55" s="4" t="inlineStr">
        <is>
          <t>venue</t>
        </is>
      </c>
      <c r="E55" s="18" t="n">
        <v>99.693094</v>
      </c>
      <c r="F55" s="4" t="inlineStr">
        <is>
          <t>Relay</t>
        </is>
      </c>
      <c r="G55" s="18" t="n">
        <v>99.98999999999999</v>
      </c>
      <c r="H55" s="15">
        <f>(E55-G55)/100*10000</f>
        <v/>
      </c>
      <c r="I55" s="4" t="inlineStr"/>
    </row>
    <row r="56">
      <c r="A56" s="4" t="inlineStr">
        <is>
          <t>SOL → ETH</t>
        </is>
      </c>
      <c r="B56" s="4" t="n">
        <v>2</v>
      </c>
      <c r="C56" s="4" t="inlineStr">
        <is>
          <t>Across</t>
        </is>
      </c>
      <c r="D56" s="4" t="inlineStr">
        <is>
          <t>venue</t>
        </is>
      </c>
      <c r="E56" s="18" t="n">
        <v>99.89001</v>
      </c>
      <c r="F56" s="4" t="inlineStr">
        <is>
          <t>Across</t>
        </is>
      </c>
      <c r="G56" s="18" t="n">
        <v>99.98999999999999</v>
      </c>
      <c r="H56" s="15">
        <f>(E56-G56)/100*10000</f>
        <v/>
      </c>
      <c r="I56" s="4" t="inlineStr"/>
    </row>
    <row r="57">
      <c r="A57" s="4" t="inlineStr">
        <is>
          <t>SOL → ETH</t>
        </is>
      </c>
      <c r="B57" s="4" t="n">
        <v>2</v>
      </c>
      <c r="C57" s="4" t="inlineStr">
        <is>
          <t>Across</t>
        </is>
      </c>
      <c r="D57" s="4" t="inlineStr">
        <is>
          <t>venue</t>
        </is>
      </c>
      <c r="E57" s="18" t="n">
        <v>99.940005</v>
      </c>
      <c r="F57" s="4" t="inlineStr">
        <is>
          <t>Across</t>
        </is>
      </c>
      <c r="G57" s="18" t="n">
        <v>99.98999999999999</v>
      </c>
      <c r="H57" s="15">
        <f>(E57-G57)/100*10000</f>
        <v/>
      </c>
      <c r="I57" s="4" t="inlineStr"/>
    </row>
    <row r="58">
      <c r="A58" s="4" t="inlineStr">
        <is>
          <t>SOL → ETH</t>
        </is>
      </c>
      <c r="B58" s="4" t="n">
        <v>3</v>
      </c>
      <c r="C58" s="4" t="inlineStr">
        <is>
          <t>Across</t>
        </is>
      </c>
      <c r="D58" s="4" t="inlineStr">
        <is>
          <t>venue</t>
        </is>
      </c>
      <c r="E58" s="18" t="n">
        <v>99.940005</v>
      </c>
      <c r="F58" s="4" t="inlineStr">
        <is>
          <t>Across</t>
        </is>
      </c>
      <c r="G58" s="18" t="n">
        <v>99.98999999999999</v>
      </c>
      <c r="H58" s="15">
        <f>(E58-G58)/100*10000</f>
        <v/>
      </c>
      <c r="I58" s="4" t="inlineStr"/>
    </row>
    <row r="59">
      <c r="A59" s="4" t="inlineStr">
        <is>
          <t>SOL → ETH</t>
        </is>
      </c>
      <c r="B59" s="4" t="n">
        <v>3</v>
      </c>
      <c r="C59" s="4" t="inlineStr">
        <is>
          <t>Across</t>
        </is>
      </c>
      <c r="D59" s="4" t="inlineStr">
        <is>
          <t>venue</t>
        </is>
      </c>
      <c r="E59" s="18" t="n">
        <v>99.940005</v>
      </c>
      <c r="F59" s="4" t="inlineStr">
        <is>
          <t>Across</t>
        </is>
      </c>
      <c r="G59" s="18" t="n">
        <v>99.98999999999999</v>
      </c>
      <c r="H59" s="15">
        <f>(E59-G59)/100*10000</f>
        <v/>
      </c>
      <c r="I59" s="4" t="inlineStr"/>
    </row>
    <row r="60">
      <c r="A60" s="4" t="inlineStr">
        <is>
          <t>SOL → ETH</t>
        </is>
      </c>
      <c r="B60" s="4" t="n">
        <v>1</v>
      </c>
      <c r="C60" s="4" t="inlineStr">
        <is>
          <t>Mayan</t>
        </is>
      </c>
      <c r="D60" s="4" t="inlineStr">
        <is>
          <t>venue</t>
        </is>
      </c>
      <c r="E60" s="18" t="n">
        <v>99.940005</v>
      </c>
      <c r="F60" s="4" t="inlineStr">
        <is>
          <t>Across</t>
        </is>
      </c>
      <c r="G60" s="18" t="n">
        <v>99.0274</v>
      </c>
      <c r="H60" s="15">
        <f>(E60-G60)/100*10000</f>
        <v/>
      </c>
      <c r="I60" s="4" t="inlineStr"/>
    </row>
    <row r="61">
      <c r="A61" s="4" t="inlineStr">
        <is>
          <t>SOL → ETH</t>
        </is>
      </c>
      <c r="B61" s="4" t="n">
        <v>1</v>
      </c>
      <c r="C61" s="4" t="inlineStr">
        <is>
          <t>Mayan</t>
        </is>
      </c>
      <c r="D61" s="4" t="inlineStr">
        <is>
          <t>venue</t>
        </is>
      </c>
      <c r="E61" s="18" t="n">
        <v>99.693094</v>
      </c>
      <c r="F61" s="4" t="inlineStr">
        <is>
          <t>Relay</t>
        </is>
      </c>
      <c r="G61" s="18" t="n">
        <v>99.3</v>
      </c>
      <c r="H61" s="15">
        <f>(E61-G61)/100*10000</f>
        <v/>
      </c>
      <c r="I61" s="4" t="inlineStr"/>
    </row>
    <row r="62">
      <c r="A62" s="4" t="inlineStr">
        <is>
          <t>SOL → ETH</t>
        </is>
      </c>
      <c r="B62" s="4" t="n">
        <v>2</v>
      </c>
      <c r="C62" s="4" t="inlineStr">
        <is>
          <t>Mayan</t>
        </is>
      </c>
      <c r="D62" s="4" t="inlineStr">
        <is>
          <t>venue</t>
        </is>
      </c>
      <c r="E62" s="18" t="n">
        <v>99.89001</v>
      </c>
      <c r="F62" s="4" t="inlineStr">
        <is>
          <t>Across</t>
        </is>
      </c>
      <c r="G62" s="18" t="n">
        <v>99.0044</v>
      </c>
      <c r="H62" s="15">
        <f>(E62-G62)/100*10000</f>
        <v/>
      </c>
      <c r="I62" s="4" t="inlineStr"/>
    </row>
    <row r="63">
      <c r="A63" s="4" t="inlineStr">
        <is>
          <t>SOL → ETH</t>
        </is>
      </c>
      <c r="B63" s="4" t="n">
        <v>2</v>
      </c>
      <c r="C63" s="4" t="inlineStr">
        <is>
          <t>Mayan</t>
        </is>
      </c>
      <c r="D63" s="4" t="inlineStr">
        <is>
          <t>venue</t>
        </is>
      </c>
      <c r="E63" s="18" t="n">
        <v>99.940005</v>
      </c>
      <c r="F63" s="4" t="inlineStr">
        <is>
          <t>Across</t>
        </is>
      </c>
      <c r="G63" s="18" t="n">
        <v>99.3006</v>
      </c>
      <c r="H63" s="15">
        <f>(E63-G63)/100*10000</f>
        <v/>
      </c>
      <c r="I63" s="4" t="inlineStr"/>
    </row>
    <row r="64">
      <c r="A64" s="4" t="inlineStr">
        <is>
          <t>SOL → ETH</t>
        </is>
      </c>
      <c r="B64" s="4" t="n">
        <v>3</v>
      </c>
      <c r="C64" s="4" t="inlineStr">
        <is>
          <t>Mayan</t>
        </is>
      </c>
      <c r="D64" s="4" t="inlineStr">
        <is>
          <t>venue</t>
        </is>
      </c>
      <c r="E64" s="18" t="n">
        <v>99.940005</v>
      </c>
      <c r="F64" s="4" t="inlineStr">
        <is>
          <t>Across</t>
        </is>
      </c>
      <c r="G64" s="18" t="n">
        <v>99.0132</v>
      </c>
      <c r="H64" s="15">
        <f>(E64-G64)/100*10000</f>
        <v/>
      </c>
      <c r="I64" s="4" t="inlineStr"/>
    </row>
    <row r="65">
      <c r="A65" s="4" t="inlineStr">
        <is>
          <t>SOL → ETH</t>
        </is>
      </c>
      <c r="B65" s="4" t="n">
        <v>3</v>
      </c>
      <c r="C65" s="4" t="inlineStr">
        <is>
          <t>Mayan</t>
        </is>
      </c>
      <c r="D65" s="4" t="inlineStr">
        <is>
          <t>venue</t>
        </is>
      </c>
      <c r="E65" s="18" t="n">
        <v>99.940005</v>
      </c>
      <c r="F65" s="4" t="inlineStr">
        <is>
          <t>Across</t>
        </is>
      </c>
      <c r="G65" s="18" t="n">
        <v>99.4068</v>
      </c>
      <c r="H65" s="15">
        <f>(E65-G65)/100*10000</f>
        <v/>
      </c>
      <c r="I65" s="4" t="inlineStr"/>
    </row>
    <row r="66">
      <c r="A66" s="4" t="inlineStr">
        <is>
          <t>SOL → ETH</t>
        </is>
      </c>
      <c r="B66" s="4" t="n">
        <v>1</v>
      </c>
      <c r="C66" s="4" t="inlineStr">
        <is>
          <t>Allbridge Core</t>
        </is>
      </c>
      <c r="D66" s="4" t="inlineStr">
        <is>
          <t>venue</t>
        </is>
      </c>
      <c r="E66" s="18" t="n">
        <v>99.693094</v>
      </c>
      <c r="F66" s="4" t="inlineStr">
        <is>
          <t>Relay</t>
        </is>
      </c>
      <c r="G66" s="18" t="n">
        <v>99.90000000000001</v>
      </c>
      <c r="H66" s="15">
        <f>(E66-G66)/100*10000</f>
        <v/>
      </c>
      <c r="I66" s="4" t="inlineStr">
        <is>
          <t>yes</t>
        </is>
      </c>
    </row>
    <row r="67">
      <c r="A67" s="4" t="inlineStr">
        <is>
          <t>SOL → ETH</t>
        </is>
      </c>
      <c r="B67" s="4" t="n">
        <v>2</v>
      </c>
      <c r="C67" s="4" t="inlineStr">
        <is>
          <t>Allbridge Core</t>
        </is>
      </c>
      <c r="D67" s="4" t="inlineStr">
        <is>
          <t>venue</t>
        </is>
      </c>
      <c r="E67" s="18" t="n">
        <v>99.940005</v>
      </c>
      <c r="F67" s="4" t="inlineStr">
        <is>
          <t>Across</t>
        </is>
      </c>
      <c r="G67" s="18" t="n">
        <v>99.90000000000001</v>
      </c>
      <c r="H67" s="15">
        <f>(E67-G67)/100*10000</f>
        <v/>
      </c>
      <c r="I67" s="4" t="inlineStr">
        <is>
          <t>yes</t>
        </is>
      </c>
    </row>
    <row r="68">
      <c r="A68" s="4" t="inlineStr">
        <is>
          <t>SOL → ETH</t>
        </is>
      </c>
      <c r="B68" s="4" t="n">
        <v>3</v>
      </c>
      <c r="C68" s="4" t="inlineStr">
        <is>
          <t>Allbridge Core</t>
        </is>
      </c>
      <c r="D68" s="4" t="inlineStr">
        <is>
          <t>venue</t>
        </is>
      </c>
      <c r="E68" s="18" t="n">
        <v>99.940005</v>
      </c>
      <c r="F68" s="4" t="inlineStr">
        <is>
          <t>Across</t>
        </is>
      </c>
      <c r="G68" s="18" t="n">
        <v>99.90000000000001</v>
      </c>
      <c r="H68" s="15">
        <f>(E68-G68)/100*10000</f>
        <v/>
      </c>
      <c r="I68" s="4" t="inlineStr">
        <is>
          <t>yes</t>
        </is>
      </c>
    </row>
    <row r="69">
      <c r="A69" s="4" t="inlineStr">
        <is>
          <t>SOL → ETH</t>
        </is>
      </c>
      <c r="B69" s="4" t="n">
        <v>1</v>
      </c>
      <c r="C69" s="4" t="inlineStr">
        <is>
          <t>CCTP (via Portal)</t>
        </is>
      </c>
      <c r="D69" s="4" t="inlineStr">
        <is>
          <t>venue</t>
        </is>
      </c>
      <c r="E69" s="18" t="n">
        <v>99.693094</v>
      </c>
      <c r="F69" s="4" t="inlineStr">
        <is>
          <t>Relay</t>
        </is>
      </c>
      <c r="G69" s="18" t="n">
        <v>99.98999999999999</v>
      </c>
      <c r="H69" s="15">
        <f>(E69-G69)/100*10000</f>
        <v/>
      </c>
      <c r="I69" s="4" t="inlineStr"/>
    </row>
    <row r="70">
      <c r="A70" s="4" t="inlineStr">
        <is>
          <t>SOL → ETH</t>
        </is>
      </c>
      <c r="B70" s="4" t="n">
        <v>2</v>
      </c>
      <c r="C70" s="4" t="inlineStr">
        <is>
          <t>CCTP (via Portal)</t>
        </is>
      </c>
      <c r="D70" s="4" t="inlineStr">
        <is>
          <t>venue</t>
        </is>
      </c>
      <c r="E70" s="18" t="n">
        <v>99.940005</v>
      </c>
      <c r="F70" s="4" t="inlineStr">
        <is>
          <t>Across</t>
        </is>
      </c>
      <c r="G70" s="18" t="n">
        <v>99.98999999999999</v>
      </c>
      <c r="H70" s="15">
        <f>(E70-G70)/100*10000</f>
        <v/>
      </c>
      <c r="I70" s="4" t="inlineStr"/>
    </row>
    <row r="71">
      <c r="A71" s="4" t="inlineStr">
        <is>
          <t>SOL → ETH</t>
        </is>
      </c>
      <c r="B71" s="4" t="n">
        <v>3</v>
      </c>
      <c r="C71" s="4" t="inlineStr">
        <is>
          <t>CCTP (via Portal)</t>
        </is>
      </c>
      <c r="D71" s="4" t="inlineStr">
        <is>
          <t>venue</t>
        </is>
      </c>
      <c r="E71" s="18" t="n">
        <v>99.940005</v>
      </c>
      <c r="F71" s="4" t="inlineStr">
        <is>
          <t>Across</t>
        </is>
      </c>
      <c r="G71" s="18" t="n">
        <v>99.98999999999999</v>
      </c>
      <c r="H71" s="15">
        <f>(E71-G71)/100*10000</f>
        <v/>
      </c>
      <c r="I71" s="4" t="inlineStr"/>
    </row>
    <row r="72">
      <c r="A72" s="4" t="inlineStr">
        <is>
          <t>SOL → ETH</t>
        </is>
      </c>
      <c r="B72" s="4" t="n">
        <v>1</v>
      </c>
      <c r="C72" s="4" t="inlineStr">
        <is>
          <t>Husher</t>
        </is>
      </c>
      <c r="D72" s="4" t="inlineStr">
        <is>
          <t>venue</t>
        </is>
      </c>
      <c r="E72" s="18" t="n">
        <v>99.693094</v>
      </c>
      <c r="F72" s="4" t="inlineStr">
        <is>
          <t>Relay</t>
        </is>
      </c>
      <c r="G72" s="18" t="n">
        <v>99.05</v>
      </c>
      <c r="H72" s="15">
        <f>(E72-G72)/100*10000</f>
        <v/>
      </c>
      <c r="I72" s="4" t="inlineStr"/>
    </row>
    <row r="73">
      <c r="A73" s="4" t="inlineStr">
        <is>
          <t>SOL → ETH</t>
        </is>
      </c>
      <c r="B73" s="4" t="n">
        <v>2</v>
      </c>
      <c r="C73" s="4" t="inlineStr">
        <is>
          <t>Husher</t>
        </is>
      </c>
      <c r="D73" s="4" t="inlineStr">
        <is>
          <t>venue</t>
        </is>
      </c>
      <c r="E73" s="18" t="n">
        <v>99.940005</v>
      </c>
      <c r="F73" s="4" t="inlineStr">
        <is>
          <t>Across</t>
        </is>
      </c>
      <c r="G73" s="18" t="n">
        <v>99.05</v>
      </c>
      <c r="H73" s="15">
        <f>(E73-G73)/100*10000</f>
        <v/>
      </c>
      <c r="I73" s="4" t="inlineStr"/>
    </row>
    <row r="74">
      <c r="A74" s="4" t="inlineStr">
        <is>
          <t>SOL → ETH</t>
        </is>
      </c>
      <c r="B74" s="4" t="n">
        <v>3</v>
      </c>
      <c r="C74" s="4" t="inlineStr">
        <is>
          <t>Husher</t>
        </is>
      </c>
      <c r="D74" s="4" t="inlineStr">
        <is>
          <t>venue</t>
        </is>
      </c>
      <c r="E74" s="18" t="n">
        <v>99.940005</v>
      </c>
      <c r="F74" s="4" t="inlineStr">
        <is>
          <t>Across</t>
        </is>
      </c>
      <c r="G74" s="18" t="n">
        <v>99.05</v>
      </c>
      <c r="H74" s="15">
        <f>(E74-G74)/100*10000</f>
        <v/>
      </c>
      <c r="I74" s="4" t="inlineStr"/>
    </row>
    <row r="75">
      <c r="A75" s="4" t="inlineStr">
        <is>
          <t>SOL → ETH</t>
        </is>
      </c>
      <c r="B75" s="4" t="n">
        <v>1</v>
      </c>
      <c r="C75" s="4" t="inlineStr">
        <is>
          <t>Layerswap</t>
        </is>
      </c>
      <c r="D75" s="4" t="inlineStr">
        <is>
          <t>venue</t>
        </is>
      </c>
      <c r="E75" s="18" t="n">
        <v>99.693094</v>
      </c>
      <c r="F75" s="4" t="inlineStr">
        <is>
          <t>Relay</t>
        </is>
      </c>
      <c r="G75" s="18" t="n">
        <v>99.730239</v>
      </c>
      <c r="H75" s="15">
        <f>(E75-G75)/100*10000</f>
        <v/>
      </c>
      <c r="I75" s="4" t="inlineStr"/>
    </row>
    <row r="76">
      <c r="A76" s="4" t="inlineStr">
        <is>
          <t>SOL → ETH</t>
        </is>
      </c>
      <c r="B76" s="4" t="n">
        <v>2</v>
      </c>
      <c r="C76" s="4" t="inlineStr">
        <is>
          <t>Layerswap</t>
        </is>
      </c>
      <c r="D76" s="4" t="inlineStr">
        <is>
          <t>venue</t>
        </is>
      </c>
      <c r="E76" s="18" t="n">
        <v>99.940005</v>
      </c>
      <c r="F76" s="4" t="inlineStr">
        <is>
          <t>Across</t>
        </is>
      </c>
      <c r="G76" s="18" t="n">
        <v>99.730237</v>
      </c>
      <c r="H76" s="15">
        <f>(E76-G76)/100*10000</f>
        <v/>
      </c>
      <c r="I76" s="4" t="inlineStr"/>
    </row>
    <row r="77">
      <c r="A77" s="4" t="inlineStr">
        <is>
          <t>SOL → ETH</t>
        </is>
      </c>
      <c r="B77" s="4" t="n">
        <v>3</v>
      </c>
      <c r="C77" s="4" t="inlineStr">
        <is>
          <t>Layerswap</t>
        </is>
      </c>
      <c r="D77" s="4" t="inlineStr">
        <is>
          <t>venue</t>
        </is>
      </c>
      <c r="E77" s="18" t="n">
        <v>99.940005</v>
      </c>
      <c r="F77" s="4" t="inlineStr">
        <is>
          <t>Across</t>
        </is>
      </c>
      <c r="G77" s="18" t="n">
        <v>99.730239</v>
      </c>
      <c r="H77" s="15">
        <f>(E77-G77)/100*10000</f>
        <v/>
      </c>
      <c r="I77" s="4" t="inlineStr"/>
    </row>
    <row r="78">
      <c r="A78" s="4" t="inlineStr">
        <is>
          <t>SOL → ETH</t>
        </is>
      </c>
      <c r="B78" s="4" t="n">
        <v>1</v>
      </c>
      <c r="C78" s="4" t="inlineStr">
        <is>
          <t>Meson</t>
        </is>
      </c>
      <c r="D78" s="4" t="inlineStr">
        <is>
          <t>venue</t>
        </is>
      </c>
      <c r="E78" s="18" t="n">
        <v>99.693094</v>
      </c>
      <c r="F78" s="4" t="inlineStr">
        <is>
          <t>Relay</t>
        </is>
      </c>
      <c r="G78" s="18" t="n">
        <v>99.70999999999999</v>
      </c>
      <c r="H78" s="15">
        <f>(E78-G78)/100*10000</f>
        <v/>
      </c>
      <c r="I78" s="4" t="inlineStr"/>
    </row>
    <row r="79">
      <c r="A79" s="4" t="inlineStr">
        <is>
          <t>SOL → ETH</t>
        </is>
      </c>
      <c r="B79" s="4" t="n">
        <v>2</v>
      </c>
      <c r="C79" s="4" t="inlineStr">
        <is>
          <t>Meson</t>
        </is>
      </c>
      <c r="D79" s="4" t="inlineStr">
        <is>
          <t>venue</t>
        </is>
      </c>
      <c r="E79" s="18" t="n">
        <v>99.940005</v>
      </c>
      <c r="F79" s="4" t="inlineStr">
        <is>
          <t>Across</t>
        </is>
      </c>
      <c r="G79" s="18" t="n">
        <v>99.70999999999999</v>
      </c>
      <c r="H79" s="15">
        <f>(E79-G79)/100*10000</f>
        <v/>
      </c>
      <c r="I79" s="4" t="inlineStr"/>
    </row>
    <row r="80">
      <c r="A80" s="4" t="inlineStr">
        <is>
          <t>SOL → ETH</t>
        </is>
      </c>
      <c r="B80" s="4" t="n">
        <v>3</v>
      </c>
      <c r="C80" s="4" t="inlineStr">
        <is>
          <t>Meson</t>
        </is>
      </c>
      <c r="D80" s="4" t="inlineStr">
        <is>
          <t>venue</t>
        </is>
      </c>
      <c r="E80" s="18" t="n">
        <v>99.940005</v>
      </c>
      <c r="F80" s="4" t="inlineStr">
        <is>
          <t>Across</t>
        </is>
      </c>
      <c r="G80" s="18" t="n">
        <v>99.72</v>
      </c>
      <c r="H80" s="15">
        <f>(E80-G80)/100*10000</f>
        <v/>
      </c>
      <c r="I80" s="4" t="inlineStr"/>
    </row>
    <row r="81">
      <c r="A81" s="4" t="inlineStr">
        <is>
          <t>SOL → ETH</t>
        </is>
      </c>
      <c r="B81" s="4" t="n">
        <v>1</v>
      </c>
      <c r="C81" s="4" t="inlineStr">
        <is>
          <t>SimpleSwap</t>
        </is>
      </c>
      <c r="D81" s="4" t="inlineStr">
        <is>
          <t>venue</t>
        </is>
      </c>
      <c r="E81" s="18" t="n">
        <v>99.693094</v>
      </c>
      <c r="F81" s="4" t="inlineStr">
        <is>
          <t>Relay</t>
        </is>
      </c>
      <c r="G81" s="18" t="n">
        <v>98.19881700000001</v>
      </c>
      <c r="H81" s="15">
        <f>(E81-G81)/100*10000</f>
        <v/>
      </c>
      <c r="I81" s="4" t="inlineStr"/>
    </row>
    <row r="82">
      <c r="A82" s="4" t="inlineStr">
        <is>
          <t>SOL → ETH</t>
        </is>
      </c>
      <c r="B82" s="4" t="n">
        <v>2</v>
      </c>
      <c r="C82" s="4" t="inlineStr">
        <is>
          <t>SimpleSwap</t>
        </is>
      </c>
      <c r="D82" s="4" t="inlineStr">
        <is>
          <t>venue</t>
        </is>
      </c>
      <c r="E82" s="18" t="n">
        <v>99.940005</v>
      </c>
      <c r="F82" s="4" t="inlineStr">
        <is>
          <t>Across</t>
        </is>
      </c>
      <c r="G82" s="18" t="n">
        <v>98.19900699999999</v>
      </c>
      <c r="H82" s="15">
        <f>(E82-G82)/100*10000</f>
        <v/>
      </c>
      <c r="I82" s="4" t="inlineStr"/>
    </row>
    <row r="83">
      <c r="A83" s="4" t="inlineStr">
        <is>
          <t>SOL → ETH</t>
        </is>
      </c>
      <c r="B83" s="4" t="n">
        <v>3</v>
      </c>
      <c r="C83" s="4" t="inlineStr">
        <is>
          <t>SimpleSwap</t>
        </is>
      </c>
      <c r="D83" s="4" t="inlineStr">
        <is>
          <t>venue</t>
        </is>
      </c>
      <c r="E83" s="18" t="n">
        <v>99.940005</v>
      </c>
      <c r="F83" s="4" t="inlineStr">
        <is>
          <t>Across</t>
        </is>
      </c>
      <c r="G83" s="18" t="n">
        <v>98.19890599999999</v>
      </c>
      <c r="H83" s="15">
        <f>(E83-G83)/100*10000</f>
        <v/>
      </c>
      <c r="I83" s="4" t="inlineStr"/>
    </row>
    <row r="84">
      <c r="A84" s="4" t="inlineStr">
        <is>
          <t>SOL → ETH</t>
        </is>
      </c>
      <c r="B84" s="4" t="n">
        <v>3</v>
      </c>
      <c r="C84" s="4" t="inlineStr">
        <is>
          <t>SimpleSwap</t>
        </is>
      </c>
      <c r="D84" s="4" t="inlineStr">
        <is>
          <t>venue</t>
        </is>
      </c>
      <c r="E84" s="18" t="n">
        <v>99.940005</v>
      </c>
      <c r="F84" s="4" t="inlineStr">
        <is>
          <t>Across</t>
        </is>
      </c>
      <c r="G84" s="18" t="n">
        <v>98.19890599999999</v>
      </c>
      <c r="H84" s="15">
        <f>(E84-G84)/100*10000</f>
        <v/>
      </c>
      <c r="I84" s="4" t="inlineStr"/>
    </row>
    <row r="85">
      <c r="A85" s="4" t="inlineStr">
        <is>
          <t>SOL → ETH</t>
        </is>
      </c>
      <c r="B85" s="4" t="n">
        <v>1</v>
      </c>
      <c r="C85" s="4" t="inlineStr">
        <is>
          <t>Skip Go</t>
        </is>
      </c>
      <c r="D85" s="4" t="inlineStr">
        <is>
          <t>venue</t>
        </is>
      </c>
      <c r="E85" s="18" t="n">
        <v>99.693094</v>
      </c>
      <c r="F85" s="4" t="inlineStr">
        <is>
          <t>Relay</t>
        </is>
      </c>
      <c r="G85" s="18" t="n">
        <v>99.68411</v>
      </c>
      <c r="H85" s="15">
        <f>(E85-G85)/100*10000</f>
        <v/>
      </c>
      <c r="I85" s="4" t="inlineStr"/>
    </row>
    <row r="86">
      <c r="A86" s="4" t="inlineStr">
        <is>
          <t>SOL → ETH</t>
        </is>
      </c>
      <c r="B86" s="4" t="n">
        <v>2</v>
      </c>
      <c r="C86" s="4" t="inlineStr">
        <is>
          <t>Skip Go</t>
        </is>
      </c>
      <c r="D86" s="4" t="inlineStr">
        <is>
          <t>venue</t>
        </is>
      </c>
      <c r="E86" s="18" t="n">
        <v>99.940005</v>
      </c>
      <c r="F86" s="4" t="inlineStr">
        <is>
          <t>Across</t>
        </is>
      </c>
      <c r="G86" s="18" t="n">
        <v>99.72108</v>
      </c>
      <c r="H86" s="15">
        <f>(E86-G86)/100*10000</f>
        <v/>
      </c>
      <c r="I86" s="4" t="inlineStr"/>
    </row>
    <row r="87">
      <c r="A87" s="4" t="inlineStr">
        <is>
          <t>SOL → ETH</t>
        </is>
      </c>
      <c r="B87" s="4" t="n">
        <v>3</v>
      </c>
      <c r="C87" s="4" t="inlineStr">
        <is>
          <t>Skip Go</t>
        </is>
      </c>
      <c r="D87" s="4" t="inlineStr">
        <is>
          <t>venue</t>
        </is>
      </c>
      <c r="E87" s="18" t="n">
        <v>99.940005</v>
      </c>
      <c r="F87" s="4" t="inlineStr">
        <is>
          <t>Across</t>
        </is>
      </c>
      <c r="G87" s="18" t="n">
        <v>99.72108</v>
      </c>
      <c r="H87" s="15">
        <f>(E87-G87)/100*10000</f>
        <v/>
      </c>
      <c r="I87" s="4" t="inlineStr"/>
    </row>
    <row r="88">
      <c r="A88" s="4" t="inlineStr">
        <is>
          <t>SOL → ETH</t>
        </is>
      </c>
      <c r="B88" s="4" t="n">
        <v>1</v>
      </c>
      <c r="C88" s="4" t="inlineStr">
        <is>
          <t>Symbiosis</t>
        </is>
      </c>
      <c r="D88" s="4" t="inlineStr">
        <is>
          <t>venue</t>
        </is>
      </c>
      <c r="E88" s="18" t="n">
        <v>99.693094</v>
      </c>
      <c r="F88" s="4" t="inlineStr">
        <is>
          <t>Relay</t>
        </is>
      </c>
      <c r="G88" s="18" t="n">
        <v>98.94288400000001</v>
      </c>
      <c r="H88" s="15">
        <f>(E88-G88)/100*10000</f>
        <v/>
      </c>
      <c r="I88" s="4" t="inlineStr"/>
    </row>
    <row r="89">
      <c r="A89" s="4" t="inlineStr">
        <is>
          <t>SOL → ETH</t>
        </is>
      </c>
      <c r="B89" s="4" t="n">
        <v>2</v>
      </c>
      <c r="C89" s="4" t="inlineStr">
        <is>
          <t>Symbiosis</t>
        </is>
      </c>
      <c r="D89" s="4" t="inlineStr">
        <is>
          <t>venue</t>
        </is>
      </c>
      <c r="E89" s="18" t="n">
        <v>99.940005</v>
      </c>
      <c r="F89" s="4" t="inlineStr">
        <is>
          <t>Across</t>
        </is>
      </c>
      <c r="G89" s="18" t="n">
        <v>98.913042</v>
      </c>
      <c r="H89" s="15">
        <f>(E89-G89)/100*10000</f>
        <v/>
      </c>
      <c r="I89" s="4" t="inlineStr"/>
    </row>
    <row r="90">
      <c r="A90" s="4" t="inlineStr">
        <is>
          <t>SOL → ETH</t>
        </is>
      </c>
      <c r="B90" s="4" t="n">
        <v>3</v>
      </c>
      <c r="C90" s="4" t="inlineStr">
        <is>
          <t>Symbiosis</t>
        </is>
      </c>
      <c r="D90" s="4" t="inlineStr">
        <is>
          <t>venue</t>
        </is>
      </c>
      <c r="E90" s="18" t="n">
        <v>99.940005</v>
      </c>
      <c r="F90" s="4" t="inlineStr">
        <is>
          <t>Across</t>
        </is>
      </c>
      <c r="G90" s="18" t="n">
        <v>98.943273</v>
      </c>
      <c r="H90" s="15">
        <f>(E90-G90)/100*10000</f>
        <v/>
      </c>
      <c r="I90" s="4" t="inlineStr"/>
    </row>
    <row r="91">
      <c r="A91" s="4" t="inlineStr">
        <is>
          <t>ETH → SOL</t>
        </is>
      </c>
      <c r="B91" s="4" t="n">
        <v>1</v>
      </c>
      <c r="C91" s="4" t="inlineStr">
        <is>
          <t>Relay</t>
        </is>
      </c>
      <c r="D91" s="4" t="inlineStr">
        <is>
          <t>venue</t>
        </is>
      </c>
      <c r="E91" s="18" t="n">
        <v>99.85005</v>
      </c>
      <c r="F91" s="4" t="inlineStr">
        <is>
          <t>Allbridge Core</t>
        </is>
      </c>
      <c r="G91" s="18" t="n">
        <v>99.945561</v>
      </c>
      <c r="H91" s="15">
        <f>(E91-G91)/100*10000</f>
        <v/>
      </c>
      <c r="I91" s="4" t="inlineStr"/>
    </row>
    <row r="92">
      <c r="A92" s="4" t="inlineStr">
        <is>
          <t>ETH → SOL</t>
        </is>
      </c>
      <c r="B92" s="4" t="n">
        <v>1</v>
      </c>
      <c r="C92" s="4" t="inlineStr">
        <is>
          <t>Relay</t>
        </is>
      </c>
      <c r="D92" s="4" t="inlineStr">
        <is>
          <t>venue</t>
        </is>
      </c>
      <c r="E92" s="18" t="n">
        <v>99.85005</v>
      </c>
      <c r="F92" s="4" t="inlineStr">
        <is>
          <t>Allbridge Core</t>
        </is>
      </c>
      <c r="G92" s="18" t="n">
        <v>99.94557</v>
      </c>
      <c r="H92" s="15">
        <f>(E92-G92)/100*10000</f>
        <v/>
      </c>
      <c r="I92" s="4" t="inlineStr"/>
    </row>
    <row r="93">
      <c r="A93" s="4" t="inlineStr">
        <is>
          <t>ETH → SOL</t>
        </is>
      </c>
      <c r="B93" s="4" t="n">
        <v>2</v>
      </c>
      <c r="C93" s="4" t="inlineStr">
        <is>
          <t>Relay</t>
        </is>
      </c>
      <c r="D93" s="4" t="inlineStr">
        <is>
          <t>venue</t>
        </is>
      </c>
      <c r="E93" s="18" t="n">
        <v>99.85005</v>
      </c>
      <c r="F93" s="4" t="inlineStr">
        <is>
          <t>Allbridge Core</t>
        </is>
      </c>
      <c r="G93" s="18" t="n">
        <v>99.945582</v>
      </c>
      <c r="H93" s="15">
        <f>(E93-G93)/100*10000</f>
        <v/>
      </c>
      <c r="I93" s="4" t="inlineStr"/>
    </row>
    <row r="94">
      <c r="A94" s="4" t="inlineStr">
        <is>
          <t>ETH → SOL</t>
        </is>
      </c>
      <c r="B94" s="4" t="n">
        <v>2</v>
      </c>
      <c r="C94" s="4" t="inlineStr">
        <is>
          <t>Relay</t>
        </is>
      </c>
      <c r="D94" s="4" t="inlineStr">
        <is>
          <t>venue</t>
        </is>
      </c>
      <c r="E94" s="18" t="n">
        <v>99.85005</v>
      </c>
      <c r="F94" s="4" t="inlineStr">
        <is>
          <t>Allbridge Core</t>
        </is>
      </c>
      <c r="G94" s="18" t="n">
        <v>99.94557399999999</v>
      </c>
      <c r="H94" s="15">
        <f>(E94-G94)/100*10000</f>
        <v/>
      </c>
      <c r="I94" s="4" t="inlineStr"/>
    </row>
    <row r="95">
      <c r="A95" s="4" t="inlineStr">
        <is>
          <t>ETH → SOL</t>
        </is>
      </c>
      <c r="B95" s="4" t="n">
        <v>3</v>
      </c>
      <c r="C95" s="4" t="inlineStr">
        <is>
          <t>Relay</t>
        </is>
      </c>
      <c r="D95" s="4" t="inlineStr">
        <is>
          <t>venue</t>
        </is>
      </c>
      <c r="E95" s="18" t="n">
        <v>99.85005</v>
      </c>
      <c r="F95" s="4" t="inlineStr">
        <is>
          <t>Allbridge Core</t>
        </is>
      </c>
      <c r="G95" s="18" t="n">
        <v>99.94557500000001</v>
      </c>
      <c r="H95" s="15">
        <f>(E95-G95)/100*10000</f>
        <v/>
      </c>
      <c r="I95" s="4" t="inlineStr"/>
    </row>
    <row r="96">
      <c r="A96" s="4" t="inlineStr">
        <is>
          <t>ETH → SOL</t>
        </is>
      </c>
      <c r="B96" s="4" t="n">
        <v>3</v>
      </c>
      <c r="C96" s="4" t="inlineStr">
        <is>
          <t>Relay</t>
        </is>
      </c>
      <c r="D96" s="4" t="inlineStr">
        <is>
          <t>venue</t>
        </is>
      </c>
      <c r="E96" s="18" t="n">
        <v>99.85005</v>
      </c>
      <c r="F96" s="4" t="inlineStr">
        <is>
          <t>Allbridge Core</t>
        </is>
      </c>
      <c r="G96" s="18" t="n">
        <v>99.945573</v>
      </c>
      <c r="H96" s="15">
        <f>(E96-G96)/100*10000</f>
        <v/>
      </c>
      <c r="I96" s="4" t="inlineStr"/>
    </row>
    <row r="97">
      <c r="A97" s="4" t="inlineStr">
        <is>
          <t>ETH → SOL</t>
        </is>
      </c>
      <c r="B97" s="4" t="n">
        <v>1</v>
      </c>
      <c r="C97" s="4" t="inlineStr">
        <is>
          <t>deBridge</t>
        </is>
      </c>
      <c r="D97" s="4" t="inlineStr">
        <is>
          <t>venue</t>
        </is>
      </c>
      <c r="E97" s="18" t="n">
        <v>99.85005</v>
      </c>
      <c r="F97" s="4" t="inlineStr">
        <is>
          <t>Allbridge Core</t>
        </is>
      </c>
      <c r="G97" s="18" t="n">
        <v>98.764718</v>
      </c>
      <c r="H97" s="15">
        <f>(E97-G97)/100*10000</f>
        <v/>
      </c>
      <c r="I97" s="4" t="inlineStr"/>
    </row>
    <row r="98">
      <c r="A98" s="4" t="inlineStr">
        <is>
          <t>ETH → SOL</t>
        </is>
      </c>
      <c r="B98" s="4" t="n">
        <v>1</v>
      </c>
      <c r="C98" s="4" t="inlineStr">
        <is>
          <t>deBridge</t>
        </is>
      </c>
      <c r="D98" s="4" t="inlineStr">
        <is>
          <t>venue</t>
        </is>
      </c>
      <c r="E98" s="18" t="n">
        <v>99.85005</v>
      </c>
      <c r="F98" s="4" t="inlineStr">
        <is>
          <t>Allbridge Core</t>
        </is>
      </c>
      <c r="G98" s="18" t="n">
        <v>98.788718</v>
      </c>
      <c r="H98" s="15">
        <f>(E98-G98)/100*10000</f>
        <v/>
      </c>
      <c r="I98" s="4" t="inlineStr"/>
    </row>
    <row r="99">
      <c r="A99" s="4" t="inlineStr">
        <is>
          <t>ETH → SOL</t>
        </is>
      </c>
      <c r="B99" s="4" t="n">
        <v>2</v>
      </c>
      <c r="C99" s="4" t="inlineStr">
        <is>
          <t>deBridge</t>
        </is>
      </c>
      <c r="D99" s="4" t="inlineStr">
        <is>
          <t>venue</t>
        </is>
      </c>
      <c r="E99" s="18" t="n">
        <v>99.85005</v>
      </c>
      <c r="F99" s="4" t="inlineStr">
        <is>
          <t>Allbridge Core</t>
        </is>
      </c>
      <c r="G99" s="18" t="n">
        <v>98.744218</v>
      </c>
      <c r="H99" s="15">
        <f>(E99-G99)/100*10000</f>
        <v/>
      </c>
      <c r="I99" s="4" t="inlineStr"/>
    </row>
    <row r="100">
      <c r="A100" s="4" t="inlineStr">
        <is>
          <t>ETH → SOL</t>
        </is>
      </c>
      <c r="B100" s="4" t="n">
        <v>2</v>
      </c>
      <c r="C100" s="4" t="inlineStr">
        <is>
          <t>deBridge</t>
        </is>
      </c>
      <c r="D100" s="4" t="inlineStr">
        <is>
          <t>venue</t>
        </is>
      </c>
      <c r="E100" s="18" t="n">
        <v>99.85005</v>
      </c>
      <c r="F100" s="4" t="inlineStr">
        <is>
          <t>Allbridge Core</t>
        </is>
      </c>
      <c r="G100" s="18" t="n">
        <v>98.778318</v>
      </c>
      <c r="H100" s="15">
        <f>(E100-G100)/100*10000</f>
        <v/>
      </c>
      <c r="I100" s="4" t="inlineStr"/>
    </row>
    <row r="101">
      <c r="A101" s="4" t="inlineStr">
        <is>
          <t>ETH → SOL</t>
        </is>
      </c>
      <c r="B101" s="4" t="n">
        <v>3</v>
      </c>
      <c r="C101" s="4" t="inlineStr">
        <is>
          <t>deBridge</t>
        </is>
      </c>
      <c r="D101" s="4" t="inlineStr">
        <is>
          <t>venue</t>
        </is>
      </c>
      <c r="E101" s="18" t="n">
        <v>99.85005</v>
      </c>
      <c r="F101" s="4" t="inlineStr">
        <is>
          <t>Allbridge Core</t>
        </is>
      </c>
      <c r="G101" s="18" t="n">
        <v>98.76911800000001</v>
      </c>
      <c r="H101" s="15">
        <f>(E101-G101)/100*10000</f>
        <v/>
      </c>
      <c r="I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deBridge</t>
        </is>
      </c>
      <c r="D102" s="4" t="inlineStr">
        <is>
          <t>venue</t>
        </is>
      </c>
      <c r="E102" s="18" t="n">
        <v>99.85005</v>
      </c>
      <c r="F102" s="4" t="inlineStr">
        <is>
          <t>Allbridge Core</t>
        </is>
      </c>
      <c r="G102" s="18" t="n">
        <v>98.778818</v>
      </c>
      <c r="H102" s="15">
        <f>(E102-G102)/100*10000</f>
        <v/>
      </c>
      <c r="I102" s="4" t="inlineStr"/>
    </row>
    <row r="103">
      <c r="A103" s="4" t="inlineStr">
        <is>
          <t>ETH → SOL</t>
        </is>
      </c>
      <c r="B103" s="4" t="n">
        <v>1</v>
      </c>
      <c r="C103" s="4" t="inlineStr">
        <is>
          <t>LI.FI (Jumper)</t>
        </is>
      </c>
      <c r="D103" s="4" t="inlineStr">
        <is>
          <t>venue</t>
        </is>
      </c>
      <c r="E103" s="18" t="n">
        <v>99.85005</v>
      </c>
      <c r="F103" s="4" t="inlineStr">
        <is>
          <t>Allbridge Core</t>
        </is>
      </c>
      <c r="G103" s="18" t="n">
        <v>99.945561</v>
      </c>
      <c r="H103" s="15">
        <f>(E103-G103)/100*10000</f>
        <v/>
      </c>
      <c r="I103" s="4" t="inlineStr"/>
    </row>
    <row r="104">
      <c r="A104" s="4" t="inlineStr">
        <is>
          <t>ETH → SOL</t>
        </is>
      </c>
      <c r="B104" s="4" t="n">
        <v>1</v>
      </c>
      <c r="C104" s="4" t="inlineStr">
        <is>
          <t>LI.FI (Jumper)</t>
        </is>
      </c>
      <c r="D104" s="4" t="inlineStr">
        <is>
          <t>venue</t>
        </is>
      </c>
      <c r="E104" s="18" t="n">
        <v>99.85005</v>
      </c>
      <c r="F104" s="4" t="inlineStr">
        <is>
          <t>Allbridge Core</t>
        </is>
      </c>
      <c r="G104" s="18" t="n">
        <v>99.94557</v>
      </c>
      <c r="H104" s="15">
        <f>(E104-G104)/100*10000</f>
        <v/>
      </c>
      <c r="I104" s="4" t="inlineStr"/>
    </row>
    <row r="105">
      <c r="A105" s="4" t="inlineStr">
        <is>
          <t>ETH → SOL</t>
        </is>
      </c>
      <c r="B105" s="4" t="n">
        <v>1</v>
      </c>
      <c r="C105" s="4" t="inlineStr">
        <is>
          <t>LI.FI (Jumper)</t>
        </is>
      </c>
      <c r="D105" s="4" t="inlineStr">
        <is>
          <t>venue</t>
        </is>
      </c>
      <c r="E105" s="18" t="n">
        <v>99.85005</v>
      </c>
      <c r="F105" s="4" t="inlineStr">
        <is>
          <t>Allbridge Core</t>
        </is>
      </c>
      <c r="G105" s="18" t="n">
        <v>99.945573</v>
      </c>
      <c r="H105" s="15">
        <f>(E105-G105)/100*10000</f>
        <v/>
      </c>
      <c r="I105" s="4" t="inlineStr"/>
    </row>
    <row r="106">
      <c r="A106" s="4" t="inlineStr">
        <is>
          <t>ETH → SOL</t>
        </is>
      </c>
      <c r="B106" s="4" t="n">
        <v>2</v>
      </c>
      <c r="C106" s="4" t="inlineStr">
        <is>
          <t>LI.FI (Jumper)</t>
        </is>
      </c>
      <c r="D106" s="4" t="inlineStr">
        <is>
          <t>venue</t>
        </is>
      </c>
      <c r="E106" s="18" t="n">
        <v>99.85005</v>
      </c>
      <c r="F106" s="4" t="inlineStr">
        <is>
          <t>Allbridge Core</t>
        </is>
      </c>
      <c r="G106" s="18" t="n">
        <v>99.945582</v>
      </c>
      <c r="H106" s="15">
        <f>(E106-G106)/100*10000</f>
        <v/>
      </c>
      <c r="I106" s="4" t="inlineStr"/>
    </row>
    <row r="107">
      <c r="A107" s="4" t="inlineStr">
        <is>
          <t>ETH → SOL</t>
        </is>
      </c>
      <c r="B107" s="4" t="n">
        <v>2</v>
      </c>
      <c r="C107" s="4" t="inlineStr">
        <is>
          <t>LI.FI (Jumper)</t>
        </is>
      </c>
      <c r="D107" s="4" t="inlineStr">
        <is>
          <t>venue</t>
        </is>
      </c>
      <c r="E107" s="18" t="n">
        <v>99.85005</v>
      </c>
      <c r="F107" s="4" t="inlineStr">
        <is>
          <t>Allbridge Core</t>
        </is>
      </c>
      <c r="G107" s="18" t="n">
        <v>99.94557399999999</v>
      </c>
      <c r="H107" s="15">
        <f>(E107-G107)/100*10000</f>
        <v/>
      </c>
      <c r="I107" s="4" t="inlineStr"/>
    </row>
    <row r="108">
      <c r="A108" s="4" t="inlineStr">
        <is>
          <t>ETH → SOL</t>
        </is>
      </c>
      <c r="B108" s="4" t="n">
        <v>3</v>
      </c>
      <c r="C108" s="4" t="inlineStr">
        <is>
          <t>LI.FI (Jumper)</t>
        </is>
      </c>
      <c r="D108" s="4" t="inlineStr">
        <is>
          <t>venue</t>
        </is>
      </c>
      <c r="E108" s="18" t="n">
        <v>99.85005</v>
      </c>
      <c r="F108" s="4" t="inlineStr">
        <is>
          <t>Allbridge Core</t>
        </is>
      </c>
      <c r="G108" s="18" t="n">
        <v>99.94557500000001</v>
      </c>
      <c r="H108" s="15">
        <f>(E108-G108)/100*10000</f>
        <v/>
      </c>
      <c r="I108" s="4" t="inlineStr"/>
    </row>
    <row r="109">
      <c r="A109" s="4" t="inlineStr">
        <is>
          <t>ETH → SOL</t>
        </is>
      </c>
      <c r="B109" s="4" t="n">
        <v>3</v>
      </c>
      <c r="C109" s="4" t="inlineStr">
        <is>
          <t>LI.FI (Jumper)</t>
        </is>
      </c>
      <c r="D109" s="4" t="inlineStr">
        <is>
          <t>venue</t>
        </is>
      </c>
      <c r="E109" s="18" t="n">
        <v>99.85005</v>
      </c>
      <c r="F109" s="4" t="inlineStr">
        <is>
          <t>Allbridge Core</t>
        </is>
      </c>
      <c r="G109" s="18" t="n">
        <v>99.945573</v>
      </c>
      <c r="H109" s="15">
        <f>(E109-G109)/100*10000</f>
        <v/>
      </c>
      <c r="I109" s="4" t="inlineStr"/>
    </row>
    <row r="110">
      <c r="A110" s="4" t="inlineStr">
        <is>
          <t>ETH → SOL</t>
        </is>
      </c>
      <c r="B110" s="4" t="n">
        <v>1</v>
      </c>
      <c r="C110" s="4" t="inlineStr">
        <is>
          <t>Across</t>
        </is>
      </c>
      <c r="D110" s="4" t="inlineStr">
        <is>
          <t>venue</t>
        </is>
      </c>
      <c r="E110" s="18" t="n">
        <v>99.85005</v>
      </c>
      <c r="F110" s="4" t="inlineStr">
        <is>
          <t>Allbridge Core</t>
        </is>
      </c>
      <c r="G110" s="18" t="n">
        <v>99.98999999999999</v>
      </c>
      <c r="H110" s="15">
        <f>(E110-G110)/100*10000</f>
        <v/>
      </c>
      <c r="I110" s="4" t="inlineStr"/>
    </row>
    <row r="111">
      <c r="A111" s="4" t="inlineStr">
        <is>
          <t>ETH → SOL</t>
        </is>
      </c>
      <c r="B111" s="4" t="n">
        <v>1</v>
      </c>
      <c r="C111" s="4" t="inlineStr">
        <is>
          <t>Across</t>
        </is>
      </c>
      <c r="D111" s="4" t="inlineStr">
        <is>
          <t>venue</t>
        </is>
      </c>
      <c r="E111" s="18" t="n">
        <v>99.85005</v>
      </c>
      <c r="F111" s="4" t="inlineStr">
        <is>
          <t>Allbridge Core</t>
        </is>
      </c>
      <c r="G111" s="18" t="n">
        <v>99.98999999999999</v>
      </c>
      <c r="H111" s="15">
        <f>(E111-G111)/100*10000</f>
        <v/>
      </c>
      <c r="I111" s="4" t="inlineStr"/>
    </row>
    <row r="112">
      <c r="A112" s="4" t="inlineStr">
        <is>
          <t>ETH → SOL</t>
        </is>
      </c>
      <c r="B112" s="4" t="n">
        <v>2</v>
      </c>
      <c r="C112" s="4" t="inlineStr">
        <is>
          <t>Across</t>
        </is>
      </c>
      <c r="D112" s="4" t="inlineStr">
        <is>
          <t>venue</t>
        </is>
      </c>
      <c r="E112" s="18" t="n">
        <v>99.85005</v>
      </c>
      <c r="F112" s="4" t="inlineStr">
        <is>
          <t>Allbridge Core</t>
        </is>
      </c>
      <c r="G112" s="18" t="n">
        <v>99.98999999999999</v>
      </c>
      <c r="H112" s="15">
        <f>(E112-G112)/100*10000</f>
        <v/>
      </c>
      <c r="I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Across</t>
        </is>
      </c>
      <c r="D113" s="4" t="inlineStr">
        <is>
          <t>venue</t>
        </is>
      </c>
      <c r="E113" s="18" t="n">
        <v>99.85005</v>
      </c>
      <c r="F113" s="4" t="inlineStr">
        <is>
          <t>Allbridge Core</t>
        </is>
      </c>
      <c r="G113" s="18" t="n">
        <v>99.98999999999999</v>
      </c>
      <c r="H113" s="15">
        <f>(E113-G113)/100*10000</f>
        <v/>
      </c>
      <c r="I113" s="4" t="inlineStr"/>
    </row>
    <row r="114">
      <c r="A114" s="4" t="inlineStr">
        <is>
          <t>ETH → SOL</t>
        </is>
      </c>
      <c r="B114" s="4" t="n">
        <v>3</v>
      </c>
      <c r="C114" s="4" t="inlineStr">
        <is>
          <t>Across</t>
        </is>
      </c>
      <c r="D114" s="4" t="inlineStr">
        <is>
          <t>venue</t>
        </is>
      </c>
      <c r="E114" s="18" t="n">
        <v>99.85005</v>
      </c>
      <c r="F114" s="4" t="inlineStr">
        <is>
          <t>Allbridge Core</t>
        </is>
      </c>
      <c r="G114" s="18" t="n">
        <v>99.98999999999999</v>
      </c>
      <c r="H114" s="15">
        <f>(E114-G114)/100*10000</f>
        <v/>
      </c>
      <c r="I114" s="4" t="inlineStr"/>
    </row>
    <row r="115">
      <c r="A115" s="4" t="inlineStr">
        <is>
          <t>ETH → SOL</t>
        </is>
      </c>
      <c r="B115" s="4" t="n">
        <v>3</v>
      </c>
      <c r="C115" s="4" t="inlineStr">
        <is>
          <t>Across</t>
        </is>
      </c>
      <c r="D115" s="4" t="inlineStr">
        <is>
          <t>venue</t>
        </is>
      </c>
      <c r="E115" s="18" t="n">
        <v>99.85005</v>
      </c>
      <c r="F115" s="4" t="inlineStr">
        <is>
          <t>Allbridge Core</t>
        </is>
      </c>
      <c r="G115" s="18" t="n">
        <v>99.98999999999999</v>
      </c>
      <c r="H115" s="15">
        <f>(E115-G115)/100*10000</f>
        <v/>
      </c>
      <c r="I115" s="4" t="inlineStr"/>
    </row>
    <row r="116">
      <c r="A116" s="4" t="inlineStr">
        <is>
          <t>ETH → SOL</t>
        </is>
      </c>
      <c r="B116" s="4" t="n">
        <v>1</v>
      </c>
      <c r="C116" s="4" t="inlineStr">
        <is>
          <t>Mayan</t>
        </is>
      </c>
      <c r="D116" s="4" t="inlineStr">
        <is>
          <t>venue</t>
        </is>
      </c>
      <c r="E116" s="18" t="n">
        <v>99.85005</v>
      </c>
      <c r="F116" s="4" t="inlineStr">
        <is>
          <t>Allbridge Core</t>
        </is>
      </c>
      <c r="G116" s="18" t="n">
        <v>99.51900000000001</v>
      </c>
      <c r="H116" s="15">
        <f>(E116-G116)/100*10000</f>
        <v/>
      </c>
      <c r="I116" s="4" t="inlineStr"/>
    </row>
    <row r="117">
      <c r="A117" s="4" t="inlineStr">
        <is>
          <t>ETH → SOL</t>
        </is>
      </c>
      <c r="B117" s="4" t="n">
        <v>1</v>
      </c>
      <c r="C117" s="4" t="inlineStr">
        <is>
          <t>Mayan</t>
        </is>
      </c>
      <c r="D117" s="4" t="inlineStr">
        <is>
          <t>venue</t>
        </is>
      </c>
      <c r="E117" s="18" t="n">
        <v>99.85005</v>
      </c>
      <c r="F117" s="4" t="inlineStr">
        <is>
          <t>Allbridge Core</t>
        </is>
      </c>
      <c r="G117" s="18" t="n">
        <v>99.539</v>
      </c>
      <c r="H117" s="15">
        <f>(E117-G117)/100*10000</f>
        <v/>
      </c>
      <c r="I117" s="4" t="inlineStr"/>
    </row>
    <row r="118">
      <c r="A118" s="4" t="inlineStr">
        <is>
          <t>ETH → SOL</t>
        </is>
      </c>
      <c r="B118" s="4" t="n">
        <v>2</v>
      </c>
      <c r="C118" s="4" t="inlineStr">
        <is>
          <t>Mayan</t>
        </is>
      </c>
      <c r="D118" s="4" t="inlineStr">
        <is>
          <t>venue</t>
        </is>
      </c>
      <c r="E118" s="18" t="n">
        <v>99.85005</v>
      </c>
      <c r="F118" s="4" t="inlineStr">
        <is>
          <t>Allbridge Core</t>
        </is>
      </c>
      <c r="G118" s="18" t="n">
        <v>99.47880000000001</v>
      </c>
      <c r="H118" s="15">
        <f>(E118-G118)/100*10000</f>
        <v/>
      </c>
      <c r="I118" s="4" t="inlineStr"/>
    </row>
    <row r="119">
      <c r="A119" s="4" t="inlineStr">
        <is>
          <t>ETH → SOL</t>
        </is>
      </c>
      <c r="B119" s="4" t="n">
        <v>2</v>
      </c>
      <c r="C119" s="4" t="inlineStr">
        <is>
          <t>Mayan</t>
        </is>
      </c>
      <c r="D119" s="4" t="inlineStr">
        <is>
          <t>venue</t>
        </is>
      </c>
      <c r="E119" s="18" t="n">
        <v>99.85005</v>
      </c>
      <c r="F119" s="4" t="inlineStr">
        <is>
          <t>Allbridge Core</t>
        </is>
      </c>
      <c r="G119" s="18" t="n">
        <v>99.54600000000001</v>
      </c>
      <c r="H119" s="15">
        <f>(E119-G119)/100*10000</f>
        <v/>
      </c>
      <c r="I119" s="4" t="inlineStr"/>
    </row>
    <row r="120">
      <c r="A120" s="4" t="inlineStr">
        <is>
          <t>ETH → SOL</t>
        </is>
      </c>
      <c r="B120" s="4" t="n">
        <v>3</v>
      </c>
      <c r="C120" s="4" t="inlineStr">
        <is>
          <t>Mayan</t>
        </is>
      </c>
      <c r="D120" s="4" t="inlineStr">
        <is>
          <t>venue</t>
        </is>
      </c>
      <c r="E120" s="18" t="n">
        <v>99.85005</v>
      </c>
      <c r="F120" s="4" t="inlineStr">
        <is>
          <t>Allbridge Core</t>
        </is>
      </c>
      <c r="G120" s="18" t="n">
        <v>99.4311</v>
      </c>
      <c r="H120" s="15">
        <f>(E120-G120)/100*10000</f>
        <v/>
      </c>
      <c r="I120" s="4" t="inlineStr"/>
    </row>
    <row r="121">
      <c r="A121" s="4" t="inlineStr">
        <is>
          <t>ETH → SOL</t>
        </is>
      </c>
      <c r="B121" s="4" t="n">
        <v>3</v>
      </c>
      <c r="C121" s="4" t="inlineStr">
        <is>
          <t>Mayan</t>
        </is>
      </c>
      <c r="D121" s="4" t="inlineStr">
        <is>
          <t>venue</t>
        </is>
      </c>
      <c r="E121" s="18" t="n">
        <v>99.85005</v>
      </c>
      <c r="F121" s="4" t="inlineStr">
        <is>
          <t>Allbridge Core</t>
        </is>
      </c>
      <c r="G121" s="18" t="n">
        <v>99.4999</v>
      </c>
      <c r="H121" s="15">
        <f>(E121-G121)/100*10000</f>
        <v/>
      </c>
      <c r="I121" s="4" t="inlineStr"/>
    </row>
    <row r="122">
      <c r="A122" s="4" t="inlineStr">
        <is>
          <t>ETH → SOL</t>
        </is>
      </c>
      <c r="B122" s="4" t="n">
        <v>1</v>
      </c>
      <c r="C122" s="4" t="inlineStr">
        <is>
          <t>Allbridge Core</t>
        </is>
      </c>
      <c r="D122" s="4" t="inlineStr">
        <is>
          <t>venue</t>
        </is>
      </c>
      <c r="E122" s="18" t="n">
        <v>99.85005</v>
      </c>
      <c r="F122" s="4" t="inlineStr">
        <is>
          <t>Allbridge Core</t>
        </is>
      </c>
      <c r="G122" s="18" t="n">
        <v>99.90000000000001</v>
      </c>
      <c r="H122" s="15">
        <f>(E122-G122)/100*10000</f>
        <v/>
      </c>
      <c r="I122" s="4" t="inlineStr">
        <is>
          <t>yes</t>
        </is>
      </c>
    </row>
    <row r="123">
      <c r="A123" s="4" t="inlineStr">
        <is>
          <t>ETH → SOL</t>
        </is>
      </c>
      <c r="B123" s="4" t="n">
        <v>2</v>
      </c>
      <c r="C123" s="4" t="inlineStr">
        <is>
          <t>Allbridge Core</t>
        </is>
      </c>
      <c r="D123" s="4" t="inlineStr">
        <is>
          <t>venue</t>
        </is>
      </c>
      <c r="E123" s="18" t="n">
        <v>99.85005</v>
      </c>
      <c r="F123" s="4" t="inlineStr">
        <is>
          <t>Allbridge Core</t>
        </is>
      </c>
      <c r="G123" s="18" t="n">
        <v>99.90000000000001</v>
      </c>
      <c r="H123" s="15">
        <f>(E123-G123)/100*10000</f>
        <v/>
      </c>
      <c r="I123" s="4" t="inlineStr">
        <is>
          <t>yes</t>
        </is>
      </c>
    </row>
    <row r="124">
      <c r="A124" s="4" t="inlineStr">
        <is>
          <t>ETH → SOL</t>
        </is>
      </c>
      <c r="B124" s="4" t="n">
        <v>3</v>
      </c>
      <c r="C124" s="4" t="inlineStr">
        <is>
          <t>Allbridge Core</t>
        </is>
      </c>
      <c r="D124" s="4" t="inlineStr">
        <is>
          <t>venue</t>
        </is>
      </c>
      <c r="E124" s="18" t="n">
        <v>99.85005</v>
      </c>
      <c r="F124" s="4" t="inlineStr">
        <is>
          <t>Allbridge Core</t>
        </is>
      </c>
      <c r="G124" s="18" t="n">
        <v>99.90000000000001</v>
      </c>
      <c r="H124" s="15">
        <f>(E124-G124)/100*10000</f>
        <v/>
      </c>
      <c r="I124" s="4" t="inlineStr">
        <is>
          <t>yes</t>
        </is>
      </c>
    </row>
    <row r="125">
      <c r="A125" s="4" t="inlineStr">
        <is>
          <t>ETH → SOL</t>
        </is>
      </c>
      <c r="B125" s="4" t="n">
        <v>1</v>
      </c>
      <c r="C125" s="4" t="inlineStr">
        <is>
          <t>CCTP (via Portal)</t>
        </is>
      </c>
      <c r="D125" s="4" t="inlineStr">
        <is>
          <t>venue</t>
        </is>
      </c>
      <c r="E125" s="18" t="n">
        <v>99.85005</v>
      </c>
      <c r="F125" s="4" t="inlineStr">
        <is>
          <t>Allbridge Core</t>
        </is>
      </c>
      <c r="G125" s="18" t="n">
        <v>99.980001</v>
      </c>
      <c r="H125" s="15">
        <f>(E125-G125)/100*10000</f>
        <v/>
      </c>
      <c r="I125" s="4" t="inlineStr"/>
    </row>
    <row r="126">
      <c r="A126" s="4" t="inlineStr">
        <is>
          <t>ETH → SOL</t>
        </is>
      </c>
      <c r="B126" s="4" t="n">
        <v>2</v>
      </c>
      <c r="C126" s="4" t="inlineStr">
        <is>
          <t>CCTP (via Portal)</t>
        </is>
      </c>
      <c r="D126" s="4" t="inlineStr">
        <is>
          <t>venue</t>
        </is>
      </c>
      <c r="E126" s="18" t="n">
        <v>99.85005</v>
      </c>
      <c r="F126" s="4" t="inlineStr">
        <is>
          <t>Allbridge Core</t>
        </is>
      </c>
      <c r="G126" s="18" t="n">
        <v>99.980001</v>
      </c>
      <c r="H126" s="15">
        <f>(E126-G126)/100*10000</f>
        <v/>
      </c>
      <c r="I126" s="4" t="inlineStr"/>
    </row>
    <row r="127">
      <c r="A127" s="4" t="inlineStr">
        <is>
          <t>ETH → SOL</t>
        </is>
      </c>
      <c r="B127" s="4" t="n">
        <v>3</v>
      </c>
      <c r="C127" s="4" t="inlineStr">
        <is>
          <t>CCTP (via Portal)</t>
        </is>
      </c>
      <c r="D127" s="4" t="inlineStr">
        <is>
          <t>venue</t>
        </is>
      </c>
      <c r="E127" s="18" t="n">
        <v>99.85005</v>
      </c>
      <c r="F127" s="4" t="inlineStr">
        <is>
          <t>Allbridge Core</t>
        </is>
      </c>
      <c r="G127" s="18" t="n">
        <v>99.980001</v>
      </c>
      <c r="H127" s="15">
        <f>(E127-G127)/100*10000</f>
        <v/>
      </c>
      <c r="I127" s="4" t="inlineStr"/>
    </row>
    <row r="128">
      <c r="A128" s="4" t="inlineStr">
        <is>
          <t>ETH → SOL</t>
        </is>
      </c>
      <c r="B128" s="4" t="n">
        <v>1</v>
      </c>
      <c r="C128" s="4" t="inlineStr">
        <is>
          <t>Husher</t>
        </is>
      </c>
      <c r="D128" s="4" t="inlineStr">
        <is>
          <t>venue</t>
        </is>
      </c>
      <c r="E128" s="18" t="n">
        <v>99.85005</v>
      </c>
      <c r="F128" s="4" t="inlineStr">
        <is>
          <t>Allbridge Core</t>
        </is>
      </c>
      <c r="G128" s="18" t="n">
        <v>99.34999999999999</v>
      </c>
      <c r="H128" s="15">
        <f>(E128-G128)/100*10000</f>
        <v/>
      </c>
      <c r="I128" s="4" t="inlineStr"/>
    </row>
    <row r="129">
      <c r="A129" s="4" t="inlineStr">
        <is>
          <t>ETH → SOL</t>
        </is>
      </c>
      <c r="B129" s="4" t="n">
        <v>2</v>
      </c>
      <c r="C129" s="4" t="inlineStr">
        <is>
          <t>Husher</t>
        </is>
      </c>
      <c r="D129" s="4" t="inlineStr">
        <is>
          <t>venue</t>
        </is>
      </c>
      <c r="E129" s="18" t="n">
        <v>99.85005</v>
      </c>
      <c r="F129" s="4" t="inlineStr">
        <is>
          <t>Allbridge Core</t>
        </is>
      </c>
      <c r="G129" s="18" t="n">
        <v>99.34999999999999</v>
      </c>
      <c r="H129" s="15">
        <f>(E129-G129)/100*10000</f>
        <v/>
      </c>
      <c r="I129" s="4" t="inlineStr"/>
    </row>
    <row r="130">
      <c r="A130" s="4" t="inlineStr">
        <is>
          <t>ETH → SOL</t>
        </is>
      </c>
      <c r="B130" s="4" t="n">
        <v>3</v>
      </c>
      <c r="C130" s="4" t="inlineStr">
        <is>
          <t>Husher</t>
        </is>
      </c>
      <c r="D130" s="4" t="inlineStr">
        <is>
          <t>venue</t>
        </is>
      </c>
      <c r="E130" s="18" t="n">
        <v>99.85005</v>
      </c>
      <c r="F130" s="4" t="inlineStr">
        <is>
          <t>Allbridge Core</t>
        </is>
      </c>
      <c r="G130" s="18" t="n">
        <v>99.34999999999999</v>
      </c>
      <c r="H130" s="15">
        <f>(E130-G130)/100*10000</f>
        <v/>
      </c>
      <c r="I130" s="4" t="inlineStr"/>
    </row>
    <row r="131">
      <c r="A131" s="4" t="inlineStr">
        <is>
          <t>ETH → SOL</t>
        </is>
      </c>
      <c r="B131" s="4" t="n">
        <v>1</v>
      </c>
      <c r="C131" s="4" t="inlineStr">
        <is>
          <t>Layerswap</t>
        </is>
      </c>
      <c r="D131" s="4" t="inlineStr">
        <is>
          <t>venue</t>
        </is>
      </c>
      <c r="E131" s="18" t="n">
        <v>99.85005</v>
      </c>
      <c r="F131" s="4" t="inlineStr">
        <is>
          <t>Allbridge Core</t>
        </is>
      </c>
      <c r="G131" s="18" t="n">
        <v>99.67344799999999</v>
      </c>
      <c r="H131" s="15">
        <f>(E131-G131)/100*10000</f>
        <v/>
      </c>
      <c r="I131" s="4" t="inlineStr"/>
    </row>
    <row r="132">
      <c r="A132" s="4" t="inlineStr">
        <is>
          <t>ETH → SOL</t>
        </is>
      </c>
      <c r="B132" s="4" t="n">
        <v>2</v>
      </c>
      <c r="C132" s="4" t="inlineStr">
        <is>
          <t>Layerswap</t>
        </is>
      </c>
      <c r="D132" s="4" t="inlineStr">
        <is>
          <t>venue</t>
        </is>
      </c>
      <c r="E132" s="18" t="n">
        <v>99.85005</v>
      </c>
      <c r="F132" s="4" t="inlineStr">
        <is>
          <t>Allbridge Core</t>
        </is>
      </c>
      <c r="G132" s="18" t="n">
        <v>99.67358299999999</v>
      </c>
      <c r="H132" s="15">
        <f>(E132-G132)/100*10000</f>
        <v/>
      </c>
      <c r="I132" s="4" t="inlineStr"/>
    </row>
    <row r="133">
      <c r="A133" s="4" t="inlineStr">
        <is>
          <t>ETH → SOL</t>
        </is>
      </c>
      <c r="B133" s="4" t="n">
        <v>3</v>
      </c>
      <c r="C133" s="4" t="inlineStr">
        <is>
          <t>Layerswap</t>
        </is>
      </c>
      <c r="D133" s="4" t="inlineStr">
        <is>
          <t>venue</t>
        </is>
      </c>
      <c r="E133" s="18" t="n">
        <v>99.85005</v>
      </c>
      <c r="F133" s="4" t="inlineStr">
        <is>
          <t>Allbridge Core</t>
        </is>
      </c>
      <c r="G133" s="18" t="n">
        <v>99.67346499999999</v>
      </c>
      <c r="H133" s="15">
        <f>(E133-G133)/100*10000</f>
        <v/>
      </c>
      <c r="I133" s="4" t="inlineStr"/>
    </row>
    <row r="134">
      <c r="A134" s="4" t="inlineStr">
        <is>
          <t>ETH → SOL</t>
        </is>
      </c>
      <c r="B134" s="4" t="n">
        <v>1</v>
      </c>
      <c r="C134" s="4" t="inlineStr">
        <is>
          <t>Meson</t>
        </is>
      </c>
      <c r="D134" s="4" t="inlineStr">
        <is>
          <t>venue</t>
        </is>
      </c>
      <c r="E134" s="18" t="n">
        <v>99.85005</v>
      </c>
      <c r="F134" s="4" t="inlineStr">
        <is>
          <t>Allbridge Core</t>
        </is>
      </c>
      <c r="G134" s="18" t="n">
        <v>99.09999999999999</v>
      </c>
      <c r="H134" s="15">
        <f>(E134-G134)/100*10000</f>
        <v/>
      </c>
      <c r="I134" s="4" t="inlineStr"/>
    </row>
    <row r="135">
      <c r="A135" s="4" t="inlineStr">
        <is>
          <t>ETH → SOL</t>
        </is>
      </c>
      <c r="B135" s="4" t="n">
        <v>2</v>
      </c>
      <c r="C135" s="4" t="inlineStr">
        <is>
          <t>Meson</t>
        </is>
      </c>
      <c r="D135" s="4" t="inlineStr">
        <is>
          <t>venue</t>
        </is>
      </c>
      <c r="E135" s="18" t="n">
        <v>99.85005</v>
      </c>
      <c r="F135" s="4" t="inlineStr">
        <is>
          <t>Allbridge Core</t>
        </is>
      </c>
      <c r="G135" s="18" t="n">
        <v>99.09999999999999</v>
      </c>
      <c r="H135" s="15">
        <f>(E135-G135)/100*10000</f>
        <v/>
      </c>
      <c r="I135" s="4" t="inlineStr"/>
    </row>
    <row r="136">
      <c r="A136" s="4" t="inlineStr">
        <is>
          <t>ETH → SOL</t>
        </is>
      </c>
      <c r="B136" s="4" t="n">
        <v>3</v>
      </c>
      <c r="C136" s="4" t="inlineStr">
        <is>
          <t>Meson</t>
        </is>
      </c>
      <c r="D136" s="4" t="inlineStr">
        <is>
          <t>venue</t>
        </is>
      </c>
      <c r="E136" s="18" t="n">
        <v>99.85005</v>
      </c>
      <c r="F136" s="4" t="inlineStr">
        <is>
          <t>Allbridge Core</t>
        </is>
      </c>
      <c r="G136" s="18" t="n">
        <v>99.09999999999999</v>
      </c>
      <c r="H136" s="15">
        <f>(E136-G136)/100*10000</f>
        <v/>
      </c>
      <c r="I136" s="4" t="inlineStr"/>
    </row>
    <row r="137">
      <c r="A137" s="4" t="inlineStr">
        <is>
          <t>ETH → SOL</t>
        </is>
      </c>
      <c r="B137" s="4" t="n">
        <v>2</v>
      </c>
      <c r="C137" s="4" t="inlineStr">
        <is>
          <t>SimpleSwap</t>
        </is>
      </c>
      <c r="D137" s="4" t="inlineStr">
        <is>
          <t>venue</t>
        </is>
      </c>
      <c r="E137" s="18" t="n">
        <v>99.85005</v>
      </c>
      <c r="F137" s="4" t="inlineStr">
        <is>
          <t>Allbridge Core</t>
        </is>
      </c>
      <c r="G137" s="18" t="n">
        <v>98.485659</v>
      </c>
      <c r="H137" s="15">
        <f>(E137-G137)/100*10000</f>
        <v/>
      </c>
      <c r="I137" s="4" t="inlineStr"/>
    </row>
    <row r="138">
      <c r="A138" s="4" t="inlineStr">
        <is>
          <t>ETH → SOL</t>
        </is>
      </c>
      <c r="B138" s="4" t="n">
        <v>3</v>
      </c>
      <c r="C138" s="4" t="inlineStr">
        <is>
          <t>SimpleSwap</t>
        </is>
      </c>
      <c r="D138" s="4" t="inlineStr">
        <is>
          <t>venue</t>
        </is>
      </c>
      <c r="E138" s="18" t="n">
        <v>99.85005</v>
      </c>
      <c r="F138" s="4" t="inlineStr">
        <is>
          <t>Allbridge Core</t>
        </is>
      </c>
      <c r="G138" s="18" t="n">
        <v>98.485152</v>
      </c>
      <c r="H138" s="15">
        <f>(E138-G138)/100*10000</f>
        <v/>
      </c>
      <c r="I138" s="4" t="inlineStr"/>
    </row>
    <row r="139">
      <c r="A139" s="4" t="inlineStr">
        <is>
          <t>ETH → SOL</t>
        </is>
      </c>
      <c r="B139" s="4" t="n">
        <v>1</v>
      </c>
      <c r="C139" s="4" t="inlineStr">
        <is>
          <t>Skip Go</t>
        </is>
      </c>
      <c r="D139" s="4" t="inlineStr">
        <is>
          <t>venue</t>
        </is>
      </c>
      <c r="E139" s="18" t="n">
        <v>99.85005</v>
      </c>
      <c r="F139" s="4" t="inlineStr">
        <is>
          <t>Allbridge Core</t>
        </is>
      </c>
      <c r="G139" s="18" t="n">
        <v>99.71930999999999</v>
      </c>
      <c r="H139" s="15">
        <f>(E139-G139)/100*10000</f>
        <v/>
      </c>
      <c r="I139" s="4" t="inlineStr"/>
    </row>
    <row r="140">
      <c r="A140" s="4" t="inlineStr">
        <is>
          <t>ETH → SOL</t>
        </is>
      </c>
      <c r="B140" s="4" t="n">
        <v>2</v>
      </c>
      <c r="C140" s="4" t="inlineStr">
        <is>
          <t>Skip Go</t>
        </is>
      </c>
      <c r="D140" s="4" t="inlineStr">
        <is>
          <t>venue</t>
        </is>
      </c>
      <c r="E140" s="18" t="n">
        <v>99.85005</v>
      </c>
      <c r="F140" s="4" t="inlineStr">
        <is>
          <t>Allbridge Core</t>
        </is>
      </c>
      <c r="G140" s="18" t="n">
        <v>99.71930999999999</v>
      </c>
      <c r="H140" s="15">
        <f>(E140-G140)/100*10000</f>
        <v/>
      </c>
      <c r="I140" s="4" t="inlineStr"/>
    </row>
    <row r="141">
      <c r="A141" s="4" t="inlineStr">
        <is>
          <t>ETH → SOL</t>
        </is>
      </c>
      <c r="B141" s="4" t="n">
        <v>3</v>
      </c>
      <c r="C141" s="4" t="inlineStr">
        <is>
          <t>Skip Go</t>
        </is>
      </c>
      <c r="D141" s="4" t="inlineStr">
        <is>
          <t>venue</t>
        </is>
      </c>
      <c r="E141" s="18" t="n">
        <v>99.85005</v>
      </c>
      <c r="F141" s="4" t="inlineStr">
        <is>
          <t>Allbridge Core</t>
        </is>
      </c>
      <c r="G141" s="18" t="n">
        <v>99.71944999999999</v>
      </c>
      <c r="H141" s="15">
        <f>(E141-G141)/100*10000</f>
        <v/>
      </c>
      <c r="I141" s="4" t="inlineStr"/>
    </row>
    <row r="142">
      <c r="A142" s="4" t="inlineStr">
        <is>
          <t>ETH → SOL</t>
        </is>
      </c>
      <c r="B142" s="4" t="n">
        <v>1</v>
      </c>
      <c r="C142" s="4" t="inlineStr">
        <is>
          <t>Symbiosis</t>
        </is>
      </c>
      <c r="D142" s="4" t="inlineStr">
        <is>
          <t>venue</t>
        </is>
      </c>
      <c r="E142" s="18" t="n">
        <v>99.85005</v>
      </c>
      <c r="F142" s="4" t="inlineStr">
        <is>
          <t>Allbridge Core</t>
        </is>
      </c>
      <c r="G142" s="18" t="n">
        <v>98.94045699999999</v>
      </c>
      <c r="H142" s="15">
        <f>(E142-G142)/100*10000</f>
        <v/>
      </c>
      <c r="I142" s="4" t="inlineStr"/>
    </row>
    <row r="143">
      <c r="A143" s="4" t="inlineStr">
        <is>
          <t>ETH → SOL</t>
        </is>
      </c>
      <c r="B143" s="4" t="n">
        <v>2</v>
      </c>
      <c r="C143" s="4" t="inlineStr">
        <is>
          <t>Symbiosis</t>
        </is>
      </c>
      <c r="D143" s="4" t="inlineStr">
        <is>
          <t>venue</t>
        </is>
      </c>
      <c r="E143" s="18" t="n">
        <v>99.85005</v>
      </c>
      <c r="F143" s="4" t="inlineStr">
        <is>
          <t>Allbridge Core</t>
        </is>
      </c>
      <c r="G143" s="18" t="n">
        <v>98.960719</v>
      </c>
      <c r="H143" s="15">
        <f>(E143-G143)/100*10000</f>
        <v/>
      </c>
      <c r="I143" s="4" t="inlineStr"/>
    </row>
    <row r="144">
      <c r="A144" s="4" t="inlineStr">
        <is>
          <t>ETH → SOL</t>
        </is>
      </c>
      <c r="B144" s="4" t="n">
        <v>3</v>
      </c>
      <c r="C144" s="4" t="inlineStr">
        <is>
          <t>Symbiosis</t>
        </is>
      </c>
      <c r="D144" s="4" t="inlineStr">
        <is>
          <t>venue</t>
        </is>
      </c>
      <c r="E144" s="18" t="n">
        <v>99.85005</v>
      </c>
      <c r="F144" s="4" t="inlineStr">
        <is>
          <t>Allbridge Core</t>
        </is>
      </c>
      <c r="G144" s="18" t="n">
        <v>98.94086299999999</v>
      </c>
      <c r="H144" s="15">
        <f>(E144-G144)/100*10000</f>
        <v/>
      </c>
      <c r="I144" s="4" t="inlineStr"/>
    </row>
    <row r="145">
      <c r="A145" s="4" t="inlineStr">
        <is>
          <t>SOL → BSC</t>
        </is>
      </c>
      <c r="B145" s="4" t="n">
        <v>1</v>
      </c>
      <c r="C145" s="4" t="inlineStr">
        <is>
          <t>Relay</t>
        </is>
      </c>
      <c r="D145" s="4" t="inlineStr">
        <is>
          <t>venue</t>
        </is>
      </c>
      <c r="E145" s="18" t="n">
        <v>99.87003900000001</v>
      </c>
      <c r="F145" s="4" t="inlineStr">
        <is>
          <t>Rhino</t>
        </is>
      </c>
      <c r="G145" s="18" t="n">
        <v>99.64353699999999</v>
      </c>
      <c r="H145" s="15">
        <f>(E145-G145)/100*10000</f>
        <v/>
      </c>
      <c r="I145" s="4" t="inlineStr"/>
    </row>
    <row r="146">
      <c r="A146" s="4" t="inlineStr">
        <is>
          <t>SOL → BSC</t>
        </is>
      </c>
      <c r="B146" s="4" t="n">
        <v>1</v>
      </c>
      <c r="C146" s="4" t="inlineStr">
        <is>
          <t>Relay</t>
        </is>
      </c>
      <c r="D146" s="4" t="inlineStr">
        <is>
          <t>venue</t>
        </is>
      </c>
      <c r="E146" s="18" t="n">
        <v>99.87003900000001</v>
      </c>
      <c r="F146" s="4" t="inlineStr">
        <is>
          <t>Rhino</t>
        </is>
      </c>
      <c r="G146" s="18" t="n">
        <v>99.651251</v>
      </c>
      <c r="H146" s="15">
        <f>(E146-G146)/100*10000</f>
        <v/>
      </c>
      <c r="I146" s="4" t="inlineStr"/>
    </row>
    <row r="147">
      <c r="A147" s="4" t="inlineStr">
        <is>
          <t>SOL → BSC</t>
        </is>
      </c>
      <c r="B147" s="4" t="n">
        <v>2</v>
      </c>
      <c r="C147" s="4" t="inlineStr">
        <is>
          <t>Relay</t>
        </is>
      </c>
      <c r="D147" s="4" t="inlineStr">
        <is>
          <t>venue</t>
        </is>
      </c>
      <c r="E147" s="18" t="n">
        <v>99.82007900000001</v>
      </c>
      <c r="F147" s="4" t="inlineStr">
        <is>
          <t>Rhino</t>
        </is>
      </c>
      <c r="G147" s="18" t="n">
        <v>99.650424</v>
      </c>
      <c r="H147" s="15">
        <f>(E147-G147)/100*10000</f>
        <v/>
      </c>
      <c r="I147" s="4" t="inlineStr"/>
    </row>
    <row r="148">
      <c r="A148" s="4" t="inlineStr">
        <is>
          <t>SOL → BSC</t>
        </is>
      </c>
      <c r="B148" s="4" t="n">
        <v>2</v>
      </c>
      <c r="C148" s="4" t="inlineStr">
        <is>
          <t>Relay</t>
        </is>
      </c>
      <c r="D148" s="4" t="inlineStr">
        <is>
          <t>venue</t>
        </is>
      </c>
      <c r="E148" s="18" t="n">
        <v>99.87003900000001</v>
      </c>
      <c r="F148" s="4" t="inlineStr">
        <is>
          <t>Rhino</t>
        </is>
      </c>
      <c r="G148" s="18" t="n">
        <v>99.64806</v>
      </c>
      <c r="H148" s="15">
        <f>(E148-G148)/100*10000</f>
        <v/>
      </c>
      <c r="I148" s="4" t="inlineStr"/>
    </row>
    <row r="149">
      <c r="A149" s="4" t="inlineStr">
        <is>
          <t>SOL → BSC</t>
        </is>
      </c>
      <c r="B149" s="4" t="n">
        <v>3</v>
      </c>
      <c r="C149" s="4" t="inlineStr">
        <is>
          <t>Relay</t>
        </is>
      </c>
      <c r="D149" s="4" t="inlineStr">
        <is>
          <t>venue</t>
        </is>
      </c>
      <c r="E149" s="18" t="n">
        <v>99.87003900000001</v>
      </c>
      <c r="F149" s="4" t="inlineStr">
        <is>
          <t>Rhino</t>
        </is>
      </c>
      <c r="G149" s="18" t="n">
        <v>99.632586</v>
      </c>
      <c r="H149" s="15">
        <f>(E149-G149)/100*10000</f>
        <v/>
      </c>
      <c r="I149" s="4" t="inlineStr"/>
    </row>
    <row r="150">
      <c r="A150" s="4" t="inlineStr">
        <is>
          <t>SOL → BSC</t>
        </is>
      </c>
      <c r="B150" s="4" t="n">
        <v>3</v>
      </c>
      <c r="C150" s="4" t="inlineStr">
        <is>
          <t>Relay</t>
        </is>
      </c>
      <c r="D150" s="4" t="inlineStr">
        <is>
          <t>venue</t>
        </is>
      </c>
      <c r="E150" s="18" t="n">
        <v>99.82007900000001</v>
      </c>
      <c r="F150" s="4" t="inlineStr">
        <is>
          <t>Rhino</t>
        </is>
      </c>
      <c r="G150" s="18" t="n">
        <v>99.644547</v>
      </c>
      <c r="H150" s="15">
        <f>(E150-G150)/100*10000</f>
        <v/>
      </c>
      <c r="I150" s="4" t="inlineStr"/>
    </row>
    <row r="151">
      <c r="A151" s="4" t="inlineStr">
        <is>
          <t>SOL → BSC</t>
        </is>
      </c>
      <c r="B151" s="4" t="n">
        <v>1</v>
      </c>
      <c r="C151" s="4" t="inlineStr">
        <is>
          <t>deBridge</t>
        </is>
      </c>
      <c r="D151" s="4" t="inlineStr">
        <is>
          <t>venue</t>
        </is>
      </c>
      <c r="E151" s="18" t="n">
        <v>99.87003900000001</v>
      </c>
      <c r="F151" s="4" t="inlineStr">
        <is>
          <t>Rhino</t>
        </is>
      </c>
      <c r="G151" s="18" t="n">
        <v>98.643316</v>
      </c>
      <c r="H151" s="15">
        <f>(E151-G151)/100*10000</f>
        <v/>
      </c>
      <c r="I151" s="4" t="inlineStr"/>
    </row>
    <row r="152">
      <c r="A152" s="4" t="inlineStr">
        <is>
          <t>SOL → BSC</t>
        </is>
      </c>
      <c r="B152" s="4" t="n">
        <v>1</v>
      </c>
      <c r="C152" s="4" t="inlineStr">
        <is>
          <t>deBridge</t>
        </is>
      </c>
      <c r="D152" s="4" t="inlineStr">
        <is>
          <t>venue</t>
        </is>
      </c>
      <c r="E152" s="18" t="n">
        <v>99.87003900000001</v>
      </c>
      <c r="F152" s="4" t="inlineStr">
        <is>
          <t>Rhino</t>
        </is>
      </c>
      <c r="G152" s="18" t="n">
        <v>98.646216</v>
      </c>
      <c r="H152" s="15">
        <f>(E152-G152)/100*10000</f>
        <v/>
      </c>
      <c r="I152" s="4" t="inlineStr"/>
    </row>
    <row r="153">
      <c r="A153" s="4" t="inlineStr">
        <is>
          <t>SOL → BSC</t>
        </is>
      </c>
      <c r="B153" s="4" t="n">
        <v>2</v>
      </c>
      <c r="C153" s="4" t="inlineStr">
        <is>
          <t>deBridge</t>
        </is>
      </c>
      <c r="D153" s="4" t="inlineStr">
        <is>
          <t>venue</t>
        </is>
      </c>
      <c r="E153" s="18" t="n">
        <v>99.82007900000001</v>
      </c>
      <c r="F153" s="4" t="inlineStr">
        <is>
          <t>Rhino</t>
        </is>
      </c>
      <c r="G153" s="18" t="n">
        <v>98.64771500000001</v>
      </c>
      <c r="H153" s="15">
        <f>(E153-G153)/100*10000</f>
        <v/>
      </c>
      <c r="I153" s="4" t="inlineStr"/>
    </row>
    <row r="154">
      <c r="A154" s="4" t="inlineStr">
        <is>
          <t>SOL → BSC</t>
        </is>
      </c>
      <c r="B154" s="4" t="n">
        <v>2</v>
      </c>
      <c r="C154" s="4" t="inlineStr">
        <is>
          <t>deBridge</t>
        </is>
      </c>
      <c r="D154" s="4" t="inlineStr">
        <is>
          <t>venue</t>
        </is>
      </c>
      <c r="E154" s="18" t="n">
        <v>99.87003900000001</v>
      </c>
      <c r="F154" s="4" t="inlineStr">
        <is>
          <t>Rhino</t>
        </is>
      </c>
      <c r="G154" s="18" t="n">
        <v>98.644615</v>
      </c>
      <c r="H154" s="15">
        <f>(E154-G154)/100*10000</f>
        <v/>
      </c>
      <c r="I154" s="4" t="inlineStr"/>
    </row>
    <row r="155">
      <c r="A155" s="4" t="inlineStr">
        <is>
          <t>SOL → BSC</t>
        </is>
      </c>
      <c r="B155" s="4" t="n">
        <v>3</v>
      </c>
      <c r="C155" s="4" t="inlineStr">
        <is>
          <t>deBridge</t>
        </is>
      </c>
      <c r="D155" s="4" t="inlineStr">
        <is>
          <t>venue</t>
        </is>
      </c>
      <c r="E155" s="18" t="n">
        <v>99.87003900000001</v>
      </c>
      <c r="F155" s="4" t="inlineStr">
        <is>
          <t>Rhino</t>
        </is>
      </c>
      <c r="G155" s="18" t="n">
        <v>98.103431</v>
      </c>
      <c r="H155" s="15">
        <f>(E155-G155)/100*10000</f>
        <v/>
      </c>
      <c r="I155" s="4" t="inlineStr"/>
    </row>
    <row r="156">
      <c r="A156" s="4" t="inlineStr">
        <is>
          <t>SOL → BSC</t>
        </is>
      </c>
      <c r="B156" s="4" t="n">
        <v>3</v>
      </c>
      <c r="C156" s="4" t="inlineStr">
        <is>
          <t>deBridge</t>
        </is>
      </c>
      <c r="D156" s="4" t="inlineStr">
        <is>
          <t>venue</t>
        </is>
      </c>
      <c r="E156" s="18" t="n">
        <v>99.82007900000001</v>
      </c>
      <c r="F156" s="4" t="inlineStr">
        <is>
          <t>Rhino</t>
        </is>
      </c>
      <c r="G156" s="18" t="n">
        <v>98.102132</v>
      </c>
      <c r="H156" s="15">
        <f>(E156-G156)/100*10000</f>
        <v/>
      </c>
      <c r="I156" s="4" t="inlineStr"/>
    </row>
    <row r="157">
      <c r="A157" s="4" t="inlineStr">
        <is>
          <t>SOL → BSC</t>
        </is>
      </c>
      <c r="B157" s="4" t="n">
        <v>1</v>
      </c>
      <c r="C157" s="4" t="inlineStr">
        <is>
          <t>LI.FI (Jumper)</t>
        </is>
      </c>
      <c r="D157" s="4" t="inlineStr">
        <is>
          <t>venue</t>
        </is>
      </c>
      <c r="E157" s="18" t="n">
        <v>99.87003900000001</v>
      </c>
      <c r="F157" s="4" t="inlineStr">
        <is>
          <t>Rhino</t>
        </is>
      </c>
      <c r="G157" s="18" t="n">
        <v>99.930539</v>
      </c>
      <c r="H157" s="15">
        <f>(E157-G157)/100*10000</f>
        <v/>
      </c>
      <c r="I157" s="4" t="inlineStr"/>
    </row>
    <row r="158">
      <c r="A158" s="4" t="inlineStr">
        <is>
          <t>SOL → BSC</t>
        </is>
      </c>
      <c r="B158" s="4" t="n">
        <v>1</v>
      </c>
      <c r="C158" s="4" t="inlineStr">
        <is>
          <t>LI.FI (Jumper)</t>
        </is>
      </c>
      <c r="D158" s="4" t="inlineStr">
        <is>
          <t>venue</t>
        </is>
      </c>
      <c r="E158" s="18" t="n">
        <v>99.87003900000001</v>
      </c>
      <c r="F158" s="4" t="inlineStr">
        <is>
          <t>Rhino</t>
        </is>
      </c>
      <c r="G158" s="18" t="n">
        <v>99.930623</v>
      </c>
      <c r="H158" s="15">
        <f>(E158-G158)/100*10000</f>
        <v/>
      </c>
      <c r="I158" s="4" t="inlineStr"/>
    </row>
    <row r="159">
      <c r="A159" s="4" t="inlineStr">
        <is>
          <t>SOL → BSC</t>
        </is>
      </c>
      <c r="B159" s="4" t="n">
        <v>2</v>
      </c>
      <c r="C159" s="4" t="inlineStr">
        <is>
          <t>LI.FI (Jumper)</t>
        </is>
      </c>
      <c r="D159" s="4" t="inlineStr">
        <is>
          <t>venue</t>
        </is>
      </c>
      <c r="E159" s="18" t="n">
        <v>99.82007900000001</v>
      </c>
      <c r="F159" s="4" t="inlineStr">
        <is>
          <t>Rhino</t>
        </is>
      </c>
      <c r="G159" s="18" t="n">
        <v>99.930539</v>
      </c>
      <c r="H159" s="15">
        <f>(E159-G159)/100*10000</f>
        <v/>
      </c>
      <c r="I159" s="4" t="inlineStr"/>
    </row>
    <row r="160">
      <c r="A160" s="4" t="inlineStr">
        <is>
          <t>SOL → BSC</t>
        </is>
      </c>
      <c r="B160" s="4" t="n">
        <v>2</v>
      </c>
      <c r="C160" s="4" t="inlineStr">
        <is>
          <t>LI.FI (Jumper)</t>
        </is>
      </c>
      <c r="D160" s="4" t="inlineStr">
        <is>
          <t>venue</t>
        </is>
      </c>
      <c r="E160" s="18" t="n">
        <v>99.87003900000001</v>
      </c>
      <c r="F160" s="4" t="inlineStr">
        <is>
          <t>Rhino</t>
        </is>
      </c>
      <c r="G160" s="18" t="n">
        <v>99.930665</v>
      </c>
      <c r="H160" s="15">
        <f>(E160-G160)/100*10000</f>
        <v/>
      </c>
      <c r="I160" s="4" t="inlineStr"/>
    </row>
    <row r="161">
      <c r="A161" s="4" t="inlineStr">
        <is>
          <t>SOL → BSC</t>
        </is>
      </c>
      <c r="B161" s="4" t="n">
        <v>3</v>
      </c>
      <c r="C161" s="4" t="inlineStr">
        <is>
          <t>LI.FI (Jumper)</t>
        </is>
      </c>
      <c r="D161" s="4" t="inlineStr">
        <is>
          <t>venue</t>
        </is>
      </c>
      <c r="E161" s="18" t="n">
        <v>99.87003900000001</v>
      </c>
      <c r="F161" s="4" t="inlineStr">
        <is>
          <t>Rhino</t>
        </is>
      </c>
      <c r="G161" s="18" t="n">
        <v>99.930671</v>
      </c>
      <c r="H161" s="15">
        <f>(E161-G161)/100*10000</f>
        <v/>
      </c>
      <c r="I161" s="4" t="inlineStr"/>
    </row>
    <row r="162">
      <c r="A162" s="4" t="inlineStr">
        <is>
          <t>SOL → BSC</t>
        </is>
      </c>
      <c r="B162" s="4" t="n">
        <v>3</v>
      </c>
      <c r="C162" s="4" t="inlineStr">
        <is>
          <t>LI.FI (Jumper)</t>
        </is>
      </c>
      <c r="D162" s="4" t="inlineStr">
        <is>
          <t>venue</t>
        </is>
      </c>
      <c r="E162" s="18" t="n">
        <v>99.82007900000001</v>
      </c>
      <c r="F162" s="4" t="inlineStr">
        <is>
          <t>Rhino</t>
        </is>
      </c>
      <c r="G162" s="18" t="n">
        <v>99.930665</v>
      </c>
      <c r="H162" s="15">
        <f>(E162-G162)/100*10000</f>
        <v/>
      </c>
      <c r="I162" s="4" t="inlineStr"/>
    </row>
    <row r="163">
      <c r="A163" s="4" t="inlineStr">
        <is>
          <t>SOL → BSC</t>
        </is>
      </c>
      <c r="B163" s="4" t="n">
        <v>1</v>
      </c>
      <c r="C163" s="4" t="inlineStr">
        <is>
          <t>Across</t>
        </is>
      </c>
      <c r="D163" s="4" t="inlineStr">
        <is>
          <t>venue</t>
        </is>
      </c>
      <c r="E163" s="18" t="n">
        <v>99.87003900000001</v>
      </c>
      <c r="F163" s="4" t="inlineStr">
        <is>
          <t>Rhino</t>
        </is>
      </c>
      <c r="G163" s="18" t="n">
        <v>99.982012</v>
      </c>
      <c r="H163" s="15">
        <f>(E163-G163)/100*10000</f>
        <v/>
      </c>
      <c r="I163" s="4" t="inlineStr"/>
    </row>
    <row r="164">
      <c r="A164" s="4" t="inlineStr">
        <is>
          <t>SOL → BSC</t>
        </is>
      </c>
      <c r="B164" s="4" t="n">
        <v>1</v>
      </c>
      <c r="C164" s="4" t="inlineStr">
        <is>
          <t>Across</t>
        </is>
      </c>
      <c r="D164" s="4" t="inlineStr">
        <is>
          <t>venue</t>
        </is>
      </c>
      <c r="E164" s="18" t="n">
        <v>99.87003900000001</v>
      </c>
      <c r="F164" s="4" t="inlineStr">
        <is>
          <t>Rhino</t>
        </is>
      </c>
      <c r="G164" s="18" t="n">
        <v>99.982074</v>
      </c>
      <c r="H164" s="15">
        <f>(E164-G164)/100*10000</f>
        <v/>
      </c>
      <c r="I164" s="4" t="inlineStr"/>
    </row>
    <row r="165">
      <c r="A165" s="4" t="inlineStr">
        <is>
          <t>SOL → BSC</t>
        </is>
      </c>
      <c r="B165" s="4" t="n">
        <v>2</v>
      </c>
      <c r="C165" s="4" t="inlineStr">
        <is>
          <t>Across</t>
        </is>
      </c>
      <c r="D165" s="4" t="inlineStr">
        <is>
          <t>venue</t>
        </is>
      </c>
      <c r="E165" s="18" t="n">
        <v>99.82007900000001</v>
      </c>
      <c r="F165" s="4" t="inlineStr">
        <is>
          <t>Rhino</t>
        </is>
      </c>
      <c r="G165" s="18" t="n">
        <v>99.982057</v>
      </c>
      <c r="H165" s="15">
        <f>(E165-G165)/100*10000</f>
        <v/>
      </c>
      <c r="I165" s="4" t="inlineStr"/>
    </row>
    <row r="166">
      <c r="A166" s="4" t="inlineStr">
        <is>
          <t>SOL → BSC</t>
        </is>
      </c>
      <c r="B166" s="4" t="n">
        <v>3</v>
      </c>
      <c r="C166" s="4" t="inlineStr">
        <is>
          <t>Across</t>
        </is>
      </c>
      <c r="D166" s="4" t="inlineStr">
        <is>
          <t>venue</t>
        </is>
      </c>
      <c r="E166" s="18" t="n">
        <v>99.87003900000001</v>
      </c>
      <c r="F166" s="4" t="inlineStr">
        <is>
          <t>Rhino</t>
        </is>
      </c>
      <c r="G166" s="18" t="n">
        <v>99.98213199999999</v>
      </c>
      <c r="H166" s="15">
        <f>(E166-G166)/100*10000</f>
        <v/>
      </c>
      <c r="I166" s="4" t="inlineStr"/>
    </row>
    <row r="167">
      <c r="A167" s="4" t="inlineStr">
        <is>
          <t>SOL → BSC</t>
        </is>
      </c>
      <c r="B167" s="4" t="n">
        <v>3</v>
      </c>
      <c r="C167" s="4" t="inlineStr">
        <is>
          <t>Across</t>
        </is>
      </c>
      <c r="D167" s="4" t="inlineStr">
        <is>
          <t>venue</t>
        </is>
      </c>
      <c r="E167" s="18" t="n">
        <v>99.82007900000001</v>
      </c>
      <c r="F167" s="4" t="inlineStr">
        <is>
          <t>Rhino</t>
        </is>
      </c>
      <c r="G167" s="18" t="n">
        <v>99.982061</v>
      </c>
      <c r="H167" s="15">
        <f>(E167-G167)/100*10000</f>
        <v/>
      </c>
      <c r="I167" s="4" t="inlineStr"/>
    </row>
    <row r="168">
      <c r="A168" s="4" t="inlineStr">
        <is>
          <t>SOL → BSC</t>
        </is>
      </c>
      <c r="B168" s="4" t="n">
        <v>1</v>
      </c>
      <c r="C168" s="4" t="inlineStr">
        <is>
          <t>Mayan</t>
        </is>
      </c>
      <c r="D168" s="4" t="inlineStr">
        <is>
          <t>venue</t>
        </is>
      </c>
      <c r="E168" s="18" t="n">
        <v>99.87003900000001</v>
      </c>
      <c r="F168" s="4" t="inlineStr">
        <is>
          <t>Rhino</t>
        </is>
      </c>
      <c r="G168" s="18" t="n">
        <v>99.93000000000001</v>
      </c>
      <c r="H168" s="15">
        <f>(E168-G168)/100*10000</f>
        <v/>
      </c>
      <c r="I168" s="4" t="inlineStr"/>
    </row>
    <row r="169">
      <c r="A169" s="4" t="inlineStr">
        <is>
          <t>SOL → BSC</t>
        </is>
      </c>
      <c r="B169" s="4" t="n">
        <v>1</v>
      </c>
      <c r="C169" s="4" t="inlineStr">
        <is>
          <t>Mayan</t>
        </is>
      </c>
      <c r="D169" s="4" t="inlineStr">
        <is>
          <t>venue</t>
        </is>
      </c>
      <c r="E169" s="18" t="n">
        <v>99.87003900000001</v>
      </c>
      <c r="F169" s="4" t="inlineStr">
        <is>
          <t>Rhino</t>
        </is>
      </c>
      <c r="G169" s="18" t="n">
        <v>99.93000000000001</v>
      </c>
      <c r="H169" s="15">
        <f>(E169-G169)/100*10000</f>
        <v/>
      </c>
      <c r="I169" s="4" t="inlineStr"/>
    </row>
    <row r="170">
      <c r="A170" s="4" t="inlineStr">
        <is>
          <t>SOL → BSC</t>
        </is>
      </c>
      <c r="B170" s="4" t="n">
        <v>2</v>
      </c>
      <c r="C170" s="4" t="inlineStr">
        <is>
          <t>Mayan</t>
        </is>
      </c>
      <c r="D170" s="4" t="inlineStr">
        <is>
          <t>venue</t>
        </is>
      </c>
      <c r="E170" s="18" t="n">
        <v>99.82007900000001</v>
      </c>
      <c r="F170" s="4" t="inlineStr">
        <is>
          <t>Rhino</t>
        </is>
      </c>
      <c r="G170" s="18" t="n">
        <v>99.93000000000001</v>
      </c>
      <c r="H170" s="15">
        <f>(E170-G170)/100*10000</f>
        <v/>
      </c>
      <c r="I170" s="4" t="inlineStr"/>
    </row>
    <row r="171">
      <c r="A171" s="4" t="inlineStr">
        <is>
          <t>SOL → BSC</t>
        </is>
      </c>
      <c r="B171" s="4" t="n">
        <v>2</v>
      </c>
      <c r="C171" s="4" t="inlineStr">
        <is>
          <t>Mayan</t>
        </is>
      </c>
      <c r="D171" s="4" t="inlineStr">
        <is>
          <t>venue</t>
        </is>
      </c>
      <c r="E171" s="18" t="n">
        <v>99.87003900000001</v>
      </c>
      <c r="F171" s="4" t="inlineStr">
        <is>
          <t>Rhino</t>
        </is>
      </c>
      <c r="G171" s="18" t="n">
        <v>99.93000000000001</v>
      </c>
      <c r="H171" s="15">
        <f>(E171-G171)/100*10000</f>
        <v/>
      </c>
      <c r="I171" s="4" t="inlineStr"/>
    </row>
    <row r="172">
      <c r="A172" s="4" t="inlineStr">
        <is>
          <t>SOL → BSC</t>
        </is>
      </c>
      <c r="B172" s="4" t="n">
        <v>3</v>
      </c>
      <c r="C172" s="4" t="inlineStr">
        <is>
          <t>Mayan</t>
        </is>
      </c>
      <c r="D172" s="4" t="inlineStr">
        <is>
          <t>venue</t>
        </is>
      </c>
      <c r="E172" s="18" t="n">
        <v>99.87003900000001</v>
      </c>
      <c r="F172" s="4" t="inlineStr">
        <is>
          <t>Rhino</t>
        </is>
      </c>
      <c r="G172" s="18" t="n">
        <v>99.93000000000001</v>
      </c>
      <c r="H172" s="15">
        <f>(E172-G172)/100*10000</f>
        <v/>
      </c>
      <c r="I172" s="4" t="inlineStr"/>
    </row>
    <row r="173">
      <c r="A173" s="4" t="inlineStr">
        <is>
          <t>SOL → BSC</t>
        </is>
      </c>
      <c r="B173" s="4" t="n">
        <v>3</v>
      </c>
      <c r="C173" s="4" t="inlineStr">
        <is>
          <t>Mayan</t>
        </is>
      </c>
      <c r="D173" s="4" t="inlineStr">
        <is>
          <t>venue</t>
        </is>
      </c>
      <c r="E173" s="18" t="n">
        <v>99.82007900000001</v>
      </c>
      <c r="F173" s="4" t="inlineStr">
        <is>
          <t>Rhino</t>
        </is>
      </c>
      <c r="G173" s="18" t="n">
        <v>99.93000000000001</v>
      </c>
      <c r="H173" s="15">
        <f>(E173-G173)/100*10000</f>
        <v/>
      </c>
      <c r="I173" s="4" t="inlineStr"/>
    </row>
    <row r="174">
      <c r="A174" s="4" t="inlineStr">
        <is>
          <t>SOL → BSC</t>
        </is>
      </c>
      <c r="B174" s="4" t="n">
        <v>1</v>
      </c>
      <c r="C174" s="4" t="inlineStr">
        <is>
          <t>Husher</t>
        </is>
      </c>
      <c r="D174" s="4" t="inlineStr">
        <is>
          <t>venue</t>
        </is>
      </c>
      <c r="E174" s="18" t="n">
        <v>99.87003900000001</v>
      </c>
      <c r="F174" s="4" t="inlineStr">
        <is>
          <t>Rhino</t>
        </is>
      </c>
      <c r="G174" s="18" t="n">
        <v>99.65000000000001</v>
      </c>
      <c r="H174" s="15">
        <f>(E174-G174)/100*10000</f>
        <v/>
      </c>
      <c r="I174" s="4" t="inlineStr"/>
    </row>
    <row r="175">
      <c r="A175" s="4" t="inlineStr">
        <is>
          <t>SOL → BSC</t>
        </is>
      </c>
      <c r="B175" s="4" t="n">
        <v>2</v>
      </c>
      <c r="C175" s="4" t="inlineStr">
        <is>
          <t>Husher</t>
        </is>
      </c>
      <c r="D175" s="4" t="inlineStr">
        <is>
          <t>venue</t>
        </is>
      </c>
      <c r="E175" s="18" t="n">
        <v>99.87003900000001</v>
      </c>
      <c r="F175" s="4" t="inlineStr">
        <is>
          <t>Rhino</t>
        </is>
      </c>
      <c r="G175" s="18" t="n">
        <v>99.65000000000001</v>
      </c>
      <c r="H175" s="15">
        <f>(E175-G175)/100*10000</f>
        <v/>
      </c>
      <c r="I175" s="4" t="inlineStr"/>
    </row>
    <row r="176">
      <c r="A176" s="4" t="inlineStr">
        <is>
          <t>SOL → BSC</t>
        </is>
      </c>
      <c r="B176" s="4" t="n">
        <v>3</v>
      </c>
      <c r="C176" s="4" t="inlineStr">
        <is>
          <t>Husher</t>
        </is>
      </c>
      <c r="D176" s="4" t="inlineStr">
        <is>
          <t>venue</t>
        </is>
      </c>
      <c r="E176" s="18" t="n">
        <v>99.82007900000001</v>
      </c>
      <c r="F176" s="4" t="inlineStr">
        <is>
          <t>Rhino</t>
        </is>
      </c>
      <c r="G176" s="18" t="n">
        <v>99.65000000000001</v>
      </c>
      <c r="H176" s="15">
        <f>(E176-G176)/100*10000</f>
        <v/>
      </c>
      <c r="I176" s="4" t="inlineStr"/>
    </row>
    <row r="177">
      <c r="A177" s="4" t="inlineStr">
        <is>
          <t>SOL → BSC</t>
        </is>
      </c>
      <c r="B177" s="4" t="n">
        <v>1</v>
      </c>
      <c r="C177" s="4" t="inlineStr">
        <is>
          <t>Layerswap</t>
        </is>
      </c>
      <c r="D177" s="4" t="inlineStr">
        <is>
          <t>venue</t>
        </is>
      </c>
      <c r="E177" s="18" t="n">
        <v>99.87003900000001</v>
      </c>
      <c r="F177" s="4" t="inlineStr">
        <is>
          <t>Rhino</t>
        </is>
      </c>
      <c r="G177" s="18" t="n">
        <v>99.863073</v>
      </c>
      <c r="H177" s="15">
        <f>(E177-G177)/100*10000</f>
        <v/>
      </c>
      <c r="I177" s="4" t="inlineStr"/>
    </row>
    <row r="178">
      <c r="A178" s="4" t="inlineStr">
        <is>
          <t>SOL → BSC</t>
        </is>
      </c>
      <c r="B178" s="4" t="n">
        <v>2</v>
      </c>
      <c r="C178" s="4" t="inlineStr">
        <is>
          <t>Layerswap</t>
        </is>
      </c>
      <c r="D178" s="4" t="inlineStr">
        <is>
          <t>venue</t>
        </is>
      </c>
      <c r="E178" s="18" t="n">
        <v>99.87003900000001</v>
      </c>
      <c r="F178" s="4" t="inlineStr">
        <is>
          <t>Rhino</t>
        </is>
      </c>
      <c r="G178" s="18" t="n">
        <v>99.863078</v>
      </c>
      <c r="H178" s="15">
        <f>(E178-G178)/100*10000</f>
        <v/>
      </c>
      <c r="I178" s="4" t="inlineStr"/>
    </row>
    <row r="179">
      <c r="A179" s="4" t="inlineStr">
        <is>
          <t>SOL → BSC</t>
        </is>
      </c>
      <c r="B179" s="4" t="n">
        <v>3</v>
      </c>
      <c r="C179" s="4" t="inlineStr">
        <is>
          <t>Layerswap</t>
        </is>
      </c>
      <c r="D179" s="4" t="inlineStr">
        <is>
          <t>venue</t>
        </is>
      </c>
      <c r="E179" s="18" t="n">
        <v>99.82007900000001</v>
      </c>
      <c r="F179" s="4" t="inlineStr">
        <is>
          <t>Rhino</t>
        </is>
      </c>
      <c r="G179" s="18" t="n">
        <v>99.86308200000001</v>
      </c>
      <c r="H179" s="15">
        <f>(E179-G179)/100*10000</f>
        <v/>
      </c>
      <c r="I179" s="4" t="inlineStr"/>
    </row>
    <row r="180">
      <c r="A180" s="4" t="inlineStr">
        <is>
          <t>SOL → BSC</t>
        </is>
      </c>
      <c r="B180" s="4" t="n">
        <v>1</v>
      </c>
      <c r="C180" s="4" t="inlineStr">
        <is>
          <t>Meson</t>
        </is>
      </c>
      <c r="D180" s="4" t="inlineStr">
        <is>
          <t>venue</t>
        </is>
      </c>
      <c r="E180" s="18" t="n">
        <v>99.87003900000001</v>
      </c>
      <c r="F180" s="4" t="inlineStr">
        <is>
          <t>Rhino</t>
        </is>
      </c>
      <c r="G180" s="18" t="n">
        <v>99.88</v>
      </c>
      <c r="H180" s="15">
        <f>(E180-G180)/100*10000</f>
        <v/>
      </c>
      <c r="I180" s="4" t="inlineStr"/>
    </row>
    <row r="181">
      <c r="A181" s="4" t="inlineStr">
        <is>
          <t>SOL → BSC</t>
        </is>
      </c>
      <c r="B181" s="4" t="n">
        <v>2</v>
      </c>
      <c r="C181" s="4" t="inlineStr">
        <is>
          <t>Meson</t>
        </is>
      </c>
      <c r="D181" s="4" t="inlineStr">
        <is>
          <t>venue</t>
        </is>
      </c>
      <c r="E181" s="18" t="n">
        <v>99.87003900000001</v>
      </c>
      <c r="F181" s="4" t="inlineStr">
        <is>
          <t>Rhino</t>
        </is>
      </c>
      <c r="G181" s="18" t="n">
        <v>99.88</v>
      </c>
      <c r="H181" s="15">
        <f>(E181-G181)/100*10000</f>
        <v/>
      </c>
      <c r="I181" s="4" t="inlineStr"/>
    </row>
    <row r="182">
      <c r="A182" s="4" t="inlineStr">
        <is>
          <t>SOL → BSC</t>
        </is>
      </c>
      <c r="B182" s="4" t="n">
        <v>3</v>
      </c>
      <c r="C182" s="4" t="inlineStr">
        <is>
          <t>Meson</t>
        </is>
      </c>
      <c r="D182" s="4" t="inlineStr">
        <is>
          <t>venue</t>
        </is>
      </c>
      <c r="E182" s="18" t="n">
        <v>99.82007900000001</v>
      </c>
      <c r="F182" s="4" t="inlineStr">
        <is>
          <t>Rhino</t>
        </is>
      </c>
      <c r="G182" s="18" t="n">
        <v>99.88</v>
      </c>
      <c r="H182" s="15">
        <f>(E182-G182)/100*10000</f>
        <v/>
      </c>
      <c r="I182" s="4" t="inlineStr"/>
    </row>
    <row r="183">
      <c r="A183" s="4" t="inlineStr">
        <is>
          <t>SOL → BSC</t>
        </is>
      </c>
      <c r="B183" s="4" t="n">
        <v>1</v>
      </c>
      <c r="C183" s="4" t="inlineStr">
        <is>
          <t>SimpleSwap</t>
        </is>
      </c>
      <c r="D183" s="4" t="inlineStr">
        <is>
          <t>venue</t>
        </is>
      </c>
      <c r="E183" s="18" t="n">
        <v>99.87003900000001</v>
      </c>
      <c r="F183" s="4" t="inlineStr">
        <is>
          <t>Rhino</t>
        </is>
      </c>
      <c r="G183" s="18" t="n">
        <v>98.139</v>
      </c>
      <c r="H183" s="15">
        <f>(E183-G183)/100*10000</f>
        <v/>
      </c>
      <c r="I183" s="4" t="inlineStr"/>
    </row>
    <row r="184">
      <c r="A184" s="4" t="inlineStr">
        <is>
          <t>SOL → BSC</t>
        </is>
      </c>
      <c r="B184" s="4" t="n">
        <v>2</v>
      </c>
      <c r="C184" s="4" t="inlineStr">
        <is>
          <t>SimpleSwap</t>
        </is>
      </c>
      <c r="D184" s="4" t="inlineStr">
        <is>
          <t>venue</t>
        </is>
      </c>
      <c r="E184" s="18" t="n">
        <v>99.87003900000001</v>
      </c>
      <c r="F184" s="4" t="inlineStr">
        <is>
          <t>Rhino</t>
        </is>
      </c>
      <c r="G184" s="18" t="n">
        <v>98.13889500000001</v>
      </c>
      <c r="H184" s="15">
        <f>(E184-G184)/100*10000</f>
        <v/>
      </c>
      <c r="I184" s="4" t="inlineStr"/>
    </row>
    <row r="185">
      <c r="A185" s="4" t="inlineStr">
        <is>
          <t>SOL → BSC</t>
        </is>
      </c>
      <c r="B185" s="4" t="n">
        <v>3</v>
      </c>
      <c r="C185" s="4" t="inlineStr">
        <is>
          <t>SimpleSwap</t>
        </is>
      </c>
      <c r="D185" s="4" t="inlineStr">
        <is>
          <t>venue</t>
        </is>
      </c>
      <c r="E185" s="18" t="n">
        <v>99.82007900000001</v>
      </c>
      <c r="F185" s="4" t="inlineStr">
        <is>
          <t>Rhino</t>
        </is>
      </c>
      <c r="G185" s="18" t="n">
        <v>98.139</v>
      </c>
      <c r="H185" s="15">
        <f>(E185-G185)/100*10000</f>
        <v/>
      </c>
      <c r="I185" s="4" t="inlineStr"/>
    </row>
    <row r="186">
      <c r="A186" s="4" t="inlineStr">
        <is>
          <t>BSC → SOL</t>
        </is>
      </c>
      <c r="B186" s="4" t="n">
        <v>1</v>
      </c>
      <c r="C186" s="4" t="inlineStr">
        <is>
          <t>Relay</t>
        </is>
      </c>
      <c r="D186" s="4" t="inlineStr">
        <is>
          <t>venue</t>
        </is>
      </c>
      <c r="E186" s="18" t="n">
        <v>99.63180199999999</v>
      </c>
      <c r="F186" s="4" t="inlineStr">
        <is>
          <t>Mayan</t>
        </is>
      </c>
      <c r="G186" s="18" t="n">
        <v>99.885578</v>
      </c>
      <c r="H186" s="15">
        <f>(E186-G186)/100*10000</f>
        <v/>
      </c>
      <c r="I186" s="4" t="inlineStr"/>
    </row>
    <row r="187">
      <c r="A187" s="4" t="inlineStr">
        <is>
          <t>BSC → SOL</t>
        </is>
      </c>
      <c r="B187" s="4" t="n">
        <v>1</v>
      </c>
      <c r="C187" s="4" t="inlineStr">
        <is>
          <t>Relay</t>
        </is>
      </c>
      <c r="D187" s="4" t="inlineStr">
        <is>
          <t>venue</t>
        </is>
      </c>
      <c r="E187" s="18" t="n">
        <v>99.62990499999999</v>
      </c>
      <c r="F187" s="4" t="inlineStr">
        <is>
          <t>Relay</t>
        </is>
      </c>
      <c r="G187" s="18" t="n">
        <v>99.885572</v>
      </c>
      <c r="H187" s="15">
        <f>(E187-G187)/100*10000</f>
        <v/>
      </c>
      <c r="I187" s="4" t="inlineStr"/>
    </row>
    <row r="188">
      <c r="A188" s="4" t="inlineStr">
        <is>
          <t>BSC → SOL</t>
        </is>
      </c>
      <c r="B188" s="4" t="n">
        <v>2</v>
      </c>
      <c r="C188" s="4" t="inlineStr">
        <is>
          <t>Relay</t>
        </is>
      </c>
      <c r="D188" s="4" t="inlineStr">
        <is>
          <t>venue</t>
        </is>
      </c>
      <c r="E188" s="18" t="n">
        <v>99.630098</v>
      </c>
      <c r="F188" s="4" t="inlineStr">
        <is>
          <t>Relay</t>
        </is>
      </c>
      <c r="G188" s="18" t="n">
        <v>99.885577</v>
      </c>
      <c r="H188" s="15">
        <f>(E188-G188)/100*10000</f>
        <v/>
      </c>
      <c r="I188" s="4" t="inlineStr"/>
    </row>
    <row r="189">
      <c r="A189" s="4" t="inlineStr">
        <is>
          <t>BSC → SOL</t>
        </is>
      </c>
      <c r="B189" s="4" t="n">
        <v>2</v>
      </c>
      <c r="C189" s="4" t="inlineStr">
        <is>
          <t>Relay</t>
        </is>
      </c>
      <c r="D189" s="4" t="inlineStr">
        <is>
          <t>venue</t>
        </is>
      </c>
      <c r="E189" s="18" t="n">
        <v>99.629901</v>
      </c>
      <c r="F189" s="4" t="inlineStr">
        <is>
          <t>Relay</t>
        </is>
      </c>
      <c r="G189" s="18" t="n">
        <v>99.885572</v>
      </c>
      <c r="H189" s="15">
        <f>(E189-G189)/100*10000</f>
        <v/>
      </c>
      <c r="I189" s="4" t="inlineStr"/>
    </row>
    <row r="190">
      <c r="A190" s="4" t="inlineStr">
        <is>
          <t>BSC → SOL</t>
        </is>
      </c>
      <c r="B190" s="4" t="n">
        <v>3</v>
      </c>
      <c r="C190" s="4" t="inlineStr">
        <is>
          <t>Relay</t>
        </is>
      </c>
      <c r="D190" s="4" t="inlineStr">
        <is>
          <t>venue</t>
        </is>
      </c>
      <c r="E190" s="18" t="n">
        <v>99.63025399999999</v>
      </c>
      <c r="F190" s="4" t="inlineStr">
        <is>
          <t>Relay</t>
        </is>
      </c>
      <c r="G190" s="18" t="n">
        <v>99.88557400000001</v>
      </c>
      <c r="H190" s="15">
        <f>(E190-G190)/100*10000</f>
        <v/>
      </c>
      <c r="I190" s="4" t="inlineStr"/>
    </row>
    <row r="191">
      <c r="A191" s="4" t="inlineStr">
        <is>
          <t>BSC → SOL</t>
        </is>
      </c>
      <c r="B191" s="4" t="n">
        <v>3</v>
      </c>
      <c r="C191" s="4" t="inlineStr">
        <is>
          <t>Relay</t>
        </is>
      </c>
      <c r="D191" s="4" t="inlineStr">
        <is>
          <t>venue</t>
        </is>
      </c>
      <c r="E191" s="18" t="n">
        <v>99.631328</v>
      </c>
      <c r="F191" s="4" t="inlineStr">
        <is>
          <t>Mayan</t>
        </is>
      </c>
      <c r="G191" s="18" t="n">
        <v>99.885571</v>
      </c>
      <c r="H191" s="15">
        <f>(E191-G191)/100*10000</f>
        <v/>
      </c>
      <c r="I191" s="4" t="inlineStr"/>
    </row>
    <row r="192">
      <c r="A192" s="4" t="inlineStr">
        <is>
          <t>BSC → SOL</t>
        </is>
      </c>
      <c r="B192" s="4" t="n">
        <v>1</v>
      </c>
      <c r="C192" s="4" t="inlineStr">
        <is>
          <t>deBridge</t>
        </is>
      </c>
      <c r="D192" s="4" t="inlineStr">
        <is>
          <t>venue</t>
        </is>
      </c>
      <c r="E192" s="18" t="n">
        <v>99.63180199999999</v>
      </c>
      <c r="F192" s="4" t="inlineStr">
        <is>
          <t>Mayan</t>
        </is>
      </c>
      <c r="G192" s="18" t="n">
        <v>98.873617</v>
      </c>
      <c r="H192" s="15">
        <f>(E192-G192)/100*10000</f>
        <v/>
      </c>
      <c r="I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deBridge</t>
        </is>
      </c>
      <c r="D193" s="4" t="inlineStr">
        <is>
          <t>venue</t>
        </is>
      </c>
      <c r="E193" s="18" t="n">
        <v>99.62990499999999</v>
      </c>
      <c r="F193" s="4" t="inlineStr">
        <is>
          <t>Relay</t>
        </is>
      </c>
      <c r="G193" s="18" t="n">
        <v>98.871317</v>
      </c>
      <c r="H193" s="15">
        <f>(E193-G193)/100*10000</f>
        <v/>
      </c>
      <c r="I193" s="4" t="inlineStr"/>
    </row>
    <row r="194">
      <c r="A194" s="4" t="inlineStr">
        <is>
          <t>BSC → SOL</t>
        </is>
      </c>
      <c r="B194" s="4" t="n">
        <v>2</v>
      </c>
      <c r="C194" s="4" t="inlineStr">
        <is>
          <t>deBridge</t>
        </is>
      </c>
      <c r="D194" s="4" t="inlineStr">
        <is>
          <t>venue</t>
        </is>
      </c>
      <c r="E194" s="18" t="n">
        <v>99.630098</v>
      </c>
      <c r="F194" s="4" t="inlineStr">
        <is>
          <t>Relay</t>
        </is>
      </c>
      <c r="G194" s="18" t="n">
        <v>98.87731700000001</v>
      </c>
      <c r="H194" s="15">
        <f>(E194-G194)/100*10000</f>
        <v/>
      </c>
      <c r="I194" s="4" t="inlineStr"/>
    </row>
    <row r="195">
      <c r="A195" s="4" t="inlineStr">
        <is>
          <t>BSC → SOL</t>
        </is>
      </c>
      <c r="B195" s="4" t="n">
        <v>2</v>
      </c>
      <c r="C195" s="4" t="inlineStr">
        <is>
          <t>deBridge</t>
        </is>
      </c>
      <c r="D195" s="4" t="inlineStr">
        <is>
          <t>venue</t>
        </is>
      </c>
      <c r="E195" s="18" t="n">
        <v>99.629901</v>
      </c>
      <c r="F195" s="4" t="inlineStr">
        <is>
          <t>Relay</t>
        </is>
      </c>
      <c r="G195" s="18" t="n">
        <v>98.808832</v>
      </c>
      <c r="H195" s="15">
        <f>(E195-G195)/100*10000</f>
        <v/>
      </c>
      <c r="I195" s="4" t="inlineStr"/>
    </row>
    <row r="196">
      <c r="A196" s="4" t="inlineStr">
        <is>
          <t>BSC → SOL</t>
        </is>
      </c>
      <c r="B196" s="4" t="n">
        <v>3</v>
      </c>
      <c r="C196" s="4" t="inlineStr">
        <is>
          <t>deBridge</t>
        </is>
      </c>
      <c r="D196" s="4" t="inlineStr">
        <is>
          <t>venue</t>
        </is>
      </c>
      <c r="E196" s="18" t="n">
        <v>99.63025399999999</v>
      </c>
      <c r="F196" s="4" t="inlineStr">
        <is>
          <t>Relay</t>
        </is>
      </c>
      <c r="G196" s="18" t="n">
        <v>98.805132</v>
      </c>
      <c r="H196" s="15">
        <f>(E196-G196)/100*10000</f>
        <v/>
      </c>
      <c r="I196" s="4" t="inlineStr"/>
    </row>
    <row r="197">
      <c r="A197" s="4" t="inlineStr">
        <is>
          <t>BSC → SOL</t>
        </is>
      </c>
      <c r="B197" s="4" t="n">
        <v>3</v>
      </c>
      <c r="C197" s="4" t="inlineStr">
        <is>
          <t>deBridge</t>
        </is>
      </c>
      <c r="D197" s="4" t="inlineStr">
        <is>
          <t>venue</t>
        </is>
      </c>
      <c r="E197" s="18" t="n">
        <v>99.631328</v>
      </c>
      <c r="F197" s="4" t="inlineStr">
        <is>
          <t>Mayan</t>
        </is>
      </c>
      <c r="G197" s="18" t="n">
        <v>98.876317</v>
      </c>
      <c r="H197" s="15">
        <f>(E197-G197)/100*10000</f>
        <v/>
      </c>
      <c r="I197" s="4" t="inlineStr"/>
    </row>
    <row r="198">
      <c r="A198" s="4" t="inlineStr">
        <is>
          <t>BSC → SOL</t>
        </is>
      </c>
      <c r="B198" s="4" t="n">
        <v>1</v>
      </c>
      <c r="C198" s="4" t="inlineStr">
        <is>
          <t>LI.FI (Jumper)</t>
        </is>
      </c>
      <c r="D198" s="4" t="inlineStr">
        <is>
          <t>venue</t>
        </is>
      </c>
      <c r="E198" s="18" t="n">
        <v>99.63180199999999</v>
      </c>
      <c r="F198" s="4" t="inlineStr">
        <is>
          <t>Mayan</t>
        </is>
      </c>
      <c r="G198" s="18" t="n">
        <v>99.885578</v>
      </c>
      <c r="H198" s="15">
        <f>(E198-G198)/100*10000</f>
        <v/>
      </c>
      <c r="I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LI.FI (Jumper)</t>
        </is>
      </c>
      <c r="D199" s="4" t="inlineStr">
        <is>
          <t>venue</t>
        </is>
      </c>
      <c r="E199" s="18" t="n">
        <v>99.62990499999999</v>
      </c>
      <c r="F199" s="4" t="inlineStr">
        <is>
          <t>Relay</t>
        </is>
      </c>
      <c r="G199" s="18" t="n">
        <v>99.885572</v>
      </c>
      <c r="H199" s="15">
        <f>(E199-G199)/100*10000</f>
        <v/>
      </c>
      <c r="I199" s="4" t="inlineStr"/>
    </row>
    <row r="200">
      <c r="A200" s="4" t="inlineStr">
        <is>
          <t>BSC → SOL</t>
        </is>
      </c>
      <c r="B200" s="4" t="n">
        <v>2</v>
      </c>
      <c r="C200" s="4" t="inlineStr">
        <is>
          <t>LI.FI (Jumper)</t>
        </is>
      </c>
      <c r="D200" s="4" t="inlineStr">
        <is>
          <t>venue</t>
        </is>
      </c>
      <c r="E200" s="18" t="n">
        <v>99.629901</v>
      </c>
      <c r="F200" s="4" t="inlineStr">
        <is>
          <t>Relay</t>
        </is>
      </c>
      <c r="G200" s="18" t="n">
        <v>99.885572</v>
      </c>
      <c r="H200" s="15">
        <f>(E200-G200)/100*10000</f>
        <v/>
      </c>
      <c r="I200" s="4" t="inlineStr"/>
    </row>
    <row r="201">
      <c r="A201" s="4" t="inlineStr">
        <is>
          <t>BSC → SOL</t>
        </is>
      </c>
      <c r="B201" s="4" t="n">
        <v>3</v>
      </c>
      <c r="C201" s="4" t="inlineStr">
        <is>
          <t>LI.FI (Jumper)</t>
        </is>
      </c>
      <c r="D201" s="4" t="inlineStr">
        <is>
          <t>venue</t>
        </is>
      </c>
      <c r="E201" s="18" t="n">
        <v>99.63025399999999</v>
      </c>
      <c r="F201" s="4" t="inlineStr">
        <is>
          <t>Relay</t>
        </is>
      </c>
      <c r="G201" s="18" t="n">
        <v>99.88557400000001</v>
      </c>
      <c r="H201" s="15">
        <f>(E201-G201)/100*10000</f>
        <v/>
      </c>
      <c r="I201" s="4" t="inlineStr"/>
    </row>
    <row r="202">
      <c r="A202" s="4" t="inlineStr">
        <is>
          <t>BSC → SOL</t>
        </is>
      </c>
      <c r="B202" s="4" t="n">
        <v>3</v>
      </c>
      <c r="C202" s="4" t="inlineStr">
        <is>
          <t>LI.FI (Jumper)</t>
        </is>
      </c>
      <c r="D202" s="4" t="inlineStr">
        <is>
          <t>venue</t>
        </is>
      </c>
      <c r="E202" s="18" t="n">
        <v>99.631328</v>
      </c>
      <c r="F202" s="4" t="inlineStr">
        <is>
          <t>Mayan</t>
        </is>
      </c>
      <c r="G202" s="18" t="n">
        <v>99.885571</v>
      </c>
      <c r="H202" s="15">
        <f>(E202-G202)/100*10000</f>
        <v/>
      </c>
      <c r="I202" s="4" t="inlineStr"/>
    </row>
    <row r="203">
      <c r="A203" s="4" t="inlineStr">
        <is>
          <t>BSC → SOL</t>
        </is>
      </c>
      <c r="B203" s="4" t="n">
        <v>1</v>
      </c>
      <c r="C203" s="4" t="inlineStr">
        <is>
          <t>Across</t>
        </is>
      </c>
      <c r="D203" s="4" t="inlineStr">
        <is>
          <t>venue</t>
        </is>
      </c>
      <c r="E203" s="18" t="n">
        <v>99.62990499999999</v>
      </c>
      <c r="F203" s="4" t="inlineStr">
        <is>
          <t>Relay</t>
        </is>
      </c>
      <c r="G203" s="18" t="n">
        <v>99.982074</v>
      </c>
      <c r="H203" s="15">
        <f>(E203-G203)/100*10000</f>
        <v/>
      </c>
      <c r="I203" s="4" t="inlineStr"/>
    </row>
    <row r="204">
      <c r="A204" s="4" t="inlineStr">
        <is>
          <t>BSC → SOL</t>
        </is>
      </c>
      <c r="B204" s="4" t="n">
        <v>2</v>
      </c>
      <c r="C204" s="4" t="inlineStr">
        <is>
          <t>Across</t>
        </is>
      </c>
      <c r="D204" s="4" t="inlineStr">
        <is>
          <t>venue</t>
        </is>
      </c>
      <c r="E204" s="18" t="n">
        <v>99.629901</v>
      </c>
      <c r="F204" s="4" t="inlineStr">
        <is>
          <t>Relay</t>
        </is>
      </c>
      <c r="G204" s="18" t="n">
        <v>99.982045</v>
      </c>
      <c r="H204" s="15">
        <f>(E204-G204)/100*10000</f>
        <v/>
      </c>
      <c r="I204" s="4" t="inlineStr"/>
    </row>
    <row r="205">
      <c r="A205" s="4" t="inlineStr">
        <is>
          <t>BSC → SOL</t>
        </is>
      </c>
      <c r="B205" s="4" t="n">
        <v>3</v>
      </c>
      <c r="C205" s="4" t="inlineStr">
        <is>
          <t>Across</t>
        </is>
      </c>
      <c r="D205" s="4" t="inlineStr">
        <is>
          <t>venue</t>
        </is>
      </c>
      <c r="E205" s="18" t="n">
        <v>99.63025399999999</v>
      </c>
      <c r="F205" s="4" t="inlineStr">
        <is>
          <t>Relay</t>
        </is>
      </c>
      <c r="G205" s="18" t="n">
        <v>99.981998</v>
      </c>
      <c r="H205" s="15">
        <f>(E205-G205)/100*10000</f>
        <v/>
      </c>
      <c r="I205" s="4" t="inlineStr"/>
    </row>
    <row r="206">
      <c r="A206" s="4" t="inlineStr">
        <is>
          <t>BSC → SOL</t>
        </is>
      </c>
      <c r="B206" s="4" t="n">
        <v>3</v>
      </c>
      <c r="C206" s="4" t="inlineStr">
        <is>
          <t>Across</t>
        </is>
      </c>
      <c r="D206" s="4" t="inlineStr">
        <is>
          <t>venue</t>
        </is>
      </c>
      <c r="E206" s="18" t="n">
        <v>99.630168</v>
      </c>
      <c r="F206" s="4" t="inlineStr">
        <is>
          <t>Relay</t>
        </is>
      </c>
      <c r="G206" s="18" t="n">
        <v>99.982169</v>
      </c>
      <c r="H206" s="15">
        <f>(E206-G206)/100*10000</f>
        <v/>
      </c>
      <c r="I206" s="4" t="inlineStr"/>
    </row>
    <row r="207">
      <c r="A207" s="4" t="inlineStr">
        <is>
          <t>BSC → SOL</t>
        </is>
      </c>
      <c r="B207" s="4" t="n">
        <v>3</v>
      </c>
      <c r="C207" s="4" t="inlineStr">
        <is>
          <t>Across</t>
        </is>
      </c>
      <c r="D207" s="4" t="inlineStr">
        <is>
          <t>venue</t>
        </is>
      </c>
      <c r="E207" s="18" t="n">
        <v>99.631328</v>
      </c>
      <c r="F207" s="4" t="inlineStr">
        <is>
          <t>Mayan</t>
        </is>
      </c>
      <c r="G207" s="18" t="n">
        <v>99.982061</v>
      </c>
      <c r="H207" s="15">
        <f>(E207-G207)/100*10000</f>
        <v/>
      </c>
      <c r="I207" s="4" t="inlineStr"/>
    </row>
    <row r="208">
      <c r="A208" s="4" t="inlineStr">
        <is>
          <t>BSC → SOL</t>
        </is>
      </c>
      <c r="B208" s="4" t="n">
        <v>1</v>
      </c>
      <c r="C208" s="4" t="inlineStr">
        <is>
          <t>Mayan</t>
        </is>
      </c>
      <c r="D208" s="4" t="inlineStr">
        <is>
          <t>venue</t>
        </is>
      </c>
      <c r="E208" s="18" t="n">
        <v>99.63180199999999</v>
      </c>
      <c r="F208" s="4" t="inlineStr">
        <is>
          <t>Mayan</t>
        </is>
      </c>
      <c r="G208" s="18" t="n">
        <v>99.681</v>
      </c>
      <c r="H208" s="15">
        <f>(E208-G208)/100*10000</f>
        <v/>
      </c>
      <c r="I208" s="4" t="inlineStr"/>
    </row>
    <row r="209">
      <c r="A209" s="4" t="inlineStr">
        <is>
          <t>BSC → SOL</t>
        </is>
      </c>
      <c r="B209" s="4" t="n">
        <v>1</v>
      </c>
      <c r="C209" s="4" t="inlineStr">
        <is>
          <t>Mayan</t>
        </is>
      </c>
      <c r="D209" s="4" t="inlineStr">
        <is>
          <t>venue</t>
        </is>
      </c>
      <c r="E209" s="18" t="n">
        <v>99.62990499999999</v>
      </c>
      <c r="F209" s="4" t="inlineStr">
        <is>
          <t>Relay</t>
        </is>
      </c>
      <c r="G209" s="18" t="n">
        <v>99.681</v>
      </c>
      <c r="H209" s="15">
        <f>(E209-G209)/100*10000</f>
        <v/>
      </c>
      <c r="I209" s="4" t="inlineStr"/>
    </row>
    <row r="210">
      <c r="A210" s="4" t="inlineStr">
        <is>
          <t>BSC → SOL</t>
        </is>
      </c>
      <c r="B210" s="4" t="n">
        <v>2</v>
      </c>
      <c r="C210" s="4" t="inlineStr">
        <is>
          <t>Mayan</t>
        </is>
      </c>
      <c r="D210" s="4" t="inlineStr">
        <is>
          <t>venue</t>
        </is>
      </c>
      <c r="E210" s="18" t="n">
        <v>99.630098</v>
      </c>
      <c r="F210" s="4" t="inlineStr">
        <is>
          <t>Relay</t>
        </is>
      </c>
      <c r="G210" s="18" t="n">
        <v>99.681</v>
      </c>
      <c r="H210" s="15">
        <f>(E210-G210)/100*10000</f>
        <v/>
      </c>
      <c r="I210" s="4" t="inlineStr"/>
    </row>
    <row r="211">
      <c r="A211" s="4" t="inlineStr">
        <is>
          <t>BSC → SOL</t>
        </is>
      </c>
      <c r="B211" s="4" t="n">
        <v>2</v>
      </c>
      <c r="C211" s="4" t="inlineStr">
        <is>
          <t>Mayan</t>
        </is>
      </c>
      <c r="D211" s="4" t="inlineStr">
        <is>
          <t>venue</t>
        </is>
      </c>
      <c r="E211" s="18" t="n">
        <v>99.629901</v>
      </c>
      <c r="F211" s="4" t="inlineStr">
        <is>
          <t>Relay</t>
        </is>
      </c>
      <c r="G211" s="18" t="n">
        <v>99.681</v>
      </c>
      <c r="H211" s="15">
        <f>(E211-G211)/100*10000</f>
        <v/>
      </c>
      <c r="I211" s="4" t="inlineStr"/>
    </row>
    <row r="212">
      <c r="A212" s="4" t="inlineStr">
        <is>
          <t>BSC → SOL</t>
        </is>
      </c>
      <c r="B212" s="4" t="n">
        <v>3</v>
      </c>
      <c r="C212" s="4" t="inlineStr">
        <is>
          <t>Mayan</t>
        </is>
      </c>
      <c r="D212" s="4" t="inlineStr">
        <is>
          <t>venue</t>
        </is>
      </c>
      <c r="E212" s="18" t="n">
        <v>99.63025399999999</v>
      </c>
      <c r="F212" s="4" t="inlineStr">
        <is>
          <t>Relay</t>
        </is>
      </c>
      <c r="G212" s="18" t="n">
        <v>99.681</v>
      </c>
      <c r="H212" s="15">
        <f>(E212-G212)/100*10000</f>
        <v/>
      </c>
      <c r="I212" s="4" t="inlineStr"/>
    </row>
    <row r="213">
      <c r="A213" s="4" t="inlineStr">
        <is>
          <t>BSC → SOL</t>
        </is>
      </c>
      <c r="B213" s="4" t="n">
        <v>3</v>
      </c>
      <c r="C213" s="4" t="inlineStr">
        <is>
          <t>Mayan</t>
        </is>
      </c>
      <c r="D213" s="4" t="inlineStr">
        <is>
          <t>venue</t>
        </is>
      </c>
      <c r="E213" s="18" t="n">
        <v>99.631328</v>
      </c>
      <c r="F213" s="4" t="inlineStr">
        <is>
          <t>Mayan</t>
        </is>
      </c>
      <c r="G213" s="18" t="n">
        <v>99.681</v>
      </c>
      <c r="H213" s="15">
        <f>(E213-G213)/100*10000</f>
        <v/>
      </c>
      <c r="I213" s="4" t="inlineStr"/>
    </row>
    <row r="214">
      <c r="A214" s="4" t="inlineStr">
        <is>
          <t>BSC → SOL</t>
        </is>
      </c>
      <c r="B214" s="4" t="n">
        <v>1</v>
      </c>
      <c r="C214" s="4" t="inlineStr">
        <is>
          <t>Husher</t>
        </is>
      </c>
      <c r="D214" s="4" t="inlineStr">
        <is>
          <t>venue</t>
        </is>
      </c>
      <c r="E214" s="18" t="n">
        <v>99.62990499999999</v>
      </c>
      <c r="F214" s="4" t="inlineStr">
        <is>
          <t>Relay</t>
        </is>
      </c>
      <c r="G214" s="18" t="n">
        <v>99.34999999999999</v>
      </c>
      <c r="H214" s="15">
        <f>(E214-G214)/100*10000</f>
        <v/>
      </c>
      <c r="I214" s="4" t="inlineStr"/>
    </row>
    <row r="215">
      <c r="A215" s="4" t="inlineStr">
        <is>
          <t>BSC → SOL</t>
        </is>
      </c>
      <c r="B215" s="4" t="n">
        <v>2</v>
      </c>
      <c r="C215" s="4" t="inlineStr">
        <is>
          <t>Husher</t>
        </is>
      </c>
      <c r="D215" s="4" t="inlineStr">
        <is>
          <t>venue</t>
        </is>
      </c>
      <c r="E215" s="18" t="n">
        <v>99.629901</v>
      </c>
      <c r="F215" s="4" t="inlineStr">
        <is>
          <t>Relay</t>
        </is>
      </c>
      <c r="G215" s="18" t="n">
        <v>99.34999999999999</v>
      </c>
      <c r="H215" s="15">
        <f>(E215-G215)/100*10000</f>
        <v/>
      </c>
      <c r="I215" s="4" t="inlineStr"/>
    </row>
    <row r="216">
      <c r="A216" s="4" t="inlineStr">
        <is>
          <t>BSC → SOL</t>
        </is>
      </c>
      <c r="B216" s="4" t="n">
        <v>3</v>
      </c>
      <c r="C216" s="4" t="inlineStr">
        <is>
          <t>Husher</t>
        </is>
      </c>
      <c r="D216" s="4" t="inlineStr">
        <is>
          <t>venue</t>
        </is>
      </c>
      <c r="E216" s="18" t="n">
        <v>99.631328</v>
      </c>
      <c r="F216" s="4" t="inlineStr">
        <is>
          <t>Mayan</t>
        </is>
      </c>
      <c r="G216" s="18" t="n">
        <v>99.34999999999999</v>
      </c>
      <c r="H216" s="15">
        <f>(E216-G216)/100*10000</f>
        <v/>
      </c>
      <c r="I216" s="4" t="inlineStr"/>
    </row>
    <row r="217">
      <c r="A217" s="4" t="inlineStr">
        <is>
          <t>BSC → SOL</t>
        </is>
      </c>
      <c r="B217" s="4" t="n">
        <v>1</v>
      </c>
      <c r="C217" s="4" t="inlineStr">
        <is>
          <t>Layerswap</t>
        </is>
      </c>
      <c r="D217" s="4" t="inlineStr">
        <is>
          <t>venue</t>
        </is>
      </c>
      <c r="E217" s="18" t="n">
        <v>99.62990499999999</v>
      </c>
      <c r="F217" s="4" t="inlineStr">
        <is>
          <t>Relay</t>
        </is>
      </c>
      <c r="G217" s="18" t="n">
        <v>99.625559</v>
      </c>
      <c r="H217" s="15">
        <f>(E217-G217)/100*10000</f>
        <v/>
      </c>
      <c r="I217" s="4" t="inlineStr"/>
    </row>
    <row r="218">
      <c r="A218" s="4" t="inlineStr">
        <is>
          <t>BSC → SOL</t>
        </is>
      </c>
      <c r="B218" s="4" t="n">
        <v>2</v>
      </c>
      <c r="C218" s="4" t="inlineStr">
        <is>
          <t>Layerswap</t>
        </is>
      </c>
      <c r="D218" s="4" t="inlineStr">
        <is>
          <t>venue</t>
        </is>
      </c>
      <c r="E218" s="18" t="n">
        <v>99.629901</v>
      </c>
      <c r="F218" s="4" t="inlineStr">
        <is>
          <t>Relay</t>
        </is>
      </c>
      <c r="G218" s="18" t="n">
        <v>99.625749</v>
      </c>
      <c r="H218" s="15">
        <f>(E218-G218)/100*10000</f>
        <v/>
      </c>
      <c r="I218" s="4" t="inlineStr"/>
    </row>
    <row r="219">
      <c r="A219" s="4" t="inlineStr">
        <is>
          <t>BSC → SOL</t>
        </is>
      </c>
      <c r="B219" s="4" t="n">
        <v>3</v>
      </c>
      <c r="C219" s="4" t="inlineStr">
        <is>
          <t>Layerswap</t>
        </is>
      </c>
      <c r="D219" s="4" t="inlineStr">
        <is>
          <t>venue</t>
        </is>
      </c>
      <c r="E219" s="18" t="n">
        <v>99.631328</v>
      </c>
      <c r="F219" s="4" t="inlineStr">
        <is>
          <t>Mayan</t>
        </is>
      </c>
      <c r="G219" s="18" t="n">
        <v>99.62561100000001</v>
      </c>
      <c r="H219" s="15">
        <f>(E219-G219)/100*10000</f>
        <v/>
      </c>
      <c r="I219" s="4" t="inlineStr"/>
    </row>
    <row r="220">
      <c r="A220" s="4" t="inlineStr">
        <is>
          <t>BSC → SOL</t>
        </is>
      </c>
      <c r="B220" s="4" t="n">
        <v>1</v>
      </c>
      <c r="C220" s="4" t="inlineStr">
        <is>
          <t>Meson</t>
        </is>
      </c>
      <c r="D220" s="4" t="inlineStr">
        <is>
          <t>venue</t>
        </is>
      </c>
      <c r="E220" s="18" t="n">
        <v>99.62990499999999</v>
      </c>
      <c r="F220" s="4" t="inlineStr">
        <is>
          <t>Relay</t>
        </is>
      </c>
      <c r="G220" s="18" t="n">
        <v>99.59999999999999</v>
      </c>
      <c r="H220" s="15">
        <f>(E220-G220)/100*10000</f>
        <v/>
      </c>
      <c r="I220" s="4" t="inlineStr"/>
    </row>
    <row r="221">
      <c r="A221" s="4" t="inlineStr">
        <is>
          <t>BSC → SOL</t>
        </is>
      </c>
      <c r="B221" s="4" t="n">
        <v>2</v>
      </c>
      <c r="C221" s="4" t="inlineStr">
        <is>
          <t>Meson</t>
        </is>
      </c>
      <c r="D221" s="4" t="inlineStr">
        <is>
          <t>venue</t>
        </is>
      </c>
      <c r="E221" s="18" t="n">
        <v>99.629901</v>
      </c>
      <c r="F221" s="4" t="inlineStr">
        <is>
          <t>Relay</t>
        </is>
      </c>
      <c r="G221" s="18" t="n">
        <v>99.59999999999999</v>
      </c>
      <c r="H221" s="15">
        <f>(E221-G221)/100*10000</f>
        <v/>
      </c>
      <c r="I221" s="4" t="inlineStr"/>
    </row>
    <row r="222">
      <c r="A222" s="4" t="inlineStr">
        <is>
          <t>BSC → SOL</t>
        </is>
      </c>
      <c r="B222" s="4" t="n">
        <v>3</v>
      </c>
      <c r="C222" s="4" t="inlineStr">
        <is>
          <t>Meson</t>
        </is>
      </c>
      <c r="D222" s="4" t="inlineStr">
        <is>
          <t>venue</t>
        </is>
      </c>
      <c r="E222" s="18" t="n">
        <v>99.631328</v>
      </c>
      <c r="F222" s="4" t="inlineStr">
        <is>
          <t>Mayan</t>
        </is>
      </c>
      <c r="G222" s="18" t="n">
        <v>99.59999999999999</v>
      </c>
      <c r="H222" s="15">
        <f>(E222-G222)/100*10000</f>
        <v/>
      </c>
      <c r="I222" s="4" t="inlineStr"/>
    </row>
    <row r="223">
      <c r="A223" s="4" t="inlineStr">
        <is>
          <t>BSC → SOL</t>
        </is>
      </c>
      <c r="B223" s="4" t="n">
        <v>1</v>
      </c>
      <c r="C223" s="4" t="inlineStr">
        <is>
          <t>SimpleSwap</t>
        </is>
      </c>
      <c r="D223" s="4" t="inlineStr">
        <is>
          <t>venue</t>
        </is>
      </c>
      <c r="E223" s="18" t="n">
        <v>99.62990499999999</v>
      </c>
      <c r="F223" s="4" t="inlineStr">
        <is>
          <t>Relay</t>
        </is>
      </c>
      <c r="G223" s="18" t="n">
        <v>98.180301</v>
      </c>
      <c r="H223" s="15">
        <f>(E223-G223)/100*10000</f>
        <v/>
      </c>
      <c r="I223" s="4" t="inlineStr"/>
    </row>
    <row r="224">
      <c r="A224" s="4" t="inlineStr">
        <is>
          <t>BSC → SOL</t>
        </is>
      </c>
      <c r="B224" s="4" t="n">
        <v>2</v>
      </c>
      <c r="C224" s="4" t="inlineStr">
        <is>
          <t>SimpleSwap</t>
        </is>
      </c>
      <c r="D224" s="4" t="inlineStr">
        <is>
          <t>venue</t>
        </is>
      </c>
      <c r="E224" s="18" t="n">
        <v>99.629901</v>
      </c>
      <c r="F224" s="4" t="inlineStr">
        <is>
          <t>Relay</t>
        </is>
      </c>
      <c r="G224" s="18" t="n">
        <v>98.180301</v>
      </c>
      <c r="H224" s="15">
        <f>(E224-G224)/100*10000</f>
        <v/>
      </c>
      <c r="I224" s="4" t="inlineStr"/>
    </row>
    <row r="225">
      <c r="A225" s="4" t="inlineStr">
        <is>
          <t>BSC → SOL</t>
        </is>
      </c>
      <c r="B225" s="4" t="n">
        <v>3</v>
      </c>
      <c r="C225" s="4" t="inlineStr">
        <is>
          <t>SimpleSwap</t>
        </is>
      </c>
      <c r="D225" s="4" t="inlineStr">
        <is>
          <t>venue</t>
        </is>
      </c>
      <c r="E225" s="18" t="n">
        <v>99.631328</v>
      </c>
      <c r="F225" s="4" t="inlineStr">
        <is>
          <t>Mayan</t>
        </is>
      </c>
      <c r="G225" s="18" t="n">
        <v>98.180301</v>
      </c>
      <c r="H225" s="15">
        <f>(E225-G225)/100*10000</f>
        <v/>
      </c>
      <c r="I225" s="4" t="inlineStr"/>
    </row>
    <row r="226">
      <c r="A226" s="4" t="inlineStr">
        <is>
          <t>BSC → SOL</t>
        </is>
      </c>
      <c r="B226" s="4" t="n">
        <v>1</v>
      </c>
      <c r="C226" s="4" t="inlineStr">
        <is>
          <t>Symbiosis</t>
        </is>
      </c>
      <c r="D226" s="4" t="inlineStr">
        <is>
          <t>venue</t>
        </is>
      </c>
      <c r="E226" s="18" t="n">
        <v>99.62990499999999</v>
      </c>
      <c r="F226" s="4" t="inlineStr">
        <is>
          <t>Relay</t>
        </is>
      </c>
      <c r="G226" s="18" t="n">
        <v>98.417542</v>
      </c>
      <c r="H226" s="15">
        <f>(E226-G226)/100*10000</f>
        <v/>
      </c>
      <c r="I226" s="4" t="inlineStr"/>
    </row>
    <row r="227">
      <c r="A227" s="4" t="inlineStr">
        <is>
          <t>BSC → SOL</t>
        </is>
      </c>
      <c r="B227" s="4" t="n">
        <v>2</v>
      </c>
      <c r="C227" s="4" t="inlineStr">
        <is>
          <t>Symbiosis</t>
        </is>
      </c>
      <c r="D227" s="4" t="inlineStr">
        <is>
          <t>venue</t>
        </is>
      </c>
      <c r="E227" s="18" t="n">
        <v>99.629901</v>
      </c>
      <c r="F227" s="4" t="inlineStr">
        <is>
          <t>Relay</t>
        </is>
      </c>
      <c r="G227" s="18" t="n">
        <v>98.42948699999999</v>
      </c>
      <c r="H227" s="15">
        <f>(E227-G227)/100*10000</f>
        <v/>
      </c>
      <c r="I227" s="4" t="inlineStr"/>
    </row>
    <row r="228">
      <c r="A228" s="4" t="inlineStr">
        <is>
          <t>BSC → SOL</t>
        </is>
      </c>
      <c r="B228" s="4" t="n">
        <v>3</v>
      </c>
      <c r="C228" s="4" t="inlineStr">
        <is>
          <t>Symbiosis</t>
        </is>
      </c>
      <c r="D228" s="4" t="inlineStr">
        <is>
          <t>venue</t>
        </is>
      </c>
      <c r="E228" s="18" t="n">
        <v>99.631328</v>
      </c>
      <c r="F228" s="4" t="inlineStr">
        <is>
          <t>Mayan</t>
        </is>
      </c>
      <c r="G228" s="18" t="n">
        <v>98.41977300000001</v>
      </c>
      <c r="H228" s="15">
        <f>(E228-G228)/100*10000</f>
        <v/>
      </c>
      <c r="I228" s="4" t="inlineStr"/>
    </row>
    <row r="229">
      <c r="A229" s="4" t="inlineStr">
        <is>
          <t>SOL → Base</t>
        </is>
      </c>
      <c r="B229" s="4" t="n">
        <v>1</v>
      </c>
      <c r="C229" s="4" t="inlineStr">
        <is>
          <t>Relay</t>
        </is>
      </c>
      <c r="D229" s="4" t="inlineStr">
        <is>
          <t>venue</t>
        </is>
      </c>
      <c r="E229" s="18" t="n">
        <v>99.94717</v>
      </c>
      <c r="F229" s="4" t="inlineStr">
        <is>
          <t>Skip Go</t>
        </is>
      </c>
      <c r="G229" s="18" t="n">
        <v>99.95219899999999</v>
      </c>
      <c r="H229" s="15">
        <f>(E229-G229)/100*10000</f>
        <v/>
      </c>
      <c r="I229" s="4" t="inlineStr"/>
    </row>
    <row r="230">
      <c r="A230" s="4" t="inlineStr">
        <is>
          <t>SOL → Base</t>
        </is>
      </c>
      <c r="B230" s="4" t="n">
        <v>1</v>
      </c>
      <c r="C230" s="4" t="inlineStr">
        <is>
          <t>Relay</t>
        </is>
      </c>
      <c r="D230" s="4" t="inlineStr">
        <is>
          <t>venue</t>
        </is>
      </c>
      <c r="E230" s="18" t="n">
        <v>99.947174</v>
      </c>
      <c r="F230" s="4" t="inlineStr">
        <is>
          <t>Skip Go</t>
        </is>
      </c>
      <c r="G230" s="18" t="n">
        <v>99.952371</v>
      </c>
      <c r="H230" s="15">
        <f>(E230-G230)/100*10000</f>
        <v/>
      </c>
      <c r="I230" s="4" t="inlineStr"/>
    </row>
    <row r="231">
      <c r="A231" s="4" t="inlineStr">
        <is>
          <t>SOL → Base</t>
        </is>
      </c>
      <c r="B231" s="4" t="n">
        <v>2</v>
      </c>
      <c r="C231" s="4" t="inlineStr">
        <is>
          <t>Relay</t>
        </is>
      </c>
      <c r="D231" s="4" t="inlineStr">
        <is>
          <t>venue</t>
        </is>
      </c>
      <c r="E231" s="18" t="n">
        <v>99.94717</v>
      </c>
      <c r="F231" s="4" t="inlineStr">
        <is>
          <t>Skip Go</t>
        </is>
      </c>
      <c r="G231" s="18" t="n">
        <v>99.952681</v>
      </c>
      <c r="H231" s="15">
        <f>(E231-G231)/100*10000</f>
        <v/>
      </c>
      <c r="I231" s="4" t="inlineStr"/>
    </row>
    <row r="232">
      <c r="A232" s="4" t="inlineStr">
        <is>
          <t>SOL → Base</t>
        </is>
      </c>
      <c r="B232" s="4" t="n">
        <v>2</v>
      </c>
      <c r="C232" s="4" t="inlineStr">
        <is>
          <t>Relay</t>
        </is>
      </c>
      <c r="D232" s="4" t="inlineStr">
        <is>
          <t>venue</t>
        </is>
      </c>
      <c r="E232" s="18" t="n">
        <v>99.947174</v>
      </c>
      <c r="F232" s="4" t="inlineStr">
        <is>
          <t>Skip Go</t>
        </is>
      </c>
      <c r="G232" s="18" t="n">
        <v>99.953163</v>
      </c>
      <c r="H232" s="15">
        <f>(E232-G232)/100*10000</f>
        <v/>
      </c>
      <c r="I232" s="4" t="inlineStr"/>
    </row>
    <row r="233">
      <c r="A233" s="4" t="inlineStr">
        <is>
          <t>SOL → Base</t>
        </is>
      </c>
      <c r="B233" s="4" t="n">
        <v>3</v>
      </c>
      <c r="C233" s="4" t="inlineStr">
        <is>
          <t>Relay</t>
        </is>
      </c>
      <c r="D233" s="4" t="inlineStr">
        <is>
          <t>venue</t>
        </is>
      </c>
      <c r="E233" s="18" t="n">
        <v>99.947171</v>
      </c>
      <c r="F233" s="4" t="inlineStr">
        <is>
          <t>Skip Go</t>
        </is>
      </c>
      <c r="G233" s="18" t="n">
        <v>99.95285800000001</v>
      </c>
      <c r="H233" s="15">
        <f>(E233-G233)/100*10000</f>
        <v/>
      </c>
      <c r="I233" s="4" t="inlineStr"/>
    </row>
    <row r="234">
      <c r="A234" s="4" t="inlineStr">
        <is>
          <t>SOL → Base</t>
        </is>
      </c>
      <c r="B234" s="4" t="n">
        <v>3</v>
      </c>
      <c r="C234" s="4" t="inlineStr">
        <is>
          <t>Relay</t>
        </is>
      </c>
      <c r="D234" s="4" t="inlineStr">
        <is>
          <t>venue</t>
        </is>
      </c>
      <c r="E234" s="18" t="n">
        <v>99.947174</v>
      </c>
      <c r="F234" s="4" t="inlineStr">
        <is>
          <t>Skip Go</t>
        </is>
      </c>
      <c r="G234" s="18" t="n">
        <v>99.951452</v>
      </c>
      <c r="H234" s="15">
        <f>(E234-G234)/100*10000</f>
        <v/>
      </c>
      <c r="I234" s="4" t="inlineStr"/>
    </row>
    <row r="235">
      <c r="A235" s="4" t="inlineStr">
        <is>
          <t>SOL → Base</t>
        </is>
      </c>
      <c r="B235" s="4" t="n">
        <v>1</v>
      </c>
      <c r="C235" s="4" t="inlineStr">
        <is>
          <t>deBridge</t>
        </is>
      </c>
      <c r="D235" s="4" t="inlineStr">
        <is>
          <t>venue</t>
        </is>
      </c>
      <c r="E235" s="18" t="n">
        <v>99.94717</v>
      </c>
      <c r="F235" s="4" t="inlineStr">
        <is>
          <t>Skip Go</t>
        </is>
      </c>
      <c r="G235" s="18" t="n">
        <v>98.84701800000001</v>
      </c>
      <c r="H235" s="15">
        <f>(E235-G235)/100*10000</f>
        <v/>
      </c>
      <c r="I235" s="4" t="inlineStr"/>
    </row>
    <row r="236">
      <c r="A236" s="4" t="inlineStr">
        <is>
          <t>SOL → Base</t>
        </is>
      </c>
      <c r="B236" s="4" t="n">
        <v>1</v>
      </c>
      <c r="C236" s="4" t="inlineStr">
        <is>
          <t>deBridge</t>
        </is>
      </c>
      <c r="D236" s="4" t="inlineStr">
        <is>
          <t>venue</t>
        </is>
      </c>
      <c r="E236" s="18" t="n">
        <v>99.947174</v>
      </c>
      <c r="F236" s="4" t="inlineStr">
        <is>
          <t>Skip Go</t>
        </is>
      </c>
      <c r="G236" s="18" t="n">
        <v>98.849018</v>
      </c>
      <c r="H236" s="15">
        <f>(E236-G236)/100*10000</f>
        <v/>
      </c>
      <c r="I236" s="4" t="inlineStr"/>
    </row>
    <row r="237">
      <c r="A237" s="4" t="inlineStr">
        <is>
          <t>SOL → Base</t>
        </is>
      </c>
      <c r="B237" s="4" t="n">
        <v>2</v>
      </c>
      <c r="C237" s="4" t="inlineStr">
        <is>
          <t>deBridge</t>
        </is>
      </c>
      <c r="D237" s="4" t="inlineStr">
        <is>
          <t>venue</t>
        </is>
      </c>
      <c r="E237" s="18" t="n">
        <v>99.94717</v>
      </c>
      <c r="F237" s="4" t="inlineStr">
        <is>
          <t>Skip Go</t>
        </is>
      </c>
      <c r="G237" s="18" t="n">
        <v>98.85171800000001</v>
      </c>
      <c r="H237" s="15">
        <f>(E237-G237)/100*10000</f>
        <v/>
      </c>
      <c r="I237" s="4" t="inlineStr"/>
    </row>
    <row r="238">
      <c r="A238" s="4" t="inlineStr">
        <is>
          <t>SOL → Base</t>
        </is>
      </c>
      <c r="B238" s="4" t="n">
        <v>2</v>
      </c>
      <c r="C238" s="4" t="inlineStr">
        <is>
          <t>deBridge</t>
        </is>
      </c>
      <c r="D238" s="4" t="inlineStr">
        <is>
          <t>venue</t>
        </is>
      </c>
      <c r="E238" s="18" t="n">
        <v>99.947174</v>
      </c>
      <c r="F238" s="4" t="inlineStr">
        <is>
          <t>Skip Go</t>
        </is>
      </c>
      <c r="G238" s="18" t="n">
        <v>98.31013299999999</v>
      </c>
      <c r="H238" s="15">
        <f>(E238-G238)/100*10000</f>
        <v/>
      </c>
      <c r="I238" s="4" t="inlineStr"/>
    </row>
    <row r="239">
      <c r="A239" s="4" t="inlineStr">
        <is>
          <t>SOL → Base</t>
        </is>
      </c>
      <c r="B239" s="4" t="n">
        <v>3</v>
      </c>
      <c r="C239" s="4" t="inlineStr">
        <is>
          <t>deBridge</t>
        </is>
      </c>
      <c r="D239" s="4" t="inlineStr">
        <is>
          <t>venue</t>
        </is>
      </c>
      <c r="E239" s="18" t="n">
        <v>99.947171</v>
      </c>
      <c r="F239" s="4" t="inlineStr">
        <is>
          <t>Skip Go</t>
        </is>
      </c>
      <c r="G239" s="18" t="n">
        <v>98.853618</v>
      </c>
      <c r="H239" s="15">
        <f>(E239-G239)/100*10000</f>
        <v/>
      </c>
      <c r="I239" s="4" t="inlineStr"/>
    </row>
    <row r="240">
      <c r="A240" s="4" t="inlineStr">
        <is>
          <t>SOL → Base</t>
        </is>
      </c>
      <c r="B240" s="4" t="n">
        <v>3</v>
      </c>
      <c r="C240" s="4" t="inlineStr">
        <is>
          <t>deBridge</t>
        </is>
      </c>
      <c r="D240" s="4" t="inlineStr">
        <is>
          <t>venue</t>
        </is>
      </c>
      <c r="E240" s="18" t="n">
        <v>99.947174</v>
      </c>
      <c r="F240" s="4" t="inlineStr">
        <is>
          <t>Skip Go</t>
        </is>
      </c>
      <c r="G240" s="18" t="n">
        <v>98.309533</v>
      </c>
      <c r="H240" s="15">
        <f>(E240-G240)/100*10000</f>
        <v/>
      </c>
      <c r="I240" s="4" t="inlineStr"/>
    </row>
    <row r="241">
      <c r="A241" s="4" t="inlineStr">
        <is>
          <t>SOL → Base</t>
        </is>
      </c>
      <c r="B241" s="4" t="n">
        <v>1</v>
      </c>
      <c r="C241" s="4" t="inlineStr">
        <is>
          <t>LI.FI (Jumper)</t>
        </is>
      </c>
      <c r="D241" s="4" t="inlineStr">
        <is>
          <t>venue</t>
        </is>
      </c>
      <c r="E241" s="18" t="n">
        <v>99.94717</v>
      </c>
      <c r="F241" s="4" t="inlineStr">
        <is>
          <t>Skip Go</t>
        </is>
      </c>
      <c r="G241" s="18" t="n">
        <v>100</v>
      </c>
      <c r="H241" s="15">
        <f>(E241-G241)/100*10000</f>
        <v/>
      </c>
      <c r="I241" s="4" t="inlineStr"/>
    </row>
    <row r="242">
      <c r="A242" s="4" t="inlineStr">
        <is>
          <t>SOL → Base</t>
        </is>
      </c>
      <c r="B242" s="4" t="n">
        <v>1</v>
      </c>
      <c r="C242" s="4" t="inlineStr">
        <is>
          <t>LI.FI (Jumper)</t>
        </is>
      </c>
      <c r="D242" s="4" t="inlineStr">
        <is>
          <t>venue</t>
        </is>
      </c>
      <c r="E242" s="18" t="n">
        <v>99.947174</v>
      </c>
      <c r="F242" s="4" t="inlineStr">
        <is>
          <t>Skip Go</t>
        </is>
      </c>
      <c r="G242" s="18" t="n">
        <v>100</v>
      </c>
      <c r="H242" s="15">
        <f>(E242-G242)/100*10000</f>
        <v/>
      </c>
      <c r="I242" s="4" t="inlineStr"/>
    </row>
    <row r="243">
      <c r="A243" s="4" t="inlineStr">
        <is>
          <t>SOL → Base</t>
        </is>
      </c>
      <c r="B243" s="4" t="n">
        <v>2</v>
      </c>
      <c r="C243" s="4" t="inlineStr">
        <is>
          <t>LI.FI (Jumper)</t>
        </is>
      </c>
      <c r="D243" s="4" t="inlineStr">
        <is>
          <t>venue</t>
        </is>
      </c>
      <c r="E243" s="18" t="n">
        <v>99.94717</v>
      </c>
      <c r="F243" s="4" t="inlineStr">
        <is>
          <t>Skip Go</t>
        </is>
      </c>
      <c r="G243" s="18" t="n">
        <v>100</v>
      </c>
      <c r="H243" s="15">
        <f>(E243-G243)/100*10000</f>
        <v/>
      </c>
      <c r="I243" s="4" t="inlineStr"/>
    </row>
    <row r="244">
      <c r="A244" s="4" t="inlineStr">
        <is>
          <t>SOL → Base</t>
        </is>
      </c>
      <c r="B244" s="4" t="n">
        <v>2</v>
      </c>
      <c r="C244" s="4" t="inlineStr">
        <is>
          <t>LI.FI (Jumper)</t>
        </is>
      </c>
      <c r="D244" s="4" t="inlineStr">
        <is>
          <t>venue</t>
        </is>
      </c>
      <c r="E244" s="18" t="n">
        <v>99.947174</v>
      </c>
      <c r="F244" s="4" t="inlineStr">
        <is>
          <t>Skip Go</t>
        </is>
      </c>
      <c r="G244" s="18" t="n">
        <v>100</v>
      </c>
      <c r="H244" s="15">
        <f>(E244-G244)/100*10000</f>
        <v/>
      </c>
      <c r="I244" s="4" t="inlineStr"/>
    </row>
    <row r="245">
      <c r="A245" s="4" t="inlineStr">
        <is>
          <t>SOL → Base</t>
        </is>
      </c>
      <c r="B245" s="4" t="n">
        <v>3</v>
      </c>
      <c r="C245" s="4" t="inlineStr">
        <is>
          <t>LI.FI (Jumper)</t>
        </is>
      </c>
      <c r="D245" s="4" t="inlineStr">
        <is>
          <t>venue</t>
        </is>
      </c>
      <c r="E245" s="18" t="n">
        <v>99.947171</v>
      </c>
      <c r="F245" s="4" t="inlineStr">
        <is>
          <t>Skip Go</t>
        </is>
      </c>
      <c r="G245" s="18" t="n">
        <v>100</v>
      </c>
      <c r="H245" s="15">
        <f>(E245-G245)/100*10000</f>
        <v/>
      </c>
      <c r="I245" s="4" t="inlineStr"/>
    </row>
    <row r="246">
      <c r="A246" s="4" t="inlineStr">
        <is>
          <t>SOL → Base</t>
        </is>
      </c>
      <c r="B246" s="4" t="n">
        <v>3</v>
      </c>
      <c r="C246" s="4" t="inlineStr">
        <is>
          <t>LI.FI (Jumper)</t>
        </is>
      </c>
      <c r="D246" s="4" t="inlineStr">
        <is>
          <t>venue</t>
        </is>
      </c>
      <c r="E246" s="18" t="n">
        <v>99.947174</v>
      </c>
      <c r="F246" s="4" t="inlineStr">
        <is>
          <t>Skip Go</t>
        </is>
      </c>
      <c r="G246" s="18" t="n">
        <v>100</v>
      </c>
      <c r="H246" s="15">
        <f>(E246-G246)/100*10000</f>
        <v/>
      </c>
      <c r="I246" s="4" t="inlineStr"/>
    </row>
    <row r="247">
      <c r="A247" s="4" t="inlineStr">
        <is>
          <t>SOL → Base</t>
        </is>
      </c>
      <c r="B247" s="4" t="n">
        <v>1</v>
      </c>
      <c r="C247" s="4" t="inlineStr">
        <is>
          <t>Across</t>
        </is>
      </c>
      <c r="D247" s="4" t="inlineStr">
        <is>
          <t>venue</t>
        </is>
      </c>
      <c r="E247" s="18" t="n">
        <v>99.94717</v>
      </c>
      <c r="F247" s="4" t="inlineStr">
        <is>
          <t>Skip Go</t>
        </is>
      </c>
      <c r="G247" s="18" t="n">
        <v>99.98999999999999</v>
      </c>
      <c r="H247" s="15">
        <f>(E247-G247)/100*10000</f>
        <v/>
      </c>
      <c r="I247" s="4" t="inlineStr"/>
    </row>
    <row r="248">
      <c r="A248" s="4" t="inlineStr">
        <is>
          <t>SOL → Base</t>
        </is>
      </c>
      <c r="B248" s="4" t="n">
        <v>1</v>
      </c>
      <c r="C248" s="4" t="inlineStr">
        <is>
          <t>Across</t>
        </is>
      </c>
      <c r="D248" s="4" t="inlineStr">
        <is>
          <t>venue</t>
        </is>
      </c>
      <c r="E248" s="18" t="n">
        <v>99.947174</v>
      </c>
      <c r="F248" s="4" t="inlineStr">
        <is>
          <t>Skip Go</t>
        </is>
      </c>
      <c r="G248" s="18" t="n">
        <v>99.98999999999999</v>
      </c>
      <c r="H248" s="15">
        <f>(E248-G248)/100*10000</f>
        <v/>
      </c>
      <c r="I248" s="4" t="inlineStr"/>
    </row>
    <row r="249">
      <c r="A249" s="4" t="inlineStr">
        <is>
          <t>SOL → Base</t>
        </is>
      </c>
      <c r="B249" s="4" t="n">
        <v>2</v>
      </c>
      <c r="C249" s="4" t="inlineStr">
        <is>
          <t>Across</t>
        </is>
      </c>
      <c r="D249" s="4" t="inlineStr">
        <is>
          <t>venue</t>
        </is>
      </c>
      <c r="E249" s="18" t="n">
        <v>99.94717</v>
      </c>
      <c r="F249" s="4" t="inlineStr">
        <is>
          <t>Skip Go</t>
        </is>
      </c>
      <c r="G249" s="18" t="n">
        <v>99.98999999999999</v>
      </c>
      <c r="H249" s="15">
        <f>(E249-G249)/100*10000</f>
        <v/>
      </c>
      <c r="I249" s="4" t="inlineStr"/>
    </row>
    <row r="250">
      <c r="A250" s="4" t="inlineStr">
        <is>
          <t>SOL → Base</t>
        </is>
      </c>
      <c r="B250" s="4" t="n">
        <v>2</v>
      </c>
      <c r="C250" s="4" t="inlineStr">
        <is>
          <t>Across</t>
        </is>
      </c>
      <c r="D250" s="4" t="inlineStr">
        <is>
          <t>venue</t>
        </is>
      </c>
      <c r="E250" s="18" t="n">
        <v>99.947174</v>
      </c>
      <c r="F250" s="4" t="inlineStr">
        <is>
          <t>Skip Go</t>
        </is>
      </c>
      <c r="G250" s="18" t="n">
        <v>99.98999999999999</v>
      </c>
      <c r="H250" s="15">
        <f>(E250-G250)/100*10000</f>
        <v/>
      </c>
      <c r="I250" s="4" t="inlineStr"/>
    </row>
    <row r="251">
      <c r="A251" s="4" t="inlineStr">
        <is>
          <t>SOL → Base</t>
        </is>
      </c>
      <c r="B251" s="4" t="n">
        <v>3</v>
      </c>
      <c r="C251" s="4" t="inlineStr">
        <is>
          <t>Across</t>
        </is>
      </c>
      <c r="D251" s="4" t="inlineStr">
        <is>
          <t>venue</t>
        </is>
      </c>
      <c r="E251" s="18" t="n">
        <v>99.947171</v>
      </c>
      <c r="F251" s="4" t="inlineStr">
        <is>
          <t>Skip Go</t>
        </is>
      </c>
      <c r="G251" s="18" t="n">
        <v>99.98999999999999</v>
      </c>
      <c r="H251" s="15">
        <f>(E251-G251)/100*10000</f>
        <v/>
      </c>
      <c r="I251" s="4" t="inlineStr"/>
    </row>
    <row r="252">
      <c r="A252" s="4" t="inlineStr">
        <is>
          <t>SOL → Base</t>
        </is>
      </c>
      <c r="B252" s="4" t="n">
        <v>3</v>
      </c>
      <c r="C252" s="4" t="inlineStr">
        <is>
          <t>Across</t>
        </is>
      </c>
      <c r="D252" s="4" t="inlineStr">
        <is>
          <t>venue</t>
        </is>
      </c>
      <c r="E252" s="18" t="n">
        <v>99.947174</v>
      </c>
      <c r="F252" s="4" t="inlineStr">
        <is>
          <t>Skip Go</t>
        </is>
      </c>
      <c r="G252" s="18" t="n">
        <v>99.98999999999999</v>
      </c>
      <c r="H252" s="15">
        <f>(E252-G252)/100*10000</f>
        <v/>
      </c>
      <c r="I252" s="4" t="inlineStr"/>
    </row>
    <row r="253">
      <c r="A253" s="4" t="inlineStr">
        <is>
          <t>SOL → Base</t>
        </is>
      </c>
      <c r="B253" s="4" t="n">
        <v>1</v>
      </c>
      <c r="C253" s="4" t="inlineStr">
        <is>
          <t>Mayan</t>
        </is>
      </c>
      <c r="D253" s="4" t="inlineStr">
        <is>
          <t>venue</t>
        </is>
      </c>
      <c r="E253" s="18" t="n">
        <v>99.94717</v>
      </c>
      <c r="F253" s="4" t="inlineStr">
        <is>
          <t>Skip Go</t>
        </is>
      </c>
      <c r="G253" s="18" t="n">
        <v>99.92700000000001</v>
      </c>
      <c r="H253" s="15">
        <f>(E253-G253)/100*10000</f>
        <v/>
      </c>
      <c r="I253" s="4" t="inlineStr"/>
    </row>
    <row r="254">
      <c r="A254" s="4" t="inlineStr">
        <is>
          <t>SOL → Base</t>
        </is>
      </c>
      <c r="B254" s="4" t="n">
        <v>1</v>
      </c>
      <c r="C254" s="4" t="inlineStr">
        <is>
          <t>Mayan</t>
        </is>
      </c>
      <c r="D254" s="4" t="inlineStr">
        <is>
          <t>venue</t>
        </is>
      </c>
      <c r="E254" s="18" t="n">
        <v>99.947174</v>
      </c>
      <c r="F254" s="4" t="inlineStr">
        <is>
          <t>Skip Go</t>
        </is>
      </c>
      <c r="G254" s="18" t="n">
        <v>99.92700000000001</v>
      </c>
      <c r="H254" s="15">
        <f>(E254-G254)/100*10000</f>
        <v/>
      </c>
      <c r="I254" s="4" t="inlineStr"/>
    </row>
    <row r="255">
      <c r="A255" s="4" t="inlineStr">
        <is>
          <t>SOL → Base</t>
        </is>
      </c>
      <c r="B255" s="4" t="n">
        <v>2</v>
      </c>
      <c r="C255" s="4" t="inlineStr">
        <is>
          <t>Mayan</t>
        </is>
      </c>
      <c r="D255" s="4" t="inlineStr">
        <is>
          <t>venue</t>
        </is>
      </c>
      <c r="E255" s="18" t="n">
        <v>99.94717</v>
      </c>
      <c r="F255" s="4" t="inlineStr">
        <is>
          <t>Skip Go</t>
        </is>
      </c>
      <c r="G255" s="18" t="n">
        <v>99.92700000000001</v>
      </c>
      <c r="H255" s="15">
        <f>(E255-G255)/100*10000</f>
        <v/>
      </c>
      <c r="I255" s="4" t="inlineStr"/>
    </row>
    <row r="256">
      <c r="A256" s="4" t="inlineStr">
        <is>
          <t>SOL → Base</t>
        </is>
      </c>
      <c r="B256" s="4" t="n">
        <v>2</v>
      </c>
      <c r="C256" s="4" t="inlineStr">
        <is>
          <t>Mayan</t>
        </is>
      </c>
      <c r="D256" s="4" t="inlineStr">
        <is>
          <t>venue</t>
        </is>
      </c>
      <c r="E256" s="18" t="n">
        <v>99.947174</v>
      </c>
      <c r="F256" s="4" t="inlineStr">
        <is>
          <t>Skip Go</t>
        </is>
      </c>
      <c r="G256" s="18" t="n">
        <v>99.92700000000001</v>
      </c>
      <c r="H256" s="15">
        <f>(E256-G256)/100*10000</f>
        <v/>
      </c>
      <c r="I256" s="4" t="inlineStr"/>
    </row>
    <row r="257">
      <c r="A257" s="4" t="inlineStr">
        <is>
          <t>SOL → Base</t>
        </is>
      </c>
      <c r="B257" s="4" t="n">
        <v>3</v>
      </c>
      <c r="C257" s="4" t="inlineStr">
        <is>
          <t>Mayan</t>
        </is>
      </c>
      <c r="D257" s="4" t="inlineStr">
        <is>
          <t>venue</t>
        </is>
      </c>
      <c r="E257" s="18" t="n">
        <v>99.947171</v>
      </c>
      <c r="F257" s="4" t="inlineStr">
        <is>
          <t>Skip Go</t>
        </is>
      </c>
      <c r="G257" s="18" t="n">
        <v>99.92700000000001</v>
      </c>
      <c r="H257" s="15">
        <f>(E257-G257)/100*10000</f>
        <v/>
      </c>
      <c r="I257" s="4" t="inlineStr"/>
    </row>
    <row r="258">
      <c r="A258" s="4" t="inlineStr">
        <is>
          <t>SOL → Base</t>
        </is>
      </c>
      <c r="B258" s="4" t="n">
        <v>3</v>
      </c>
      <c r="C258" s="4" t="inlineStr">
        <is>
          <t>Mayan</t>
        </is>
      </c>
      <c r="D258" s="4" t="inlineStr">
        <is>
          <t>venue</t>
        </is>
      </c>
      <c r="E258" s="18" t="n">
        <v>99.947174</v>
      </c>
      <c r="F258" s="4" t="inlineStr">
        <is>
          <t>Skip Go</t>
        </is>
      </c>
      <c r="G258" s="18" t="n">
        <v>99.92700000000001</v>
      </c>
      <c r="H258" s="15">
        <f>(E258-G258)/100*10000</f>
        <v/>
      </c>
      <c r="I258" s="4" t="inlineStr"/>
    </row>
    <row r="259">
      <c r="A259" s="4" t="inlineStr">
        <is>
          <t>SOL → Base</t>
        </is>
      </c>
      <c r="B259" s="4" t="n">
        <v>1</v>
      </c>
      <c r="C259" s="4" t="inlineStr">
        <is>
          <t>Allbridge Core</t>
        </is>
      </c>
      <c r="D259" s="4" t="inlineStr">
        <is>
          <t>venue</t>
        </is>
      </c>
      <c r="E259" s="18" t="n">
        <v>99.947174</v>
      </c>
      <c r="F259" s="4" t="inlineStr">
        <is>
          <t>Skip Go</t>
        </is>
      </c>
      <c r="G259" s="18" t="n">
        <v>99.90000000000001</v>
      </c>
      <c r="H259" s="15">
        <f>(E259-G259)/100*10000</f>
        <v/>
      </c>
      <c r="I259" s="4" t="inlineStr">
        <is>
          <t>yes</t>
        </is>
      </c>
    </row>
    <row r="260">
      <c r="A260" s="4" t="inlineStr">
        <is>
          <t>SOL → Base</t>
        </is>
      </c>
      <c r="B260" s="4" t="n">
        <v>2</v>
      </c>
      <c r="C260" s="4" t="inlineStr">
        <is>
          <t>Allbridge Core</t>
        </is>
      </c>
      <c r="D260" s="4" t="inlineStr">
        <is>
          <t>venue</t>
        </is>
      </c>
      <c r="E260" s="18" t="n">
        <v>99.947174</v>
      </c>
      <c r="F260" s="4" t="inlineStr">
        <is>
          <t>Skip Go</t>
        </is>
      </c>
      <c r="G260" s="18" t="n">
        <v>99.90000000000001</v>
      </c>
      <c r="H260" s="15">
        <f>(E260-G260)/100*10000</f>
        <v/>
      </c>
      <c r="I260" s="4" t="inlineStr">
        <is>
          <t>yes</t>
        </is>
      </c>
    </row>
    <row r="261">
      <c r="A261" s="4" t="inlineStr">
        <is>
          <t>SOL → Base</t>
        </is>
      </c>
      <c r="B261" s="4" t="n">
        <v>3</v>
      </c>
      <c r="C261" s="4" t="inlineStr">
        <is>
          <t>Allbridge Core</t>
        </is>
      </c>
      <c r="D261" s="4" t="inlineStr">
        <is>
          <t>venue</t>
        </is>
      </c>
      <c r="E261" s="18" t="n">
        <v>99.947174</v>
      </c>
      <c r="F261" s="4" t="inlineStr">
        <is>
          <t>Skip Go</t>
        </is>
      </c>
      <c r="G261" s="18" t="n">
        <v>99.90000000000001</v>
      </c>
      <c r="H261" s="15">
        <f>(E261-G261)/100*10000</f>
        <v/>
      </c>
      <c r="I261" s="4" t="inlineStr">
        <is>
          <t>yes</t>
        </is>
      </c>
    </row>
    <row r="262">
      <c r="A262" s="4" t="inlineStr">
        <is>
          <t>SOL → Base</t>
        </is>
      </c>
      <c r="B262" s="4" t="n">
        <v>1</v>
      </c>
      <c r="C262" s="4" t="inlineStr">
        <is>
          <t>CCTP (via Portal)</t>
        </is>
      </c>
      <c r="D262" s="4" t="inlineStr">
        <is>
          <t>venue</t>
        </is>
      </c>
      <c r="E262" s="18" t="n">
        <v>99.947174</v>
      </c>
      <c r="F262" s="4" t="inlineStr">
        <is>
          <t>Skip Go</t>
        </is>
      </c>
      <c r="G262" s="18" t="n">
        <v>99.98999999999999</v>
      </c>
      <c r="H262" s="15">
        <f>(E262-G262)/100*10000</f>
        <v/>
      </c>
      <c r="I262" s="4" t="inlineStr"/>
    </row>
    <row r="263">
      <c r="A263" s="4" t="inlineStr">
        <is>
          <t>SOL → Base</t>
        </is>
      </c>
      <c r="B263" s="4" t="n">
        <v>2</v>
      </c>
      <c r="C263" s="4" t="inlineStr">
        <is>
          <t>CCTP (via Portal)</t>
        </is>
      </c>
      <c r="D263" s="4" t="inlineStr">
        <is>
          <t>venue</t>
        </is>
      </c>
      <c r="E263" s="18" t="n">
        <v>99.947174</v>
      </c>
      <c r="F263" s="4" t="inlineStr">
        <is>
          <t>Skip Go</t>
        </is>
      </c>
      <c r="G263" s="18" t="n">
        <v>99.98999999999999</v>
      </c>
      <c r="H263" s="15">
        <f>(E263-G263)/100*10000</f>
        <v/>
      </c>
      <c r="I263" s="4" t="inlineStr"/>
    </row>
    <row r="264">
      <c r="A264" s="4" t="inlineStr">
        <is>
          <t>SOL → Base</t>
        </is>
      </c>
      <c r="B264" s="4" t="n">
        <v>3</v>
      </c>
      <c r="C264" s="4" t="inlineStr">
        <is>
          <t>CCTP (via Portal)</t>
        </is>
      </c>
      <c r="D264" s="4" t="inlineStr">
        <is>
          <t>venue</t>
        </is>
      </c>
      <c r="E264" s="18" t="n">
        <v>99.947174</v>
      </c>
      <c r="F264" s="4" t="inlineStr">
        <is>
          <t>Skip Go</t>
        </is>
      </c>
      <c r="G264" s="18" t="n">
        <v>99.98999999999999</v>
      </c>
      <c r="H264" s="15">
        <f>(E264-G264)/100*10000</f>
        <v/>
      </c>
      <c r="I264" s="4" t="inlineStr"/>
    </row>
    <row r="265">
      <c r="A265" s="4" t="inlineStr">
        <is>
          <t>SOL → Base</t>
        </is>
      </c>
      <c r="B265" s="4" t="n">
        <v>1</v>
      </c>
      <c r="C265" s="4" t="inlineStr">
        <is>
          <t>Husher</t>
        </is>
      </c>
      <c r="D265" s="4" t="inlineStr">
        <is>
          <t>venue</t>
        </is>
      </c>
      <c r="E265" s="18" t="n">
        <v>99.947174</v>
      </c>
      <c r="F265" s="4" t="inlineStr">
        <is>
          <t>Skip Go</t>
        </is>
      </c>
      <c r="G265" s="18" t="n">
        <v>99.45</v>
      </c>
      <c r="H265" s="15">
        <f>(E265-G265)/100*10000</f>
        <v/>
      </c>
      <c r="I265" s="4" t="inlineStr"/>
    </row>
    <row r="266">
      <c r="A266" s="4" t="inlineStr">
        <is>
          <t>SOL → Base</t>
        </is>
      </c>
      <c r="B266" s="4" t="n">
        <v>2</v>
      </c>
      <c r="C266" s="4" t="inlineStr">
        <is>
          <t>Husher</t>
        </is>
      </c>
      <c r="D266" s="4" t="inlineStr">
        <is>
          <t>venue</t>
        </is>
      </c>
      <c r="E266" s="18" t="n">
        <v>99.947174</v>
      </c>
      <c r="F266" s="4" t="inlineStr">
        <is>
          <t>Skip Go</t>
        </is>
      </c>
      <c r="G266" s="18" t="n">
        <v>99.45</v>
      </c>
      <c r="H266" s="15">
        <f>(E266-G266)/100*10000</f>
        <v/>
      </c>
      <c r="I266" s="4" t="inlineStr"/>
    </row>
    <row r="267">
      <c r="A267" s="4" t="inlineStr">
        <is>
          <t>SOL → Base</t>
        </is>
      </c>
      <c r="B267" s="4" t="n">
        <v>3</v>
      </c>
      <c r="C267" s="4" t="inlineStr">
        <is>
          <t>Husher</t>
        </is>
      </c>
      <c r="D267" s="4" t="inlineStr">
        <is>
          <t>venue</t>
        </is>
      </c>
      <c r="E267" s="18" t="n">
        <v>99.947174</v>
      </c>
      <c r="F267" s="4" t="inlineStr">
        <is>
          <t>Skip Go</t>
        </is>
      </c>
      <c r="G267" s="18" t="n">
        <v>99.45</v>
      </c>
      <c r="H267" s="15">
        <f>(E267-G267)/100*10000</f>
        <v/>
      </c>
      <c r="I267" s="4" t="inlineStr"/>
    </row>
    <row r="268">
      <c r="A268" s="4" t="inlineStr">
        <is>
          <t>SOL → Base</t>
        </is>
      </c>
      <c r="B268" s="4" t="n">
        <v>1</v>
      </c>
      <c r="C268" s="4" t="inlineStr">
        <is>
          <t>Layerswap</t>
        </is>
      </c>
      <c r="D268" s="4" t="inlineStr">
        <is>
          <t>venue</t>
        </is>
      </c>
      <c r="E268" s="18" t="n">
        <v>99.947174</v>
      </c>
      <c r="F268" s="4" t="inlineStr">
        <is>
          <t>Skip Go</t>
        </is>
      </c>
      <c r="G268" s="18" t="n">
        <v>99.8643</v>
      </c>
      <c r="H268" s="15">
        <f>(E268-G268)/100*10000</f>
        <v/>
      </c>
      <c r="I268" s="4" t="inlineStr"/>
    </row>
    <row r="269">
      <c r="A269" s="4" t="inlineStr">
        <is>
          <t>SOL → Base</t>
        </is>
      </c>
      <c r="B269" s="4" t="n">
        <v>2</v>
      </c>
      <c r="C269" s="4" t="inlineStr">
        <is>
          <t>Layerswap</t>
        </is>
      </c>
      <c r="D269" s="4" t="inlineStr">
        <is>
          <t>venue</t>
        </is>
      </c>
      <c r="E269" s="18" t="n">
        <v>99.947174</v>
      </c>
      <c r="F269" s="4" t="inlineStr">
        <is>
          <t>Skip Go</t>
        </is>
      </c>
      <c r="G269" s="18" t="n">
        <v>99.864299</v>
      </c>
      <c r="H269" s="15">
        <f>(E269-G269)/100*10000</f>
        <v/>
      </c>
      <c r="I269" s="4" t="inlineStr"/>
    </row>
    <row r="270">
      <c r="A270" s="4" t="inlineStr">
        <is>
          <t>SOL → Base</t>
        </is>
      </c>
      <c r="B270" s="4" t="n">
        <v>3</v>
      </c>
      <c r="C270" s="4" t="inlineStr">
        <is>
          <t>Layerswap</t>
        </is>
      </c>
      <c r="D270" s="4" t="inlineStr">
        <is>
          <t>venue</t>
        </is>
      </c>
      <c r="E270" s="18" t="n">
        <v>99.947174</v>
      </c>
      <c r="F270" s="4" t="inlineStr">
        <is>
          <t>Skip Go</t>
        </is>
      </c>
      <c r="G270" s="18" t="n">
        <v>99.864301</v>
      </c>
      <c r="H270" s="15">
        <f>(E270-G270)/100*10000</f>
        <v/>
      </c>
      <c r="I270" s="4" t="inlineStr"/>
    </row>
    <row r="271">
      <c r="A271" s="4" t="inlineStr">
        <is>
          <t>SOL → Base</t>
        </is>
      </c>
      <c r="B271" s="4" t="n">
        <v>1</v>
      </c>
      <c r="C271" s="4" t="inlineStr">
        <is>
          <t>Meson</t>
        </is>
      </c>
      <c r="D271" s="4" t="inlineStr">
        <is>
          <t>venue</t>
        </is>
      </c>
      <c r="E271" s="18" t="n">
        <v>99.947174</v>
      </c>
      <c r="F271" s="4" t="inlineStr">
        <is>
          <t>Skip Go</t>
        </is>
      </c>
      <c r="G271" s="18" t="n">
        <v>99.86</v>
      </c>
      <c r="H271" s="15">
        <f>(E271-G271)/100*10000</f>
        <v/>
      </c>
      <c r="I271" s="4" t="inlineStr"/>
    </row>
    <row r="272">
      <c r="A272" s="4" t="inlineStr">
        <is>
          <t>SOL → Base</t>
        </is>
      </c>
      <c r="B272" s="4" t="n">
        <v>2</v>
      </c>
      <c r="C272" s="4" t="inlineStr">
        <is>
          <t>Meson</t>
        </is>
      </c>
      <c r="D272" s="4" t="inlineStr">
        <is>
          <t>venue</t>
        </is>
      </c>
      <c r="E272" s="18" t="n">
        <v>99.947174</v>
      </c>
      <c r="F272" s="4" t="inlineStr">
        <is>
          <t>Skip Go</t>
        </is>
      </c>
      <c r="G272" s="18" t="n">
        <v>99.86</v>
      </c>
      <c r="H272" s="15">
        <f>(E272-G272)/100*10000</f>
        <v/>
      </c>
      <c r="I272" s="4" t="inlineStr"/>
    </row>
    <row r="273">
      <c r="A273" s="4" t="inlineStr">
        <is>
          <t>SOL → Base</t>
        </is>
      </c>
      <c r="B273" s="4" t="n">
        <v>3</v>
      </c>
      <c r="C273" s="4" t="inlineStr">
        <is>
          <t>Meson</t>
        </is>
      </c>
      <c r="D273" s="4" t="inlineStr">
        <is>
          <t>venue</t>
        </is>
      </c>
      <c r="E273" s="18" t="n">
        <v>99.947174</v>
      </c>
      <c r="F273" s="4" t="inlineStr">
        <is>
          <t>Skip Go</t>
        </is>
      </c>
      <c r="G273" s="18" t="n">
        <v>99.86</v>
      </c>
      <c r="H273" s="15">
        <f>(E273-G273)/100*10000</f>
        <v/>
      </c>
      <c r="I273" s="4" t="inlineStr"/>
    </row>
    <row r="274">
      <c r="A274" s="4" t="inlineStr">
        <is>
          <t>SOL → Base</t>
        </is>
      </c>
      <c r="B274" s="4" t="n">
        <v>1</v>
      </c>
      <c r="C274" s="4" t="inlineStr">
        <is>
          <t>SimpleSwap</t>
        </is>
      </c>
      <c r="D274" s="4" t="inlineStr">
        <is>
          <t>venue</t>
        </is>
      </c>
      <c r="E274" s="18" t="n">
        <v>99.947174</v>
      </c>
      <c r="F274" s="4" t="inlineStr">
        <is>
          <t>Skip Go</t>
        </is>
      </c>
      <c r="G274" s="18" t="n">
        <v>98.48755199999999</v>
      </c>
      <c r="H274" s="15">
        <f>(E274-G274)/100*10000</f>
        <v/>
      </c>
      <c r="I274" s="4" t="inlineStr"/>
    </row>
    <row r="275">
      <c r="A275" s="4" t="inlineStr">
        <is>
          <t>SOL → Base</t>
        </is>
      </c>
      <c r="B275" s="4" t="n">
        <v>2</v>
      </c>
      <c r="C275" s="4" t="inlineStr">
        <is>
          <t>SimpleSwap</t>
        </is>
      </c>
      <c r="D275" s="4" t="inlineStr">
        <is>
          <t>venue</t>
        </is>
      </c>
      <c r="E275" s="18" t="n">
        <v>99.947174</v>
      </c>
      <c r="F275" s="4" t="inlineStr">
        <is>
          <t>Skip Go</t>
        </is>
      </c>
      <c r="G275" s="18" t="n">
        <v>98.48755199999999</v>
      </c>
      <c r="H275" s="15">
        <f>(E275-G275)/100*10000</f>
        <v/>
      </c>
      <c r="I275" s="4" t="inlineStr"/>
    </row>
    <row r="276">
      <c r="A276" s="4" t="inlineStr">
        <is>
          <t>SOL → Base</t>
        </is>
      </c>
      <c r="B276" s="4" t="n">
        <v>3</v>
      </c>
      <c r="C276" s="4" t="inlineStr">
        <is>
          <t>SimpleSwap</t>
        </is>
      </c>
      <c r="D276" s="4" t="inlineStr">
        <is>
          <t>venue</t>
        </is>
      </c>
      <c r="E276" s="18" t="n">
        <v>99.947174</v>
      </c>
      <c r="F276" s="4" t="inlineStr">
        <is>
          <t>Skip Go</t>
        </is>
      </c>
      <c r="G276" s="18" t="n">
        <v>98.494293</v>
      </c>
      <c r="H276" s="15">
        <f>(E276-G276)/100*10000</f>
        <v/>
      </c>
      <c r="I276" s="4" t="inlineStr"/>
    </row>
    <row r="277">
      <c r="A277" s="4" t="inlineStr">
        <is>
          <t>SOL → Base</t>
        </is>
      </c>
      <c r="B277" s="4" t="n">
        <v>1</v>
      </c>
      <c r="C277" s="4" t="inlineStr">
        <is>
          <t>Skip Go</t>
        </is>
      </c>
      <c r="D277" s="4" t="inlineStr">
        <is>
          <t>venue</t>
        </is>
      </c>
      <c r="E277" s="18" t="n">
        <v>99.947174</v>
      </c>
      <c r="F277" s="4" t="inlineStr">
        <is>
          <t>Skip Go</t>
        </is>
      </c>
      <c r="G277" s="18" t="n">
        <v>99.98517</v>
      </c>
      <c r="H277" s="15">
        <f>(E277-G277)/100*10000</f>
        <v/>
      </c>
      <c r="I277" s="4" t="inlineStr"/>
    </row>
    <row r="278">
      <c r="A278" s="4" t="inlineStr">
        <is>
          <t>SOL → Base</t>
        </is>
      </c>
      <c r="B278" s="4" t="n">
        <v>2</v>
      </c>
      <c r="C278" s="4" t="inlineStr">
        <is>
          <t>Skip Go</t>
        </is>
      </c>
      <c r="D278" s="4" t="inlineStr">
        <is>
          <t>venue</t>
        </is>
      </c>
      <c r="E278" s="18" t="n">
        <v>99.947174</v>
      </c>
      <c r="F278" s="4" t="inlineStr">
        <is>
          <t>Skip Go</t>
        </is>
      </c>
      <c r="G278" s="18" t="n">
        <v>99.98517</v>
      </c>
      <c r="H278" s="15">
        <f>(E278-G278)/100*10000</f>
        <v/>
      </c>
      <c r="I278" s="4" t="inlineStr"/>
    </row>
    <row r="279">
      <c r="A279" s="4" t="inlineStr">
        <is>
          <t>SOL → Base</t>
        </is>
      </c>
      <c r="B279" s="4" t="n">
        <v>3</v>
      </c>
      <c r="C279" s="4" t="inlineStr">
        <is>
          <t>Skip Go</t>
        </is>
      </c>
      <c r="D279" s="4" t="inlineStr">
        <is>
          <t>venue</t>
        </is>
      </c>
      <c r="E279" s="18" t="n">
        <v>99.947174</v>
      </c>
      <c r="F279" s="4" t="inlineStr">
        <is>
          <t>Skip Go</t>
        </is>
      </c>
      <c r="G279" s="18" t="n">
        <v>99.98517</v>
      </c>
      <c r="H279" s="15">
        <f>(E279-G279)/100*10000</f>
        <v/>
      </c>
      <c r="I279" s="4" t="inlineStr"/>
    </row>
    <row r="280">
      <c r="A280" s="4" t="inlineStr">
        <is>
          <t>Base → SOL</t>
        </is>
      </c>
      <c r="B280" s="4" t="n">
        <v>1</v>
      </c>
      <c r="C280" s="4" t="inlineStr">
        <is>
          <t>Relay</t>
        </is>
      </c>
      <c r="D280" s="4" t="inlineStr">
        <is>
          <t>venue</t>
        </is>
      </c>
      <c r="E280" s="18" t="n">
        <v>99.85005</v>
      </c>
      <c r="F280" s="4" t="inlineStr">
        <is>
          <t>Allbridge Core</t>
        </is>
      </c>
      <c r="G280" s="18" t="n">
        <v>99.945577</v>
      </c>
      <c r="H280" s="15">
        <f>(E280-G280)/100*10000</f>
        <v/>
      </c>
      <c r="I280" s="4" t="inlineStr"/>
    </row>
    <row r="281">
      <c r="A281" s="4" t="inlineStr">
        <is>
          <t>Base → SOL</t>
        </is>
      </c>
      <c r="B281" s="4" t="n">
        <v>1</v>
      </c>
      <c r="C281" s="4" t="inlineStr">
        <is>
          <t>Relay</t>
        </is>
      </c>
      <c r="D281" s="4" t="inlineStr">
        <is>
          <t>venue</t>
        </is>
      </c>
      <c r="E281" s="18" t="n">
        <v>99.85005</v>
      </c>
      <c r="F281" s="4" t="inlineStr">
        <is>
          <t>Allbridge Core</t>
        </is>
      </c>
      <c r="G281" s="18" t="n">
        <v>99.94557399999999</v>
      </c>
      <c r="H281" s="15">
        <f>(E281-G281)/100*10000</f>
        <v/>
      </c>
      <c r="I281" s="4" t="inlineStr"/>
    </row>
    <row r="282">
      <c r="A282" s="4" t="inlineStr">
        <is>
          <t>Base → SOL</t>
        </is>
      </c>
      <c r="B282" s="4" t="n">
        <v>2</v>
      </c>
      <c r="C282" s="4" t="inlineStr">
        <is>
          <t>Relay</t>
        </is>
      </c>
      <c r="D282" s="4" t="inlineStr">
        <is>
          <t>venue</t>
        </is>
      </c>
      <c r="E282" s="18" t="n">
        <v>99.85005</v>
      </c>
      <c r="F282" s="4" t="inlineStr">
        <is>
          <t>Allbridge Core</t>
        </is>
      </c>
      <c r="G282" s="18" t="n">
        <v>99.94558000000001</v>
      </c>
      <c r="H282" s="15">
        <f>(E282-G282)/100*10000</f>
        <v/>
      </c>
      <c r="I282" s="4" t="inlineStr"/>
    </row>
    <row r="283">
      <c r="A283" s="4" t="inlineStr">
        <is>
          <t>Base → SOL</t>
        </is>
      </c>
      <c r="B283" s="4" t="n">
        <v>2</v>
      </c>
      <c r="C283" s="4" t="inlineStr">
        <is>
          <t>Relay</t>
        </is>
      </c>
      <c r="D283" s="4" t="inlineStr">
        <is>
          <t>venue</t>
        </is>
      </c>
      <c r="E283" s="18" t="n">
        <v>99.85005</v>
      </c>
      <c r="F283" s="4" t="inlineStr">
        <is>
          <t>Allbridge Core</t>
        </is>
      </c>
      <c r="G283" s="18" t="n">
        <v>99.94557500000001</v>
      </c>
      <c r="H283" s="15">
        <f>(E283-G283)/100*10000</f>
        <v/>
      </c>
      <c r="I283" s="4" t="inlineStr"/>
    </row>
    <row r="284">
      <c r="A284" s="4" t="inlineStr">
        <is>
          <t>Base → SOL</t>
        </is>
      </c>
      <c r="B284" s="4" t="n">
        <v>3</v>
      </c>
      <c r="C284" s="4" t="inlineStr">
        <is>
          <t>Relay</t>
        </is>
      </c>
      <c r="D284" s="4" t="inlineStr">
        <is>
          <t>venue</t>
        </is>
      </c>
      <c r="E284" s="18" t="n">
        <v>99.85005</v>
      </c>
      <c r="F284" s="4" t="inlineStr">
        <is>
          <t>Allbridge Core</t>
        </is>
      </c>
      <c r="G284" s="18" t="n">
        <v>99.945573</v>
      </c>
      <c r="H284" s="15">
        <f>(E284-G284)/100*10000</f>
        <v/>
      </c>
      <c r="I284" s="4" t="inlineStr"/>
    </row>
    <row r="285">
      <c r="A285" s="4" t="inlineStr">
        <is>
          <t>Base → SOL</t>
        </is>
      </c>
      <c r="B285" s="4" t="n">
        <v>3</v>
      </c>
      <c r="C285" s="4" t="inlineStr">
        <is>
          <t>Relay</t>
        </is>
      </c>
      <c r="D285" s="4" t="inlineStr">
        <is>
          <t>venue</t>
        </is>
      </c>
      <c r="E285" s="18" t="n">
        <v>99.85005</v>
      </c>
      <c r="F285" s="4" t="inlineStr">
        <is>
          <t>Allbridge Core</t>
        </is>
      </c>
      <c r="G285" s="18" t="n">
        <v>99.94557</v>
      </c>
      <c r="H285" s="15">
        <f>(E285-G285)/100*10000</f>
        <v/>
      </c>
      <c r="I285" s="4" t="inlineStr"/>
    </row>
    <row r="286">
      <c r="A286" s="4" t="inlineStr">
        <is>
          <t>Base → SOL</t>
        </is>
      </c>
      <c r="B286" s="4" t="n">
        <v>1</v>
      </c>
      <c r="C286" s="4" t="inlineStr">
        <is>
          <t>deBridge</t>
        </is>
      </c>
      <c r="D286" s="4" t="inlineStr">
        <is>
          <t>venue</t>
        </is>
      </c>
      <c r="E286" s="18" t="n">
        <v>99.85005</v>
      </c>
      <c r="F286" s="4" t="inlineStr">
        <is>
          <t>Allbridge Core</t>
        </is>
      </c>
      <c r="G286" s="18" t="n">
        <v>98.879418</v>
      </c>
      <c r="H286" s="15">
        <f>(E286-G286)/100*10000</f>
        <v/>
      </c>
      <c r="I286" s="4" t="inlineStr"/>
    </row>
    <row r="287">
      <c r="A287" s="4" t="inlineStr">
        <is>
          <t>Base → SOL</t>
        </is>
      </c>
      <c r="B287" s="4" t="n">
        <v>1</v>
      </c>
      <c r="C287" s="4" t="inlineStr">
        <is>
          <t>deBridge</t>
        </is>
      </c>
      <c r="D287" s="4" t="inlineStr">
        <is>
          <t>venue</t>
        </is>
      </c>
      <c r="E287" s="18" t="n">
        <v>99.85005</v>
      </c>
      <c r="F287" s="4" t="inlineStr">
        <is>
          <t>Allbridge Core</t>
        </is>
      </c>
      <c r="G287" s="18" t="n">
        <v>98.878818</v>
      </c>
      <c r="H287" s="15">
        <f>(E287-G287)/100*10000</f>
        <v/>
      </c>
      <c r="I287" s="4" t="inlineStr"/>
    </row>
    <row r="288">
      <c r="A288" s="4" t="inlineStr">
        <is>
          <t>Base → SOL</t>
        </is>
      </c>
      <c r="B288" s="4" t="n">
        <v>2</v>
      </c>
      <c r="C288" s="4" t="inlineStr">
        <is>
          <t>deBridge</t>
        </is>
      </c>
      <c r="D288" s="4" t="inlineStr">
        <is>
          <t>venue</t>
        </is>
      </c>
      <c r="E288" s="18" t="n">
        <v>99.85005</v>
      </c>
      <c r="F288" s="4" t="inlineStr">
        <is>
          <t>Allbridge Core</t>
        </is>
      </c>
      <c r="G288" s="18" t="n">
        <v>98.875818</v>
      </c>
      <c r="H288" s="15">
        <f>(E288-G288)/100*10000</f>
        <v/>
      </c>
      <c r="I288" s="4" t="inlineStr"/>
    </row>
    <row r="289">
      <c r="A289" s="4" t="inlineStr">
        <is>
          <t>Base → SOL</t>
        </is>
      </c>
      <c r="B289" s="4" t="n">
        <v>2</v>
      </c>
      <c r="C289" s="4" t="inlineStr">
        <is>
          <t>deBridge</t>
        </is>
      </c>
      <c r="D289" s="4" t="inlineStr">
        <is>
          <t>venue</t>
        </is>
      </c>
      <c r="E289" s="18" t="n">
        <v>99.85005</v>
      </c>
      <c r="F289" s="4" t="inlineStr">
        <is>
          <t>Allbridge Core</t>
        </is>
      </c>
      <c r="G289" s="18" t="n">
        <v>98.874218</v>
      </c>
      <c r="H289" s="15">
        <f>(E289-G289)/100*10000</f>
        <v/>
      </c>
      <c r="I289" s="4" t="inlineStr"/>
    </row>
    <row r="290">
      <c r="A290" s="4" t="inlineStr">
        <is>
          <t>Base → SOL</t>
        </is>
      </c>
      <c r="B290" s="4" t="n">
        <v>3</v>
      </c>
      <c r="C290" s="4" t="inlineStr">
        <is>
          <t>deBridge</t>
        </is>
      </c>
      <c r="D290" s="4" t="inlineStr">
        <is>
          <t>venue</t>
        </is>
      </c>
      <c r="E290" s="18" t="n">
        <v>99.85005</v>
      </c>
      <c r="F290" s="4" t="inlineStr">
        <is>
          <t>Allbridge Core</t>
        </is>
      </c>
      <c r="G290" s="18" t="n">
        <v>98.87961799999999</v>
      </c>
      <c r="H290" s="15">
        <f>(E290-G290)/100*10000</f>
        <v/>
      </c>
      <c r="I290" s="4" t="inlineStr"/>
    </row>
    <row r="291">
      <c r="A291" s="4" t="inlineStr">
        <is>
          <t>Base → SOL</t>
        </is>
      </c>
      <c r="B291" s="4" t="n">
        <v>3</v>
      </c>
      <c r="C291" s="4" t="inlineStr">
        <is>
          <t>deBridge</t>
        </is>
      </c>
      <c r="D291" s="4" t="inlineStr">
        <is>
          <t>venue</t>
        </is>
      </c>
      <c r="E291" s="18" t="n">
        <v>99.85005</v>
      </c>
      <c r="F291" s="4" t="inlineStr">
        <is>
          <t>Allbridge Core</t>
        </is>
      </c>
      <c r="G291" s="18" t="n">
        <v>98.878818</v>
      </c>
      <c r="H291" s="15">
        <f>(E291-G291)/100*10000</f>
        <v/>
      </c>
      <c r="I291" s="4" t="inlineStr"/>
    </row>
    <row r="292">
      <c r="A292" s="4" t="inlineStr">
        <is>
          <t>Base → SOL</t>
        </is>
      </c>
      <c r="B292" s="4" t="n">
        <v>1</v>
      </c>
      <c r="C292" s="4" t="inlineStr">
        <is>
          <t>LI.FI (Jumper)</t>
        </is>
      </c>
      <c r="D292" s="4" t="inlineStr">
        <is>
          <t>venue</t>
        </is>
      </c>
      <c r="E292" s="18" t="n">
        <v>99.85005</v>
      </c>
      <c r="F292" s="4" t="inlineStr">
        <is>
          <t>Allbridge Core</t>
        </is>
      </c>
      <c r="G292" s="18" t="n">
        <v>100</v>
      </c>
      <c r="H292" s="15">
        <f>(E292-G292)/100*10000</f>
        <v/>
      </c>
      <c r="I292" s="4" t="inlineStr"/>
    </row>
    <row r="293">
      <c r="A293" s="4" t="inlineStr">
        <is>
          <t>Base → SOL</t>
        </is>
      </c>
      <c r="B293" s="4" t="n">
        <v>1</v>
      </c>
      <c r="C293" s="4" t="inlineStr">
        <is>
          <t>LI.FI (Jumper)</t>
        </is>
      </c>
      <c r="D293" s="4" t="inlineStr">
        <is>
          <t>venue</t>
        </is>
      </c>
      <c r="E293" s="18" t="n">
        <v>99.85005</v>
      </c>
      <c r="F293" s="4" t="inlineStr">
        <is>
          <t>Allbridge Core</t>
        </is>
      </c>
      <c r="G293" s="18" t="n">
        <v>100</v>
      </c>
      <c r="H293" s="15">
        <f>(E293-G293)/100*10000</f>
        <v/>
      </c>
      <c r="I293" s="4" t="inlineStr"/>
    </row>
    <row r="294">
      <c r="A294" s="4" t="inlineStr">
        <is>
          <t>Base → SOL</t>
        </is>
      </c>
      <c r="B294" s="4" t="n">
        <v>2</v>
      </c>
      <c r="C294" s="4" t="inlineStr">
        <is>
          <t>LI.FI (Jumper)</t>
        </is>
      </c>
      <c r="D294" s="4" t="inlineStr">
        <is>
          <t>venue</t>
        </is>
      </c>
      <c r="E294" s="18" t="n">
        <v>99.85005</v>
      </c>
      <c r="F294" s="4" t="inlineStr">
        <is>
          <t>Allbridge Core</t>
        </is>
      </c>
      <c r="G294" s="18" t="n">
        <v>100</v>
      </c>
      <c r="H294" s="15">
        <f>(E294-G294)/100*10000</f>
        <v/>
      </c>
      <c r="I294" s="4" t="inlineStr"/>
    </row>
    <row r="295">
      <c r="A295" s="4" t="inlineStr">
        <is>
          <t>Base → SOL</t>
        </is>
      </c>
      <c r="B295" s="4" t="n">
        <v>2</v>
      </c>
      <c r="C295" s="4" t="inlineStr">
        <is>
          <t>LI.FI (Jumper)</t>
        </is>
      </c>
      <c r="D295" s="4" t="inlineStr">
        <is>
          <t>venue</t>
        </is>
      </c>
      <c r="E295" s="18" t="n">
        <v>99.85005</v>
      </c>
      <c r="F295" s="4" t="inlineStr">
        <is>
          <t>Allbridge Core</t>
        </is>
      </c>
      <c r="G295" s="18" t="n">
        <v>100</v>
      </c>
      <c r="H295" s="15">
        <f>(E295-G295)/100*10000</f>
        <v/>
      </c>
      <c r="I295" s="4" t="inlineStr"/>
    </row>
    <row r="296">
      <c r="A296" s="4" t="inlineStr">
        <is>
          <t>Base → SOL</t>
        </is>
      </c>
      <c r="B296" s="4" t="n">
        <v>3</v>
      </c>
      <c r="C296" s="4" t="inlineStr">
        <is>
          <t>LI.FI (Jumper)</t>
        </is>
      </c>
      <c r="D296" s="4" t="inlineStr">
        <is>
          <t>venue</t>
        </is>
      </c>
      <c r="E296" s="18" t="n">
        <v>99.85005</v>
      </c>
      <c r="F296" s="4" t="inlineStr">
        <is>
          <t>Allbridge Core</t>
        </is>
      </c>
      <c r="G296" s="18" t="n">
        <v>100</v>
      </c>
      <c r="H296" s="15">
        <f>(E296-G296)/100*10000</f>
        <v/>
      </c>
      <c r="I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LI.FI (Jumper)</t>
        </is>
      </c>
      <c r="D297" s="4" t="inlineStr">
        <is>
          <t>venue</t>
        </is>
      </c>
      <c r="E297" s="18" t="n">
        <v>99.85005</v>
      </c>
      <c r="F297" s="4" t="inlineStr">
        <is>
          <t>Allbridge Core</t>
        </is>
      </c>
      <c r="G297" s="18" t="n">
        <v>100</v>
      </c>
      <c r="H297" s="15">
        <f>(E297-G297)/100*10000</f>
        <v/>
      </c>
      <c r="I297" s="4" t="inlineStr"/>
    </row>
    <row r="298">
      <c r="A298" s="4" t="inlineStr">
        <is>
          <t>Base → SOL</t>
        </is>
      </c>
      <c r="B298" s="4" t="n">
        <v>1</v>
      </c>
      <c r="C298" s="4" t="inlineStr">
        <is>
          <t>Across</t>
        </is>
      </c>
      <c r="D298" s="4" t="inlineStr">
        <is>
          <t>venue</t>
        </is>
      </c>
      <c r="E298" s="18" t="n">
        <v>99.85005</v>
      </c>
      <c r="F298" s="4" t="inlineStr">
        <is>
          <t>Allbridge Core</t>
        </is>
      </c>
      <c r="G298" s="18" t="n">
        <v>99.98699999999999</v>
      </c>
      <c r="H298" s="15">
        <f>(E298-G298)/100*10000</f>
        <v/>
      </c>
      <c r="I298" s="4" t="inlineStr"/>
    </row>
    <row r="299">
      <c r="A299" s="4" t="inlineStr">
        <is>
          <t>Base → SOL</t>
        </is>
      </c>
      <c r="B299" s="4" t="n">
        <v>1</v>
      </c>
      <c r="C299" s="4" t="inlineStr">
        <is>
          <t>Across</t>
        </is>
      </c>
      <c r="D299" s="4" t="inlineStr">
        <is>
          <t>venue</t>
        </is>
      </c>
      <c r="E299" s="18" t="n">
        <v>99.85005</v>
      </c>
      <c r="F299" s="4" t="inlineStr">
        <is>
          <t>Allbridge Core</t>
        </is>
      </c>
      <c r="G299" s="18" t="n">
        <v>99.98699999999999</v>
      </c>
      <c r="H299" s="15">
        <f>(E299-G299)/100*10000</f>
        <v/>
      </c>
      <c r="I299" s="4" t="inlineStr"/>
    </row>
    <row r="300">
      <c r="A300" s="4" t="inlineStr">
        <is>
          <t>Base → SOL</t>
        </is>
      </c>
      <c r="B300" s="4" t="n">
        <v>2</v>
      </c>
      <c r="C300" s="4" t="inlineStr">
        <is>
          <t>Across</t>
        </is>
      </c>
      <c r="D300" s="4" t="inlineStr">
        <is>
          <t>venue</t>
        </is>
      </c>
      <c r="E300" s="18" t="n">
        <v>99.85005</v>
      </c>
      <c r="F300" s="4" t="inlineStr">
        <is>
          <t>Allbridge Core</t>
        </is>
      </c>
      <c r="G300" s="18" t="n">
        <v>99.98699999999999</v>
      </c>
      <c r="H300" s="15">
        <f>(E300-G300)/100*10000</f>
        <v/>
      </c>
      <c r="I300" s="4" t="inlineStr"/>
    </row>
    <row r="301">
      <c r="A301" s="4" t="inlineStr">
        <is>
          <t>Base → SOL</t>
        </is>
      </c>
      <c r="B301" s="4" t="n">
        <v>2</v>
      </c>
      <c r="C301" s="4" t="inlineStr">
        <is>
          <t>Across</t>
        </is>
      </c>
      <c r="D301" s="4" t="inlineStr">
        <is>
          <t>venue</t>
        </is>
      </c>
      <c r="E301" s="18" t="n">
        <v>99.85005</v>
      </c>
      <c r="F301" s="4" t="inlineStr">
        <is>
          <t>Allbridge Core</t>
        </is>
      </c>
      <c r="G301" s="18" t="n">
        <v>99.98699999999999</v>
      </c>
      <c r="H301" s="15">
        <f>(E301-G301)/100*10000</f>
        <v/>
      </c>
      <c r="I301" s="4" t="inlineStr"/>
    </row>
    <row r="302">
      <c r="A302" s="4" t="inlineStr">
        <is>
          <t>Base → SOL</t>
        </is>
      </c>
      <c r="B302" s="4" t="n">
        <v>3</v>
      </c>
      <c r="C302" s="4" t="inlineStr">
        <is>
          <t>Across</t>
        </is>
      </c>
      <c r="D302" s="4" t="inlineStr">
        <is>
          <t>venue</t>
        </is>
      </c>
      <c r="E302" s="18" t="n">
        <v>99.85005</v>
      </c>
      <c r="F302" s="4" t="inlineStr">
        <is>
          <t>Allbridge Core</t>
        </is>
      </c>
      <c r="G302" s="18" t="n">
        <v>99.98699999999999</v>
      </c>
      <c r="H302" s="15">
        <f>(E302-G302)/100*10000</f>
        <v/>
      </c>
      <c r="I302" s="4" t="inlineStr"/>
    </row>
    <row r="303">
      <c r="A303" s="4" t="inlineStr">
        <is>
          <t>Base → SOL</t>
        </is>
      </c>
      <c r="B303" s="4" t="n">
        <v>3</v>
      </c>
      <c r="C303" s="4" t="inlineStr">
        <is>
          <t>Across</t>
        </is>
      </c>
      <c r="D303" s="4" t="inlineStr">
        <is>
          <t>venue</t>
        </is>
      </c>
      <c r="E303" s="18" t="n">
        <v>99.85005</v>
      </c>
      <c r="F303" s="4" t="inlineStr">
        <is>
          <t>Allbridge Core</t>
        </is>
      </c>
      <c r="G303" s="18" t="n">
        <v>99.98699999999999</v>
      </c>
      <c r="H303" s="15">
        <f>(E303-G303)/100*10000</f>
        <v/>
      </c>
      <c r="I303" s="4" t="inlineStr"/>
    </row>
    <row r="304">
      <c r="A304" s="4" t="inlineStr">
        <is>
          <t>Base → SOL</t>
        </is>
      </c>
      <c r="B304" s="4" t="n">
        <v>1</v>
      </c>
      <c r="C304" s="4" t="inlineStr">
        <is>
          <t>Mayan</t>
        </is>
      </c>
      <c r="D304" s="4" t="inlineStr">
        <is>
          <t>venue</t>
        </is>
      </c>
      <c r="E304" s="18" t="n">
        <v>99.85005</v>
      </c>
      <c r="F304" s="4" t="inlineStr">
        <is>
          <t>Allbridge Core</t>
        </is>
      </c>
      <c r="G304" s="18" t="n">
        <v>99.681</v>
      </c>
      <c r="H304" s="15">
        <f>(E304-G304)/100*10000</f>
        <v/>
      </c>
      <c r="I304" s="4" t="inlineStr"/>
    </row>
    <row r="305">
      <c r="A305" s="4" t="inlineStr">
        <is>
          <t>Base → SOL</t>
        </is>
      </c>
      <c r="B305" s="4" t="n">
        <v>1</v>
      </c>
      <c r="C305" s="4" t="inlineStr">
        <is>
          <t>Mayan</t>
        </is>
      </c>
      <c r="D305" s="4" t="inlineStr">
        <is>
          <t>venue</t>
        </is>
      </c>
      <c r="E305" s="18" t="n">
        <v>99.85005</v>
      </c>
      <c r="F305" s="4" t="inlineStr">
        <is>
          <t>Allbridge Core</t>
        </is>
      </c>
      <c r="G305" s="18" t="n">
        <v>99.68000000000001</v>
      </c>
      <c r="H305" s="15">
        <f>(E305-G305)/100*10000</f>
        <v/>
      </c>
      <c r="I305" s="4" t="inlineStr"/>
    </row>
    <row r="306">
      <c r="A306" s="4" t="inlineStr">
        <is>
          <t>Base → SOL</t>
        </is>
      </c>
      <c r="B306" s="4" t="n">
        <v>2</v>
      </c>
      <c r="C306" s="4" t="inlineStr">
        <is>
          <t>Mayan</t>
        </is>
      </c>
      <c r="D306" s="4" t="inlineStr">
        <is>
          <t>venue</t>
        </is>
      </c>
      <c r="E306" s="18" t="n">
        <v>99.85005</v>
      </c>
      <c r="F306" s="4" t="inlineStr">
        <is>
          <t>Allbridge Core</t>
        </is>
      </c>
      <c r="G306" s="18" t="n">
        <v>99.681</v>
      </c>
      <c r="H306" s="15">
        <f>(E306-G306)/100*10000</f>
        <v/>
      </c>
      <c r="I306" s="4" t="inlineStr"/>
    </row>
    <row r="307">
      <c r="A307" s="4" t="inlineStr">
        <is>
          <t>Base → SOL</t>
        </is>
      </c>
      <c r="B307" s="4" t="n">
        <v>2</v>
      </c>
      <c r="C307" s="4" t="inlineStr">
        <is>
          <t>Mayan</t>
        </is>
      </c>
      <c r="D307" s="4" t="inlineStr">
        <is>
          <t>venue</t>
        </is>
      </c>
      <c r="E307" s="18" t="n">
        <v>99.85005</v>
      </c>
      <c r="F307" s="4" t="inlineStr">
        <is>
          <t>Allbridge Core</t>
        </is>
      </c>
      <c r="G307" s="18" t="n">
        <v>99.68000000000001</v>
      </c>
      <c r="H307" s="15">
        <f>(E307-G307)/100*10000</f>
        <v/>
      </c>
      <c r="I307" s="4" t="inlineStr"/>
    </row>
    <row r="308">
      <c r="A308" s="4" t="inlineStr">
        <is>
          <t>Base → SOL</t>
        </is>
      </c>
      <c r="B308" s="4" t="n">
        <v>3</v>
      </c>
      <c r="C308" s="4" t="inlineStr">
        <is>
          <t>Mayan</t>
        </is>
      </c>
      <c r="D308" s="4" t="inlineStr">
        <is>
          <t>venue</t>
        </is>
      </c>
      <c r="E308" s="18" t="n">
        <v>99.85005</v>
      </c>
      <c r="F308" s="4" t="inlineStr">
        <is>
          <t>Allbridge Core</t>
        </is>
      </c>
      <c r="G308" s="18" t="n">
        <v>99.68000000000001</v>
      </c>
      <c r="H308" s="15">
        <f>(E308-G308)/100*10000</f>
        <v/>
      </c>
      <c r="I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Mayan</t>
        </is>
      </c>
      <c r="D309" s="4" t="inlineStr">
        <is>
          <t>venue</t>
        </is>
      </c>
      <c r="E309" s="18" t="n">
        <v>99.85005</v>
      </c>
      <c r="F309" s="4" t="inlineStr">
        <is>
          <t>Allbridge Core</t>
        </is>
      </c>
      <c r="G309" s="18" t="n">
        <v>99.68000000000001</v>
      </c>
      <c r="H309" s="15">
        <f>(E309-G309)/100*10000</f>
        <v/>
      </c>
      <c r="I309" s="4" t="inlineStr"/>
    </row>
    <row r="310">
      <c r="A310" s="4" t="inlineStr">
        <is>
          <t>Base → SOL</t>
        </is>
      </c>
      <c r="B310" s="4" t="n">
        <v>1</v>
      </c>
      <c r="C310" s="4" t="inlineStr">
        <is>
          <t>Allbridge Core</t>
        </is>
      </c>
      <c r="D310" s="4" t="inlineStr">
        <is>
          <t>venue</t>
        </is>
      </c>
      <c r="E310" s="18" t="n">
        <v>99.85005</v>
      </c>
      <c r="F310" s="4" t="inlineStr">
        <is>
          <t>Allbridge Core</t>
        </is>
      </c>
      <c r="G310" s="18" t="n">
        <v>99.90000000000001</v>
      </c>
      <c r="H310" s="15">
        <f>(E310-G310)/100*10000</f>
        <v/>
      </c>
      <c r="I310" s="4" t="inlineStr">
        <is>
          <t>yes</t>
        </is>
      </c>
    </row>
    <row r="311">
      <c r="A311" s="4" t="inlineStr">
        <is>
          <t>Base → SOL</t>
        </is>
      </c>
      <c r="B311" s="4" t="n">
        <v>2</v>
      </c>
      <c r="C311" s="4" t="inlineStr">
        <is>
          <t>Allbridge Core</t>
        </is>
      </c>
      <c r="D311" s="4" t="inlineStr">
        <is>
          <t>venue</t>
        </is>
      </c>
      <c r="E311" s="18" t="n">
        <v>99.85005</v>
      </c>
      <c r="F311" s="4" t="inlineStr">
        <is>
          <t>Allbridge Core</t>
        </is>
      </c>
      <c r="G311" s="18" t="n">
        <v>99.90000000000001</v>
      </c>
      <c r="H311" s="15">
        <f>(E311-G311)/100*10000</f>
        <v/>
      </c>
      <c r="I311" s="4" t="inlineStr">
        <is>
          <t>yes</t>
        </is>
      </c>
    </row>
    <row r="312">
      <c r="A312" s="4" t="inlineStr">
        <is>
          <t>Base → SOL</t>
        </is>
      </c>
      <c r="B312" s="4" t="n">
        <v>3</v>
      </c>
      <c r="C312" s="4" t="inlineStr">
        <is>
          <t>Allbridge Core</t>
        </is>
      </c>
      <c r="D312" s="4" t="inlineStr">
        <is>
          <t>venue</t>
        </is>
      </c>
      <c r="E312" s="18" t="n">
        <v>99.85005</v>
      </c>
      <c r="F312" s="4" t="inlineStr">
        <is>
          <t>Allbridge Core</t>
        </is>
      </c>
      <c r="G312" s="18" t="n">
        <v>99.90000000000001</v>
      </c>
      <c r="H312" s="15">
        <f>(E312-G312)/100*10000</f>
        <v/>
      </c>
      <c r="I312" s="4" t="inlineStr">
        <is>
          <t>yes</t>
        </is>
      </c>
    </row>
    <row r="313">
      <c r="A313" s="4" t="inlineStr">
        <is>
          <t>Base → SOL</t>
        </is>
      </c>
      <c r="B313" s="4" t="n">
        <v>1</v>
      </c>
      <c r="C313" s="4" t="inlineStr">
        <is>
          <t>CCTP (via Portal)</t>
        </is>
      </c>
      <c r="D313" s="4" t="inlineStr">
        <is>
          <t>venue</t>
        </is>
      </c>
      <c r="E313" s="18" t="n">
        <v>99.85005</v>
      </c>
      <c r="F313" s="4" t="inlineStr">
        <is>
          <t>Allbridge Core</t>
        </is>
      </c>
      <c r="G313" s="18" t="n">
        <v>99.977001</v>
      </c>
      <c r="H313" s="15">
        <f>(E313-G313)/100*10000</f>
        <v/>
      </c>
      <c r="I313" s="4" t="inlineStr"/>
    </row>
    <row r="314">
      <c r="A314" s="4" t="inlineStr">
        <is>
          <t>Base → SOL</t>
        </is>
      </c>
      <c r="B314" s="4" t="n">
        <v>2</v>
      </c>
      <c r="C314" s="4" t="inlineStr">
        <is>
          <t>CCTP (via Portal)</t>
        </is>
      </c>
      <c r="D314" s="4" t="inlineStr">
        <is>
          <t>venue</t>
        </is>
      </c>
      <c r="E314" s="18" t="n">
        <v>99.85005</v>
      </c>
      <c r="F314" s="4" t="inlineStr">
        <is>
          <t>Allbridge Core</t>
        </is>
      </c>
      <c r="G314" s="18" t="n">
        <v>99.977001</v>
      </c>
      <c r="H314" s="15">
        <f>(E314-G314)/100*10000</f>
        <v/>
      </c>
      <c r="I314" s="4" t="inlineStr"/>
    </row>
    <row r="315">
      <c r="A315" s="4" t="inlineStr">
        <is>
          <t>Base → SOL</t>
        </is>
      </c>
      <c r="B315" s="4" t="n">
        <v>3</v>
      </c>
      <c r="C315" s="4" t="inlineStr">
        <is>
          <t>CCTP (via Portal)</t>
        </is>
      </c>
      <c r="D315" s="4" t="inlineStr">
        <is>
          <t>venue</t>
        </is>
      </c>
      <c r="E315" s="18" t="n">
        <v>99.85005</v>
      </c>
      <c r="F315" s="4" t="inlineStr">
        <is>
          <t>Allbridge Core</t>
        </is>
      </c>
      <c r="G315" s="18" t="n">
        <v>99.977001</v>
      </c>
      <c r="H315" s="15">
        <f>(E315-G315)/100*10000</f>
        <v/>
      </c>
      <c r="I315" s="4" t="inlineStr"/>
    </row>
    <row r="316">
      <c r="A316" s="4" t="inlineStr">
        <is>
          <t>Base → SOL</t>
        </is>
      </c>
      <c r="B316" s="4" t="n">
        <v>1</v>
      </c>
      <c r="C316" s="4" t="inlineStr">
        <is>
          <t>Husher</t>
        </is>
      </c>
      <c r="D316" s="4" t="inlineStr">
        <is>
          <t>venue</t>
        </is>
      </c>
      <c r="E316" s="18" t="n">
        <v>99.85005</v>
      </c>
      <c r="F316" s="4" t="inlineStr">
        <is>
          <t>Allbridge Core</t>
        </is>
      </c>
      <c r="G316" s="18" t="n">
        <v>99.34999999999999</v>
      </c>
      <c r="H316" s="15">
        <f>(E316-G316)/100*10000</f>
        <v/>
      </c>
      <c r="I316" s="4" t="inlineStr"/>
    </row>
    <row r="317">
      <c r="A317" s="4" t="inlineStr">
        <is>
          <t>Base → SOL</t>
        </is>
      </c>
      <c r="B317" s="4" t="n">
        <v>2</v>
      </c>
      <c r="C317" s="4" t="inlineStr">
        <is>
          <t>Husher</t>
        </is>
      </c>
      <c r="D317" s="4" t="inlineStr">
        <is>
          <t>venue</t>
        </is>
      </c>
      <c r="E317" s="18" t="n">
        <v>99.85005</v>
      </c>
      <c r="F317" s="4" t="inlineStr">
        <is>
          <t>Allbridge Core</t>
        </is>
      </c>
      <c r="G317" s="18" t="n">
        <v>99.34999999999999</v>
      </c>
      <c r="H317" s="15">
        <f>(E317-G317)/100*10000</f>
        <v/>
      </c>
      <c r="I317" s="4" t="inlineStr"/>
    </row>
    <row r="318">
      <c r="A318" s="4" t="inlineStr">
        <is>
          <t>Base → SOL</t>
        </is>
      </c>
      <c r="B318" s="4" t="n">
        <v>3</v>
      </c>
      <c r="C318" s="4" t="inlineStr">
        <is>
          <t>Husher</t>
        </is>
      </c>
      <c r="D318" s="4" t="inlineStr">
        <is>
          <t>venue</t>
        </is>
      </c>
      <c r="E318" s="18" t="n">
        <v>99.85005</v>
      </c>
      <c r="F318" s="4" t="inlineStr">
        <is>
          <t>Allbridge Core</t>
        </is>
      </c>
      <c r="G318" s="18" t="n">
        <v>99.34999999999999</v>
      </c>
      <c r="H318" s="15">
        <f>(E318-G318)/100*10000</f>
        <v/>
      </c>
      <c r="I318" s="4" t="inlineStr"/>
    </row>
    <row r="319">
      <c r="A319" s="4" t="inlineStr">
        <is>
          <t>Base → SOL</t>
        </is>
      </c>
      <c r="B319" s="4" t="n">
        <v>1</v>
      </c>
      <c r="C319" s="4" t="inlineStr">
        <is>
          <t>Layerswap</t>
        </is>
      </c>
      <c r="D319" s="4" t="inlineStr">
        <is>
          <t>venue</t>
        </is>
      </c>
      <c r="E319" s="18" t="n">
        <v>99.85005</v>
      </c>
      <c r="F319" s="4" t="inlineStr">
        <is>
          <t>Allbridge Core</t>
        </is>
      </c>
      <c r="G319" s="18" t="n">
        <v>99.67345899999999</v>
      </c>
      <c r="H319" s="15">
        <f>(E319-G319)/100*10000</f>
        <v/>
      </c>
      <c r="I319" s="4" t="inlineStr"/>
    </row>
    <row r="320">
      <c r="A320" s="4" t="inlineStr">
        <is>
          <t>Base → SOL</t>
        </is>
      </c>
      <c r="B320" s="4" t="n">
        <v>2</v>
      </c>
      <c r="C320" s="4" t="inlineStr">
        <is>
          <t>Layerswap</t>
        </is>
      </c>
      <c r="D320" s="4" t="inlineStr">
        <is>
          <t>venue</t>
        </is>
      </c>
      <c r="E320" s="18" t="n">
        <v>99.85005</v>
      </c>
      <c r="F320" s="4" t="inlineStr">
        <is>
          <t>Allbridge Core</t>
        </is>
      </c>
      <c r="G320" s="18" t="n">
        <v>99.673535</v>
      </c>
      <c r="H320" s="15">
        <f>(E320-G320)/100*10000</f>
        <v/>
      </c>
      <c r="I320" s="4" t="inlineStr"/>
    </row>
    <row r="321">
      <c r="A321" s="4" t="inlineStr">
        <is>
          <t>Base → SOL</t>
        </is>
      </c>
      <c r="B321" s="4" t="n">
        <v>3</v>
      </c>
      <c r="C321" s="4" t="inlineStr">
        <is>
          <t>Layerswap</t>
        </is>
      </c>
      <c r="D321" s="4" t="inlineStr">
        <is>
          <t>venue</t>
        </is>
      </c>
      <c r="E321" s="18" t="n">
        <v>99.85005</v>
      </c>
      <c r="F321" s="4" t="inlineStr">
        <is>
          <t>Allbridge Core</t>
        </is>
      </c>
      <c r="G321" s="18" t="n">
        <v>99.673486</v>
      </c>
      <c r="H321" s="15">
        <f>(E321-G321)/100*10000</f>
        <v/>
      </c>
      <c r="I321" s="4" t="inlineStr"/>
    </row>
    <row r="322">
      <c r="A322" s="4" t="inlineStr">
        <is>
          <t>Base → SOL</t>
        </is>
      </c>
      <c r="B322" s="4" t="n">
        <v>1</v>
      </c>
      <c r="C322" s="4" t="inlineStr">
        <is>
          <t>Meson</t>
        </is>
      </c>
      <c r="D322" s="4" t="inlineStr">
        <is>
          <t>venue</t>
        </is>
      </c>
      <c r="E322" s="18" t="n">
        <v>99.85005</v>
      </c>
      <c r="F322" s="4" t="inlineStr">
        <is>
          <t>Allbridge Core</t>
        </is>
      </c>
      <c r="G322" s="18" t="n">
        <v>99.59999999999999</v>
      </c>
      <c r="H322" s="15">
        <f>(E322-G322)/100*10000</f>
        <v/>
      </c>
      <c r="I322" s="4" t="inlineStr"/>
    </row>
    <row r="323">
      <c r="A323" s="4" t="inlineStr">
        <is>
          <t>Base → SOL</t>
        </is>
      </c>
      <c r="B323" s="4" t="n">
        <v>2</v>
      </c>
      <c r="C323" s="4" t="inlineStr">
        <is>
          <t>Meson</t>
        </is>
      </c>
      <c r="D323" s="4" t="inlineStr">
        <is>
          <t>venue</t>
        </is>
      </c>
      <c r="E323" s="18" t="n">
        <v>99.85005</v>
      </c>
      <c r="F323" s="4" t="inlineStr">
        <is>
          <t>Allbridge Core</t>
        </is>
      </c>
      <c r="G323" s="18" t="n">
        <v>99.59999999999999</v>
      </c>
      <c r="H323" s="15">
        <f>(E323-G323)/100*10000</f>
        <v/>
      </c>
      <c r="I323" s="4" t="inlineStr"/>
    </row>
    <row r="324">
      <c r="A324" s="4" t="inlineStr">
        <is>
          <t>Base → SOL</t>
        </is>
      </c>
      <c r="B324" s="4" t="n">
        <v>3</v>
      </c>
      <c r="C324" s="4" t="inlineStr">
        <is>
          <t>Meson</t>
        </is>
      </c>
      <c r="D324" s="4" t="inlineStr">
        <is>
          <t>venue</t>
        </is>
      </c>
      <c r="E324" s="18" t="n">
        <v>99.85005</v>
      </c>
      <c r="F324" s="4" t="inlineStr">
        <is>
          <t>Allbridge Core</t>
        </is>
      </c>
      <c r="G324" s="18" t="n">
        <v>99.59999999999999</v>
      </c>
      <c r="H324" s="15">
        <f>(E324-G324)/100*10000</f>
        <v/>
      </c>
      <c r="I324" s="4" t="inlineStr"/>
    </row>
    <row r="325">
      <c r="A325" s="4" t="inlineStr">
        <is>
          <t>Base → SOL</t>
        </is>
      </c>
      <c r="B325" s="4" t="n">
        <v>3</v>
      </c>
      <c r="C325" s="4" t="inlineStr">
        <is>
          <t>SimpleSwap</t>
        </is>
      </c>
      <c r="D325" s="4" t="inlineStr">
        <is>
          <t>venue</t>
        </is>
      </c>
      <c r="E325" s="18" t="n">
        <v>99.85005</v>
      </c>
      <c r="F325" s="4" t="inlineStr">
        <is>
          <t>Allbridge Core</t>
        </is>
      </c>
      <c r="G325" s="18" t="n">
        <v>98.49063200000001</v>
      </c>
      <c r="H325" s="15">
        <f>(E325-G325)/100*10000</f>
        <v/>
      </c>
      <c r="I325" s="4" t="inlineStr"/>
    </row>
    <row r="326">
      <c r="A326" s="4" t="inlineStr">
        <is>
          <t>Base → SOL</t>
        </is>
      </c>
      <c r="B326" s="4" t="n">
        <v>1</v>
      </c>
      <c r="C326" s="4" t="inlineStr">
        <is>
          <t>Skip Go</t>
        </is>
      </c>
      <c r="D326" s="4" t="inlineStr">
        <is>
          <t>venue</t>
        </is>
      </c>
      <c r="E326" s="18" t="n">
        <v>99.85005</v>
      </c>
      <c r="F326" s="4" t="inlineStr">
        <is>
          <t>Allbridge Core</t>
        </is>
      </c>
      <c r="G326" s="18" t="n">
        <v>99.71571</v>
      </c>
      <c r="H326" s="15">
        <f>(E326-G326)/100*10000</f>
        <v/>
      </c>
      <c r="I326" s="4" t="inlineStr"/>
    </row>
    <row r="327">
      <c r="A327" s="4" t="inlineStr">
        <is>
          <t>Base → SOL</t>
        </is>
      </c>
      <c r="B327" s="4" t="n">
        <v>2</v>
      </c>
      <c r="C327" s="4" t="inlineStr">
        <is>
          <t>Skip Go</t>
        </is>
      </c>
      <c r="D327" s="4" t="inlineStr">
        <is>
          <t>venue</t>
        </is>
      </c>
      <c r="E327" s="18" t="n">
        <v>99.85005</v>
      </c>
      <c r="F327" s="4" t="inlineStr">
        <is>
          <t>Allbridge Core</t>
        </is>
      </c>
      <c r="G327" s="18" t="n">
        <v>99.71585</v>
      </c>
      <c r="H327" s="15">
        <f>(E327-G327)/100*10000</f>
        <v/>
      </c>
      <c r="I327" s="4" t="inlineStr"/>
    </row>
    <row r="328">
      <c r="A328" s="4" t="inlineStr">
        <is>
          <t>Base → SOL</t>
        </is>
      </c>
      <c r="B328" s="4" t="n">
        <v>3</v>
      </c>
      <c r="C328" s="4" t="inlineStr">
        <is>
          <t>Skip Go</t>
        </is>
      </c>
      <c r="D328" s="4" t="inlineStr">
        <is>
          <t>venue</t>
        </is>
      </c>
      <c r="E328" s="18" t="n">
        <v>99.85005</v>
      </c>
      <c r="F328" s="4" t="inlineStr">
        <is>
          <t>Allbridge Core</t>
        </is>
      </c>
      <c r="G328" s="18" t="n">
        <v>99.71585</v>
      </c>
      <c r="H328" s="15">
        <f>(E328-G328)/100*10000</f>
        <v/>
      </c>
      <c r="I328" s="4" t="inlineStr"/>
    </row>
    <row r="329">
      <c r="A329" s="4" t="inlineStr">
        <is>
          <t>Base → SOL</t>
        </is>
      </c>
      <c r="B329" s="4" t="n">
        <v>1</v>
      </c>
      <c r="C329" s="4" t="inlineStr">
        <is>
          <t>Symbiosis</t>
        </is>
      </c>
      <c r="D329" s="4" t="inlineStr">
        <is>
          <t>venue</t>
        </is>
      </c>
      <c r="E329" s="18" t="n">
        <v>99.85005</v>
      </c>
      <c r="F329" s="4" t="inlineStr">
        <is>
          <t>Allbridge Core</t>
        </is>
      </c>
      <c r="G329" s="18" t="n">
        <v>98.40936000000001</v>
      </c>
      <c r="H329" s="15">
        <f>(E329-G329)/100*10000</f>
        <v/>
      </c>
      <c r="I329" s="4" t="inlineStr"/>
    </row>
    <row r="330">
      <c r="A330" s="4" t="inlineStr">
        <is>
          <t>Base → SOL</t>
        </is>
      </c>
      <c r="B330" s="4" t="n">
        <v>2</v>
      </c>
      <c r="C330" s="4" t="inlineStr">
        <is>
          <t>Symbiosis</t>
        </is>
      </c>
      <c r="D330" s="4" t="inlineStr">
        <is>
          <t>venue</t>
        </is>
      </c>
      <c r="E330" s="18" t="n">
        <v>99.85005</v>
      </c>
      <c r="F330" s="4" t="inlineStr">
        <is>
          <t>Allbridge Core</t>
        </is>
      </c>
      <c r="G330" s="18" t="n">
        <v>98.395017</v>
      </c>
      <c r="H330" s="15">
        <f>(E330-G330)/100*10000</f>
        <v/>
      </c>
      <c r="I330" s="4" t="inlineStr"/>
    </row>
    <row r="331">
      <c r="A331" s="4" t="inlineStr">
        <is>
          <t>Base → SOL</t>
        </is>
      </c>
      <c r="B331" s="4" t="n">
        <v>3</v>
      </c>
      <c r="C331" s="4" t="inlineStr">
        <is>
          <t>Symbiosis</t>
        </is>
      </c>
      <c r="D331" s="4" t="inlineStr">
        <is>
          <t>venue</t>
        </is>
      </c>
      <c r="E331" s="18" t="n">
        <v>99.85005</v>
      </c>
      <c r="F331" s="4" t="inlineStr">
        <is>
          <t>Allbridge Core</t>
        </is>
      </c>
      <c r="G331" s="18" t="n">
        <v>98.39485500000001</v>
      </c>
      <c r="H331" s="15">
        <f>(E331-G331)/100*10000</f>
        <v/>
      </c>
      <c r="I331" s="4" t="inlineStr"/>
    </row>
  </sheetData>
  <mergeCells count="4">
    <mergeCell ref="C21:H21"/>
    <mergeCell ref="C22:H22"/>
    <mergeCell ref="C19:H19"/>
    <mergeCell ref="C20:H20"/>
  </mergeCells>
  <conditionalFormatting sqref="H36:H331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C6:H18">
    <cfRule type="cellIs" priority="3" operator="lessThan" dxfId="0">
      <formula>-2</formula>
    </cfRule>
    <cfRule type="cellIs" priority="4" operator="greaterThan" dxfId="1">
      <formula>2</formula>
    </cfRule>
  </conditionalFormatting>
  <conditionalFormatting sqref="E27:E32">
    <cfRule type="cellIs" priority="5" operator="lessThan" dxfId="0">
      <formula>-2</formula>
    </cfRule>
    <cfRule type="cellIs" priority="6" operator="greaterThan" dxfId="1"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13" customWidth="1" min="4" max="4"/>
    <col width="9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8" customWidth="1" min="12" max="12"/>
    <col width="48" customWidth="1" min="13" max="13"/>
    <col width="11" customWidth="1" min="15" max="15"/>
    <col width="16" customWidth="1" min="16" max="16"/>
    <col width="8" customWidth="1" min="17" max="17"/>
    <col width="9" customWidth="1" min="18" max="18"/>
    <col width="12" customWidth="1" min="19" max="19"/>
    <col width="12" customWidth="1" min="20" max="20"/>
    <col width="11" customWidth="1" min="21" max="21"/>
    <col width="11" customWidth="1" min="22" max="22"/>
    <col width="9" customWidth="1" min="23" max="23"/>
    <col width="30" customWidth="1" min="24" max="24"/>
  </cols>
  <sheetData>
    <row r="1">
      <c r="A1" s="1" t="inlineStr">
        <is>
          <t>Venue Analysis — is Bridg's listed quote for each venue the same as the venue's own site?</t>
        </is>
      </c>
    </row>
    <row r="2">
      <c r="A2" s="2" t="inlineStr">
        <is>
          <t>Gap (bps) = (Bridg listed − venue direct) / 100 × 10,000. Ex-fee adds Bridg's platform fee back. Direct = venue out − any USDC fee charged on top of the 100 input. Blue = observed inputs; black = formulas.</t>
        </is>
      </c>
    </row>
    <row r="4" ht="30" customHeight="1">
      <c r="A4" s="17" t="inlineStr">
        <is>
          <t>Route</t>
        </is>
      </c>
      <c r="B4" s="17" t="inlineStr">
        <is>
          <t>Sample</t>
        </is>
      </c>
      <c r="C4" s="17" t="inlineStr">
        <is>
          <t>Venue</t>
        </is>
      </c>
      <c r="D4" s="17" t="inlineStr">
        <is>
          <t>Bridg listed</t>
        </is>
      </c>
      <c r="E4" s="17" t="inlineStr">
        <is>
          <t>Compare only</t>
        </is>
      </c>
      <c r="F4" s="17" t="inlineStr">
        <is>
          <t>Venue out</t>
        </is>
      </c>
      <c r="G4" s="17" t="inlineStr">
        <is>
          <t>USDC fee on top</t>
        </is>
      </c>
      <c r="H4" s="17" t="inlineStr">
        <is>
          <t>Direct (cmp)</t>
        </is>
      </c>
      <c r="I4" s="17" t="inlineStr">
        <is>
          <t>Gap bps</t>
        </is>
      </c>
      <c r="J4" s="17" t="inlineStr">
        <is>
          <t>Bridg fee (USDC)</t>
        </is>
      </c>
      <c r="K4" s="17" t="inlineStr">
        <is>
          <t>Gap ex-fee bps</t>
        </is>
      </c>
      <c r="L4" s="17" t="inlineStr">
        <is>
          <t>Δt (s)</t>
        </is>
      </c>
      <c r="M4" s="17" t="inlineStr">
        <is>
          <t>Note</t>
        </is>
      </c>
      <c r="O4" s="17" t="inlineStr">
        <is>
          <t>Route</t>
        </is>
      </c>
      <c r="P4" s="17" t="inlineStr">
        <is>
          <t>Venue</t>
        </is>
      </c>
      <c r="Q4" s="17" t="inlineStr">
        <is>
          <t>Samples</t>
        </is>
      </c>
      <c r="R4" s="17" t="inlineStr">
        <is>
          <t>Listed on Bridg</t>
        </is>
      </c>
      <c r="S4" s="17" t="inlineStr">
        <is>
          <t>Bridg avg</t>
        </is>
      </c>
      <c r="T4" s="17" t="inlineStr">
        <is>
          <t>Direct avg</t>
        </is>
      </c>
      <c r="U4" s="17" t="inlineStr">
        <is>
          <t>Gap bps (avg)</t>
        </is>
      </c>
      <c r="V4" s="17" t="inlineStr">
        <is>
          <t>Ex-fee bps (avg)</t>
        </is>
      </c>
      <c r="W4" s="17" t="inlineStr">
        <is>
          <t>Tolerance bps</t>
        </is>
      </c>
      <c r="X4" s="17" t="inlineStr">
        <is>
          <t>Verdict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18" t="n">
        <v>99.704762</v>
      </c>
      <c r="E5" s="4" t="inlineStr"/>
      <c r="F5" s="18" t="n">
        <v>99.786475</v>
      </c>
      <c r="G5" s="18" t="n"/>
      <c r="H5" s="16">
        <f>IF(ISNUMBER(F5),F5-N(G5),"")</f>
        <v/>
      </c>
      <c r="I5" s="15">
        <f>IF(AND(ISNUMBER(D5),ISNUMBER(H5)),(D5-H5)/100*10000,"")</f>
        <v/>
      </c>
      <c r="J5" s="18" t="n">
        <v>0.05</v>
      </c>
      <c r="K5" s="15">
        <f>IF(ISNUMBER(I5),I5+N(J5)/100*10000,"")</f>
        <v/>
      </c>
      <c r="L5" s="19" t="n">
        <v>0.532</v>
      </c>
      <c r="M5" s="4" t="inlineStr"/>
      <c r="O5" s="4" t="inlineStr">
        <is>
          <t>SOL → ETH</t>
        </is>
      </c>
      <c r="P5" s="4" t="inlineStr">
        <is>
          <t>Relay</t>
        </is>
      </c>
      <c r="Q5" s="4">
        <f>COUNTIFS($A$5:$A$309,O5,$C$5:$C$309,P5)</f>
        <v/>
      </c>
      <c r="R5" s="4">
        <f>COUNTIFS($A$5:$A$309,O5,$C$5:$C$309,P5,$D$5:$D$309,"&gt;0")</f>
        <v/>
      </c>
      <c r="S5" s="16">
        <f>IFERROR(AVERAGEIFS($D$5:$D$309,$A$5:$A$309,O5,$C$5:$C$309,P5),"—")</f>
        <v/>
      </c>
      <c r="T5" s="16">
        <f>IFERROR(AVERAGEIFS($H$5:$H$309,$A$5:$A$309,O5,$C$5:$C$309,P5),"—")</f>
        <v/>
      </c>
      <c r="U5" s="15">
        <f>IFERROR(AVERAGEIFS($I$5:$I$309,$A$5:$A$309,O5,$C$5:$C$309,P5),"—")</f>
        <v/>
      </c>
      <c r="V5" s="15">
        <f>IFERROR(AVERAGEIFS($K$5:$K$309,$A$5:$A$309,O5,$C$5:$C$309,P5),"—")</f>
        <v/>
      </c>
      <c r="W5" s="20" t="n">
        <v>2</v>
      </c>
      <c r="X5" s="4">
        <f>IF(R5=0,"NOT LISTED on Bridg",IF(NOT(ISNUMBER(V5)),"No direct quote",IF(ABS(V5)&lt;=W5,"Match (net of Bridg fee)",IF(ABS(U5)&lt;=W5,"Match (Bridg fee not applied)",IF(V5&lt;0,"Bridg LOWER than venue","Bridg HIGHER than venue")))))</f>
        <v/>
      </c>
    </row>
    <row r="6">
      <c r="A6" s="4" t="inlineStr">
        <is>
          <t>SOL → ETH</t>
        </is>
      </c>
      <c r="B6" s="4" t="n">
        <v>1</v>
      </c>
      <c r="C6" s="4" t="inlineStr">
        <is>
          <t>Relay</t>
        </is>
      </c>
      <c r="D6" s="18" t="n">
        <v>99.693094</v>
      </c>
      <c r="E6" s="4" t="inlineStr"/>
      <c r="F6" s="18" t="n">
        <v>99.898059</v>
      </c>
      <c r="G6" s="18" t="n"/>
      <c r="H6" s="16">
        <f>IF(ISNUMBER(F6),F6-N(G6),"")</f>
        <v/>
      </c>
      <c r="I6" s="15">
        <f>IF(AND(ISNUMBER(D6),ISNUMBER(H6)),(D6-H6)/100*10000,"")</f>
        <v/>
      </c>
      <c r="J6" s="18" t="n">
        <v>0.05</v>
      </c>
      <c r="K6" s="15">
        <f>IF(ISNUMBER(I6),I6+N(J6)/100*10000,"")</f>
        <v/>
      </c>
      <c r="L6" s="19" t="n">
        <v>0.869</v>
      </c>
      <c r="M6" s="4" t="inlineStr"/>
      <c r="O6" s="4" t="inlineStr">
        <is>
          <t>SOL → ETH</t>
        </is>
      </c>
      <c r="P6" s="4" t="inlineStr">
        <is>
          <t>deBridge</t>
        </is>
      </c>
      <c r="Q6" s="4">
        <f>COUNTIFS($A$5:$A$309,O6,$C$5:$C$309,P6)</f>
        <v/>
      </c>
      <c r="R6" s="4">
        <f>COUNTIFS($A$5:$A$309,O6,$C$5:$C$309,P6,$D$5:$D$309,"&gt;0")</f>
        <v/>
      </c>
      <c r="S6" s="16">
        <f>IFERROR(AVERAGEIFS($D$5:$D$309,$A$5:$A$309,O6,$C$5:$C$309,P6),"—")</f>
        <v/>
      </c>
      <c r="T6" s="16">
        <f>IFERROR(AVERAGEIFS($H$5:$H$309,$A$5:$A$309,O6,$C$5:$C$309,P6),"—")</f>
        <v/>
      </c>
      <c r="U6" s="15">
        <f>IFERROR(AVERAGEIFS($I$5:$I$309,$A$5:$A$309,O6,$C$5:$C$309,P6),"—")</f>
        <v/>
      </c>
      <c r="V6" s="15">
        <f>IFERROR(AVERAGEIFS($K$5:$K$309,$A$5:$A$309,O6,$C$5:$C$309,P6),"—")</f>
        <v/>
      </c>
      <c r="W6" s="20" t="n">
        <v>2</v>
      </c>
      <c r="X6" s="4">
        <f>IF(R6=0,"NOT LISTED on Bridg",IF(NOT(ISNUMBER(V6)),"No direct quote",IF(ABS(V6)&lt;=W6,"Match (net of Bridg fee)",IF(ABS(U6)&lt;=W6,"Match (Bridg fee not applied)",IF(V6&lt;0,"Bridg LOWER than venue","Bridg HIGHER than venue")))))</f>
        <v/>
      </c>
    </row>
    <row r="7">
      <c r="A7" s="4" t="inlineStr">
        <is>
          <t>SOL → ETH</t>
        </is>
      </c>
      <c r="B7" s="4" t="n">
        <v>2</v>
      </c>
      <c r="C7" s="4" t="inlineStr">
        <is>
          <t>Relay</t>
        </is>
      </c>
      <c r="D7" s="18" t="n">
        <v>99.592062</v>
      </c>
      <c r="E7" s="4" t="inlineStr"/>
      <c r="F7" s="18" t="n">
        <v>99.725416</v>
      </c>
      <c r="G7" s="18" t="n"/>
      <c r="H7" s="16">
        <f>IF(ISNUMBER(F7),F7-N(G7),"")</f>
        <v/>
      </c>
      <c r="I7" s="15">
        <f>IF(AND(ISNUMBER(D7),ISNUMBER(H7)),(D7-H7)/100*10000,"")</f>
        <v/>
      </c>
      <c r="J7" s="18" t="n">
        <v>0.05</v>
      </c>
      <c r="K7" s="15">
        <f>IF(ISNUMBER(I7),I7+N(J7)/100*10000,"")</f>
        <v/>
      </c>
      <c r="L7" s="19" t="n">
        <v>1.262</v>
      </c>
      <c r="M7" s="4" t="inlineStr"/>
      <c r="O7" s="4" t="inlineStr">
        <is>
          <t>SOL → ETH</t>
        </is>
      </c>
      <c r="P7" s="4" t="inlineStr">
        <is>
          <t>LI.FI (Jumper)</t>
        </is>
      </c>
      <c r="Q7" s="4">
        <f>COUNTIFS($A$5:$A$309,O7,$C$5:$C$309,P7)</f>
        <v/>
      </c>
      <c r="R7" s="4">
        <f>COUNTIFS($A$5:$A$309,O7,$C$5:$C$309,P7,$D$5:$D$309,"&gt;0")</f>
        <v/>
      </c>
      <c r="S7" s="16">
        <f>IFERROR(AVERAGEIFS($D$5:$D$309,$A$5:$A$309,O7,$C$5:$C$309,P7),"—")</f>
        <v/>
      </c>
      <c r="T7" s="16">
        <f>IFERROR(AVERAGEIFS($H$5:$H$309,$A$5:$A$309,O7,$C$5:$C$309,P7),"—")</f>
        <v/>
      </c>
      <c r="U7" s="15">
        <f>IFERROR(AVERAGEIFS($I$5:$I$309,$A$5:$A$309,O7,$C$5:$C$309,P7),"—")</f>
        <v/>
      </c>
      <c r="V7" s="15">
        <f>IFERROR(AVERAGEIFS($K$5:$K$309,$A$5:$A$309,O7,$C$5:$C$309,P7),"—")</f>
        <v/>
      </c>
      <c r="W7" s="20" t="n">
        <v>2</v>
      </c>
      <c r="X7" s="4">
        <f>IF(R7=0,"NOT LISTED on Bridg",IF(NOT(ISNUMBER(V7)),"No direct quote",IF(ABS(V7)&lt;=W7,"Match (net of Bridg fee)",IF(ABS(U7)&lt;=W7,"Match (Bridg fee not applied)",IF(V7&lt;0,"Bridg LOWER than venue","Bridg HIGHER than venue")))))</f>
        <v/>
      </c>
    </row>
    <row r="8">
      <c r="A8" s="4" t="inlineStr">
        <is>
          <t>SOL → ETH</t>
        </is>
      </c>
      <c r="B8" s="4" t="n">
        <v>2</v>
      </c>
      <c r="C8" s="4" t="inlineStr">
        <is>
          <t>Relay</t>
        </is>
      </c>
      <c r="D8" s="18" t="n">
        <v>99.811177</v>
      </c>
      <c r="E8" s="4" t="inlineStr"/>
      <c r="F8" s="18" t="n">
        <v>99.889167</v>
      </c>
      <c r="G8" s="18" t="n"/>
      <c r="H8" s="16">
        <f>IF(ISNUMBER(F8),F8-N(G8),"")</f>
        <v/>
      </c>
      <c r="I8" s="15">
        <f>IF(AND(ISNUMBER(D8),ISNUMBER(H8)),(D8-H8)/100*10000,"")</f>
        <v/>
      </c>
      <c r="J8" s="18" t="n">
        <v>0.05</v>
      </c>
      <c r="K8" s="15">
        <f>IF(ISNUMBER(I8),I8+N(J8)/100*10000,"")</f>
        <v/>
      </c>
      <c r="L8" s="19" t="n">
        <v>0.866</v>
      </c>
      <c r="M8" s="4" t="inlineStr"/>
      <c r="O8" s="4" t="inlineStr">
        <is>
          <t>SOL → ETH</t>
        </is>
      </c>
      <c r="P8" s="4" t="inlineStr">
        <is>
          <t>Across</t>
        </is>
      </c>
      <c r="Q8" s="4">
        <f>COUNTIFS($A$5:$A$309,O8,$C$5:$C$309,P8)</f>
        <v/>
      </c>
      <c r="R8" s="4">
        <f>COUNTIFS($A$5:$A$309,O8,$C$5:$C$309,P8,$D$5:$D$309,"&gt;0")</f>
        <v/>
      </c>
      <c r="S8" s="16">
        <f>IFERROR(AVERAGEIFS($D$5:$D$309,$A$5:$A$309,O8,$C$5:$C$309,P8),"—")</f>
        <v/>
      </c>
      <c r="T8" s="16">
        <f>IFERROR(AVERAGEIFS($H$5:$H$309,$A$5:$A$309,O8,$C$5:$C$309,P8),"—")</f>
        <v/>
      </c>
      <c r="U8" s="15">
        <f>IFERROR(AVERAGEIFS($I$5:$I$309,$A$5:$A$309,O8,$C$5:$C$309,P8),"—")</f>
        <v/>
      </c>
      <c r="V8" s="15">
        <f>IFERROR(AVERAGEIFS($K$5:$K$309,$A$5:$A$309,O8,$C$5:$C$309,P8),"—")</f>
        <v/>
      </c>
      <c r="W8" s="20" t="n">
        <v>2</v>
      </c>
      <c r="X8" s="4">
        <f>IF(R8=0,"NOT LISTED on Bridg",IF(NOT(ISNUMBER(V8)),"No direct quote",IF(ABS(V8)&lt;=W8,"Match (net of Bridg fee)",IF(ABS(U8)&lt;=W8,"Match (Bridg fee not applied)",IF(V8&lt;0,"Bridg LOWER than venue","Bridg HIGHER than venue")))))</f>
        <v/>
      </c>
    </row>
    <row r="9">
      <c r="A9" s="4" t="inlineStr">
        <is>
          <t>SOL → ETH</t>
        </is>
      </c>
      <c r="B9" s="4" t="n">
        <v>3</v>
      </c>
      <c r="C9" s="4" t="inlineStr">
        <is>
          <t>Relay</t>
        </is>
      </c>
      <c r="D9" s="18" t="n">
        <v>99.77565300000001</v>
      </c>
      <c r="E9" s="4" t="inlineStr"/>
      <c r="F9" s="18" t="n">
        <v>99.86262000000001</v>
      </c>
      <c r="G9" s="18" t="n"/>
      <c r="H9" s="16">
        <f>IF(ISNUMBER(F9),F9-N(G9),"")</f>
        <v/>
      </c>
      <c r="I9" s="15">
        <f>IF(AND(ISNUMBER(D9),ISNUMBER(H9)),(D9-H9)/100*10000,"")</f>
        <v/>
      </c>
      <c r="J9" s="18" t="n">
        <v>0.05</v>
      </c>
      <c r="K9" s="15">
        <f>IF(ISNUMBER(I9),I9+N(J9)/100*10000,"")</f>
        <v/>
      </c>
      <c r="L9" s="19" t="n">
        <v>0.549</v>
      </c>
      <c r="M9" s="4" t="inlineStr"/>
      <c r="O9" s="4" t="inlineStr">
        <is>
          <t>SOL → ETH</t>
        </is>
      </c>
      <c r="P9" s="4" t="inlineStr">
        <is>
          <t>Mayan</t>
        </is>
      </c>
      <c r="Q9" s="4">
        <f>COUNTIFS($A$5:$A$309,O9,$C$5:$C$309,P9)</f>
        <v/>
      </c>
      <c r="R9" s="4">
        <f>COUNTIFS($A$5:$A$309,O9,$C$5:$C$309,P9,$D$5:$D$309,"&gt;0")</f>
        <v/>
      </c>
      <c r="S9" s="16">
        <f>IFERROR(AVERAGEIFS($D$5:$D$309,$A$5:$A$309,O9,$C$5:$C$309,P9),"—")</f>
        <v/>
      </c>
      <c r="T9" s="16">
        <f>IFERROR(AVERAGEIFS($H$5:$H$309,$A$5:$A$309,O9,$C$5:$C$309,P9),"—")</f>
        <v/>
      </c>
      <c r="U9" s="15">
        <f>IFERROR(AVERAGEIFS($I$5:$I$309,$A$5:$A$309,O9,$C$5:$C$309,P9),"—")</f>
        <v/>
      </c>
      <c r="V9" s="15">
        <f>IFERROR(AVERAGEIFS($K$5:$K$309,$A$5:$A$309,O9,$C$5:$C$309,P9),"—")</f>
        <v/>
      </c>
      <c r="W9" s="20" t="n">
        <v>4</v>
      </c>
      <c r="X9" s="4">
        <f>IF(R9=0,"NOT LISTED on Bridg",IF(NOT(ISNUMBER(V9)),"No direct quote",IF(ABS(V9)&lt;=W9,"Match (net of Bridg fee)",IF(ABS(U9)&lt;=W9,"Match (Bridg fee not applied)",IF(V9&lt;0,"Bridg LOWER than venue","Bridg HIGHER than venue")))))</f>
        <v/>
      </c>
    </row>
    <row r="10">
      <c r="A10" s="4" t="inlineStr">
        <is>
          <t>SOL → ETH</t>
        </is>
      </c>
      <c r="B10" s="4" t="n">
        <v>3</v>
      </c>
      <c r="C10" s="4" t="inlineStr">
        <is>
          <t>Relay</t>
        </is>
      </c>
      <c r="D10" s="18" t="n">
        <v>99.681636</v>
      </c>
      <c r="E10" s="4" t="inlineStr"/>
      <c r="F10" s="18" t="n">
        <v>99.89036900000001</v>
      </c>
      <c r="G10" s="18" t="n"/>
      <c r="H10" s="16">
        <f>IF(ISNUMBER(F10),F10-N(G10),"")</f>
        <v/>
      </c>
      <c r="I10" s="15">
        <f>IF(AND(ISNUMBER(D10),ISNUMBER(H10)),(D10-H10)/100*10000,"")</f>
        <v/>
      </c>
      <c r="J10" s="18" t="n">
        <v>0.05</v>
      </c>
      <c r="K10" s="15">
        <f>IF(ISNUMBER(I10),I10+N(J10)/100*10000,"")</f>
        <v/>
      </c>
      <c r="L10" s="19" t="n">
        <v>0.831</v>
      </c>
      <c r="M10" s="4" t="inlineStr"/>
      <c r="O10" s="4" t="inlineStr">
        <is>
          <t>SOL → ETH</t>
        </is>
      </c>
      <c r="P10" s="4" t="inlineStr">
        <is>
          <t>Allbridge Core</t>
        </is>
      </c>
      <c r="Q10" s="4">
        <f>COUNTIFS($A$5:$A$309,O10,$C$5:$C$309,P10)</f>
        <v/>
      </c>
      <c r="R10" s="4">
        <f>COUNTIFS($A$5:$A$309,O10,$C$5:$C$309,P10,$D$5:$D$309,"&gt;0")</f>
        <v/>
      </c>
      <c r="S10" s="16">
        <f>IFERROR(AVERAGEIFS($D$5:$D$309,$A$5:$A$309,O10,$C$5:$C$309,P10),"—")</f>
        <v/>
      </c>
      <c r="T10" s="16">
        <f>IFERROR(AVERAGEIFS($H$5:$H$309,$A$5:$A$309,O10,$C$5:$C$309,P10),"—")</f>
        <v/>
      </c>
      <c r="U10" s="15">
        <f>IFERROR(AVERAGEIFS($I$5:$I$309,$A$5:$A$309,O10,$C$5:$C$309,P10),"—")</f>
        <v/>
      </c>
      <c r="V10" s="15">
        <f>IFERROR(AVERAGEIFS($K$5:$K$309,$A$5:$A$309,O10,$C$5:$C$309,P10),"—")</f>
        <v/>
      </c>
      <c r="W10" s="20" t="n">
        <v>2</v>
      </c>
      <c r="X10" s="4">
        <f>IF(R10=0,"NOT LISTED on Bridg",IF(NOT(ISNUMBER(V10)),"No direct quote",IF(ABS(V10)&lt;=W10,"Match (net of Bridg fee)",IF(ABS(U10)&lt;=W10,"Match (Bridg fee not applied)",IF(V10&lt;0,"Bridg LOWER than venue","Bridg HIGHER than venue")))))</f>
        <v/>
      </c>
    </row>
    <row r="11">
      <c r="A11" s="4" t="inlineStr">
        <is>
          <t>SOL → ETH</t>
        </is>
      </c>
      <c r="B11" s="4" t="n">
        <v>1</v>
      </c>
      <c r="C11" s="4" t="inlineStr">
        <is>
          <t>deBridge</t>
        </is>
      </c>
      <c r="D11" s="18" t="n">
        <v>98.654123</v>
      </c>
      <c r="E11" s="4" t="inlineStr"/>
      <c r="F11" s="18" t="n">
        <v>99.920018</v>
      </c>
      <c r="G11" s="18" t="n">
        <v>1.2928</v>
      </c>
      <c r="H11" s="16">
        <f>IF(ISNUMBER(F11),F11-N(G11),"")</f>
        <v/>
      </c>
      <c r="I11" s="15">
        <f>IF(AND(ISNUMBER(D11),ISNUMBER(H11)),(D11-H11)/100*10000,"")</f>
        <v/>
      </c>
      <c r="J11" s="18" t="n">
        <v>0.05</v>
      </c>
      <c r="K11" s="15">
        <f>IF(ISNUMBER(I11),I11+N(J11)/100*10000,"")</f>
        <v/>
      </c>
      <c r="L11" s="19" t="n">
        <v>0.552</v>
      </c>
      <c r="M11" s="4" t="inlineStr">
        <is>
          <t>+1.2928 USDC charged on top of 100 input (subtracted)</t>
        </is>
      </c>
      <c r="O11" s="4" t="inlineStr">
        <is>
          <t>SOL → ETH</t>
        </is>
      </c>
      <c r="P11" s="4" t="inlineStr">
        <is>
          <t>CCTP (via Portal)</t>
        </is>
      </c>
      <c r="Q11" s="4">
        <f>COUNTIFS($A$5:$A$309,O11,$C$5:$C$309,P11)</f>
        <v/>
      </c>
      <c r="R11" s="4">
        <f>COUNTIFS($A$5:$A$309,O11,$C$5:$C$309,P11,$D$5:$D$309,"&gt;0")</f>
        <v/>
      </c>
      <c r="S11" s="16">
        <f>IFERROR(AVERAGEIFS($D$5:$D$309,$A$5:$A$309,O11,$C$5:$C$309,P11),"—")</f>
        <v/>
      </c>
      <c r="T11" s="16">
        <f>IFERROR(AVERAGEIFS($H$5:$H$309,$A$5:$A$309,O11,$C$5:$C$309,P11),"—")</f>
        <v/>
      </c>
      <c r="U11" s="15">
        <f>IFERROR(AVERAGEIFS($I$5:$I$309,$A$5:$A$309,O11,$C$5:$C$309,P11),"—")</f>
        <v/>
      </c>
      <c r="V11" s="15">
        <f>IFERROR(AVERAGEIFS($K$5:$K$309,$A$5:$A$309,O11,$C$5:$C$309,P11),"—")</f>
        <v/>
      </c>
      <c r="W11" s="20" t="n">
        <v>2</v>
      </c>
      <c r="X11" s="4">
        <f>IF(R11=0,"NOT LISTED on Bridg",IF(NOT(ISNUMBER(V11)),"No direct quote",IF(ABS(V11)&lt;=W11,"Match (net of Bridg fee)",IF(ABS(U11)&lt;=W11,"Match (Bridg fee not applied)",IF(V11&lt;0,"Bridg LOWER than venue","Bridg HIGHER than venue")))))</f>
        <v/>
      </c>
    </row>
    <row r="12">
      <c r="A12" s="4" t="inlineStr">
        <is>
          <t>SOL → ETH</t>
        </is>
      </c>
      <c r="B12" s="4" t="n">
        <v>1</v>
      </c>
      <c r="C12" s="4" t="inlineStr">
        <is>
          <t>deBridge</t>
        </is>
      </c>
      <c r="D12" s="18" t="n">
        <v>98.66374500000001</v>
      </c>
      <c r="E12" s="4" t="inlineStr"/>
      <c r="F12" s="18" t="n">
        <v>99.880033</v>
      </c>
      <c r="G12" s="18" t="n">
        <v>1.696</v>
      </c>
      <c r="H12" s="16">
        <f>IF(ISNUMBER(F12),F12-N(G12),"")</f>
        <v/>
      </c>
      <c r="I12" s="15">
        <f>IF(AND(ISNUMBER(D12),ISNUMBER(H12)),(D12-H12)/100*10000,"")</f>
        <v/>
      </c>
      <c r="J12" s="18" t="n">
        <v>0.05</v>
      </c>
      <c r="K12" s="15">
        <f>IF(ISNUMBER(I12),I12+N(J12)/100*10000,"")</f>
        <v/>
      </c>
      <c r="L12" s="19" t="n">
        <v>1.046</v>
      </c>
      <c r="M12" s="4" t="inlineStr">
        <is>
          <t>+1.696 USDC charged on top of 100 input (subtracted)</t>
        </is>
      </c>
      <c r="O12" s="4" t="inlineStr">
        <is>
          <t>SOL → ETH</t>
        </is>
      </c>
      <c r="P12" s="4" t="inlineStr">
        <is>
          <t>Husher</t>
        </is>
      </c>
      <c r="Q12" s="4">
        <f>COUNTIFS($A$5:$A$309,O12,$C$5:$C$309,P12)</f>
        <v/>
      </c>
      <c r="R12" s="4">
        <f>COUNTIFS($A$5:$A$309,O12,$C$5:$C$309,P12,$D$5:$D$309,"&gt;0")</f>
        <v/>
      </c>
      <c r="S12" s="16">
        <f>IFERROR(AVERAGEIFS($D$5:$D$309,$A$5:$A$309,O12,$C$5:$C$309,P12),"—")</f>
        <v/>
      </c>
      <c r="T12" s="16">
        <f>IFERROR(AVERAGEIFS($H$5:$H$309,$A$5:$A$309,O12,$C$5:$C$309,P12),"—")</f>
        <v/>
      </c>
      <c r="U12" s="15">
        <f>IFERROR(AVERAGEIFS($I$5:$I$309,$A$5:$A$309,O12,$C$5:$C$309,P12),"—")</f>
        <v/>
      </c>
      <c r="V12" s="15">
        <f>IFERROR(AVERAGEIFS($K$5:$K$309,$A$5:$A$309,O12,$C$5:$C$309,P12),"—")</f>
        <v/>
      </c>
      <c r="W12" s="20" t="n">
        <v>2</v>
      </c>
      <c r="X12" s="4">
        <f>IF(R12=0,"NOT LISTED on Bridg",IF(NOT(ISNUMBER(V12)),"No direct quote",IF(ABS(V12)&lt;=W12,"Match (net of Bridg fee)",IF(ABS(U12)&lt;=W12,"Match (Bridg fee not applied)",IF(V12&lt;0,"Bridg LOWER than venue","Bridg HIGHER than venue")))))</f>
        <v/>
      </c>
    </row>
    <row r="13">
      <c r="A13" s="4" t="inlineStr">
        <is>
          <t>SOL → ETH</t>
        </is>
      </c>
      <c r="B13" s="4" t="n">
        <v>2</v>
      </c>
      <c r="C13" s="4" t="inlineStr">
        <is>
          <t>deBridge</t>
        </is>
      </c>
      <c r="D13" s="18" t="n">
        <v>98.582194</v>
      </c>
      <c r="E13" s="4" t="inlineStr"/>
      <c r="F13" s="18" t="n">
        <v>99.920018</v>
      </c>
      <c r="G13" s="18" t="n">
        <v>1.3389</v>
      </c>
      <c r="H13" s="16">
        <f>IF(ISNUMBER(F13),F13-N(G13),"")</f>
        <v/>
      </c>
      <c r="I13" s="15">
        <f>IF(AND(ISNUMBER(D13),ISNUMBER(H13)),(D13-H13)/100*10000,"")</f>
        <v/>
      </c>
      <c r="J13" s="18" t="n">
        <v>0.1</v>
      </c>
      <c r="K13" s="15">
        <f>IF(ISNUMBER(I13),I13+N(J13)/100*10000,"")</f>
        <v/>
      </c>
      <c r="L13" s="19" t="n">
        <v>0.762</v>
      </c>
      <c r="M13" s="4" t="inlineStr">
        <is>
          <t>+1.3389 USDC charged on top of 100 input (subtracted)</t>
        </is>
      </c>
      <c r="O13" s="4" t="inlineStr">
        <is>
          <t>SOL → ETH</t>
        </is>
      </c>
      <c r="P13" s="4" t="inlineStr">
        <is>
          <t>Layerswap</t>
        </is>
      </c>
      <c r="Q13" s="4">
        <f>COUNTIFS($A$5:$A$309,O13,$C$5:$C$309,P13)</f>
        <v/>
      </c>
      <c r="R13" s="4">
        <f>COUNTIFS($A$5:$A$309,O13,$C$5:$C$309,P13,$D$5:$D$309,"&gt;0")</f>
        <v/>
      </c>
      <c r="S13" s="16">
        <f>IFERROR(AVERAGEIFS($D$5:$D$309,$A$5:$A$309,O13,$C$5:$C$309,P13),"—")</f>
        <v/>
      </c>
      <c r="T13" s="16">
        <f>IFERROR(AVERAGEIFS($H$5:$H$309,$A$5:$A$309,O13,$C$5:$C$309,P13),"—")</f>
        <v/>
      </c>
      <c r="U13" s="15">
        <f>IFERROR(AVERAGEIFS($I$5:$I$309,$A$5:$A$309,O13,$C$5:$C$309,P13),"—")</f>
        <v/>
      </c>
      <c r="V13" s="15">
        <f>IFERROR(AVERAGEIFS($K$5:$K$309,$A$5:$A$309,O13,$C$5:$C$309,P13),"—")</f>
        <v/>
      </c>
      <c r="W13" s="20" t="n">
        <v>2</v>
      </c>
      <c r="X13" s="4">
        <f>IF(R13=0,"NOT LISTED on Bridg",IF(NOT(ISNUMBER(V13)),"No direct quote",IF(ABS(V13)&lt;=W13,"Match (net of Bridg fee)",IF(ABS(U13)&lt;=W13,"Match (Bridg fee not applied)",IF(V13&lt;0,"Bridg LOWER than venue","Bridg HIGHER than venue")))))</f>
        <v/>
      </c>
    </row>
    <row r="14">
      <c r="A14" s="4" t="inlineStr">
        <is>
          <t>SOL → ETH</t>
        </is>
      </c>
      <c r="B14" s="4" t="n">
        <v>2</v>
      </c>
      <c r="C14" s="4" t="inlineStr">
        <is>
          <t>deBridge</t>
        </is>
      </c>
      <c r="D14" s="18" t="n">
        <v>98.677899</v>
      </c>
      <c r="E14" s="4" t="inlineStr"/>
      <c r="F14" s="18" t="n">
        <v>99.920018</v>
      </c>
      <c r="G14" s="18" t="n">
        <v>1.2432</v>
      </c>
      <c r="H14" s="16">
        <f>IF(ISNUMBER(F14),F14-N(G14),"")</f>
        <v/>
      </c>
      <c r="I14" s="15">
        <f>IF(AND(ISNUMBER(D14),ISNUMBER(H14)),(D14-H14)/100*10000,"")</f>
        <v/>
      </c>
      <c r="J14" s="18" t="n">
        <v>0.05</v>
      </c>
      <c r="K14" s="15">
        <f>IF(ISNUMBER(I14),I14+N(J14)/100*10000,"")</f>
        <v/>
      </c>
      <c r="L14" s="19" t="n">
        <v>0.534</v>
      </c>
      <c r="M14" s="4" t="inlineStr">
        <is>
          <t>+1.2432 USDC charged on top of 100 input (subtracted)</t>
        </is>
      </c>
      <c r="O14" s="4" t="inlineStr">
        <is>
          <t>SOL → ETH</t>
        </is>
      </c>
      <c r="P14" s="4" t="inlineStr">
        <is>
          <t>Meson</t>
        </is>
      </c>
      <c r="Q14" s="4">
        <f>COUNTIFS($A$5:$A$309,O14,$C$5:$C$309,P14)</f>
        <v/>
      </c>
      <c r="R14" s="4">
        <f>COUNTIFS($A$5:$A$309,O14,$C$5:$C$309,P14,$D$5:$D$309,"&gt;0")</f>
        <v/>
      </c>
      <c r="S14" s="16">
        <f>IFERROR(AVERAGEIFS($D$5:$D$309,$A$5:$A$309,O14,$C$5:$C$309,P14),"—")</f>
        <v/>
      </c>
      <c r="T14" s="16">
        <f>IFERROR(AVERAGEIFS($H$5:$H$309,$A$5:$A$309,O14,$C$5:$C$309,P14),"—")</f>
        <v/>
      </c>
      <c r="U14" s="15">
        <f>IFERROR(AVERAGEIFS($I$5:$I$309,$A$5:$A$309,O14,$C$5:$C$309,P14),"—")</f>
        <v/>
      </c>
      <c r="V14" s="15">
        <f>IFERROR(AVERAGEIFS($K$5:$K$309,$A$5:$A$309,O14,$C$5:$C$309,P14),"—")</f>
        <v/>
      </c>
      <c r="W14" s="20" t="n">
        <v>2</v>
      </c>
      <c r="X14" s="4">
        <f>IF(R14=0,"NOT LISTED on Bridg",IF(NOT(ISNUMBER(V14)),"No direct quote",IF(ABS(V14)&lt;=W14,"Match (net of Bridg fee)",IF(ABS(U14)&lt;=W14,"Match (Bridg fee not applied)",IF(V14&lt;0,"Bridg LOWER than venue","Bridg HIGHER than venue")))))</f>
        <v/>
      </c>
    </row>
    <row r="15">
      <c r="A15" s="4" t="inlineStr">
        <is>
          <t>SOL → ETH</t>
        </is>
      </c>
      <c r="B15" s="4" t="n">
        <v>3</v>
      </c>
      <c r="C15" s="4" t="inlineStr">
        <is>
          <t>deBridge</t>
        </is>
      </c>
      <c r="D15" s="18" t="n">
        <v>98.61745999999999</v>
      </c>
      <c r="E15" s="4" t="inlineStr"/>
      <c r="F15" s="18" t="n">
        <v>99.88003399999999</v>
      </c>
      <c r="G15" s="18" t="n">
        <v>1.734</v>
      </c>
      <c r="H15" s="16">
        <f>IF(ISNUMBER(F15),F15-N(G15),"")</f>
        <v/>
      </c>
      <c r="I15" s="15">
        <f>IF(AND(ISNUMBER(D15),ISNUMBER(H15)),(D15-H15)/100*10000,"")</f>
        <v/>
      </c>
      <c r="J15" s="18" t="n">
        <v>0.05</v>
      </c>
      <c r="K15" s="15">
        <f>IF(ISNUMBER(I15),I15+N(J15)/100*10000,"")</f>
        <v/>
      </c>
      <c r="L15" s="19" t="n">
        <v>1.311</v>
      </c>
      <c r="M15" s="4" t="inlineStr">
        <is>
          <t>+1.734 USDC charged on top of 100 input (subtracted)</t>
        </is>
      </c>
      <c r="O15" s="4" t="inlineStr">
        <is>
          <t>SOL → ETH</t>
        </is>
      </c>
      <c r="P15" s="4" t="inlineStr">
        <is>
          <t>SimpleSwap</t>
        </is>
      </c>
      <c r="Q15" s="4">
        <f>COUNTIFS($A$5:$A$309,O15,$C$5:$C$309,P15)</f>
        <v/>
      </c>
      <c r="R15" s="4">
        <f>COUNTIFS($A$5:$A$309,O15,$C$5:$C$309,P15,$D$5:$D$309,"&gt;0")</f>
        <v/>
      </c>
      <c r="S15" s="16">
        <f>IFERROR(AVERAGEIFS($D$5:$D$309,$A$5:$A$309,O15,$C$5:$C$309,P15),"—")</f>
        <v/>
      </c>
      <c r="T15" s="16">
        <f>IFERROR(AVERAGEIFS($H$5:$H$309,$A$5:$A$309,O15,$C$5:$C$309,P15),"—")</f>
        <v/>
      </c>
      <c r="U15" s="15">
        <f>IFERROR(AVERAGEIFS($I$5:$I$309,$A$5:$A$309,O15,$C$5:$C$309,P15),"—")</f>
        <v/>
      </c>
      <c r="V15" s="15">
        <f>IFERROR(AVERAGEIFS($K$5:$K$309,$A$5:$A$309,O15,$C$5:$C$309,P15),"—")</f>
        <v/>
      </c>
      <c r="W15" s="20" t="n">
        <v>2</v>
      </c>
      <c r="X15" s="4">
        <f>IF(R15=0,"NOT LISTED on Bridg",IF(NOT(ISNUMBER(V15)),"No direct quote",IF(ABS(V15)&lt;=W15,"Match (net of Bridg fee)",IF(ABS(U15)&lt;=W15,"Match (Bridg fee not applied)",IF(V15&lt;0,"Bridg LOWER than venue","Bridg HIGHER than venue")))))</f>
        <v/>
      </c>
    </row>
    <row r="16">
      <c r="A16" s="4" t="inlineStr">
        <is>
          <t>SOL → ETH</t>
        </is>
      </c>
      <c r="B16" s="4" t="n">
        <v>3</v>
      </c>
      <c r="C16" s="4" t="inlineStr">
        <is>
          <t>deBridge</t>
        </is>
      </c>
      <c r="D16" s="18" t="n">
        <v>98.66315</v>
      </c>
      <c r="E16" s="4" t="inlineStr"/>
      <c r="F16" s="18" t="n">
        <v>99.880033</v>
      </c>
      <c r="G16" s="18" t="n">
        <v>1.7011</v>
      </c>
      <c r="H16" s="16">
        <f>IF(ISNUMBER(F16),F16-N(G16),"")</f>
        <v/>
      </c>
      <c r="I16" s="15">
        <f>IF(AND(ISNUMBER(D16),ISNUMBER(H16)),(D16-H16)/100*10000,"")</f>
        <v/>
      </c>
      <c r="J16" s="18" t="n">
        <v>0.05</v>
      </c>
      <c r="K16" s="15">
        <f>IF(ISNUMBER(I16),I16+N(J16)/100*10000,"")</f>
        <v/>
      </c>
      <c r="L16" s="19" t="n">
        <v>1.084</v>
      </c>
      <c r="M16" s="4" t="inlineStr">
        <is>
          <t>+1.7011 USDC charged on top of 100 input (subtracted)</t>
        </is>
      </c>
      <c r="O16" s="4" t="inlineStr">
        <is>
          <t>SOL → ETH</t>
        </is>
      </c>
      <c r="P16" s="4" t="inlineStr">
        <is>
          <t>Skip Go</t>
        </is>
      </c>
      <c r="Q16" s="4">
        <f>COUNTIFS($A$5:$A$309,O16,$C$5:$C$309,P16)</f>
        <v/>
      </c>
      <c r="R16" s="4">
        <f>COUNTIFS($A$5:$A$309,O16,$C$5:$C$309,P16,$D$5:$D$309,"&gt;0")</f>
        <v/>
      </c>
      <c r="S16" s="16">
        <f>IFERROR(AVERAGEIFS($D$5:$D$309,$A$5:$A$309,O16,$C$5:$C$309,P16),"—")</f>
        <v/>
      </c>
      <c r="T16" s="16">
        <f>IFERROR(AVERAGEIFS($H$5:$H$309,$A$5:$A$309,O16,$C$5:$C$309,P16),"—")</f>
        <v/>
      </c>
      <c r="U16" s="15">
        <f>IFERROR(AVERAGEIFS($I$5:$I$309,$A$5:$A$309,O16,$C$5:$C$309,P16),"—")</f>
        <v/>
      </c>
      <c r="V16" s="15">
        <f>IFERROR(AVERAGEIFS($K$5:$K$309,$A$5:$A$309,O16,$C$5:$C$309,P16),"—")</f>
        <v/>
      </c>
      <c r="W16" s="20" t="n">
        <v>2</v>
      </c>
      <c r="X16" s="4">
        <f>IF(R16=0,"NOT LISTED on Bridg",IF(NOT(ISNUMBER(V16)),"No direct quote",IF(ABS(V16)&lt;=W16,"Match (net of Bridg fee)",IF(ABS(U16)&lt;=W16,"Match (Bridg fee not applied)",IF(V16&lt;0,"Bridg LOWER than venue","Bridg HIGHER than venue")))))</f>
        <v/>
      </c>
    </row>
    <row r="17">
      <c r="A17" s="4" t="inlineStr">
        <is>
          <t>SOL → ETH</t>
        </is>
      </c>
      <c r="B17" s="4" t="n">
        <v>1</v>
      </c>
      <c r="C17" s="4" t="inlineStr">
        <is>
          <t>LI.FI (Jumper)</t>
        </is>
      </c>
      <c r="D17" s="18" t="n">
        <v>99.01169899999999</v>
      </c>
      <c r="E17" s="4" t="inlineStr"/>
      <c r="F17" s="18" t="n">
        <v>99.786475</v>
      </c>
      <c r="G17" s="18" t="n"/>
      <c r="H17" s="16">
        <f>IF(ISNUMBER(F17),F17-N(G17),"")</f>
        <v/>
      </c>
      <c r="I17" s="15">
        <f>IF(AND(ISNUMBER(D17),ISNUMBER(H17)),(D17-H17)/100*10000,"")</f>
        <v/>
      </c>
      <c r="J17" s="18" t="n">
        <v>0.05</v>
      </c>
      <c r="K17" s="15">
        <f>IF(ISNUMBER(I17),I17+N(J17)/100*10000,"")</f>
        <v/>
      </c>
      <c r="L17" s="19" t="n">
        <v>2.582</v>
      </c>
      <c r="M17" s="4" t="inlineStr">
        <is>
          <t>Jumper Best Return via Relay; max route 99.99</t>
        </is>
      </c>
      <c r="O17" s="4" t="inlineStr">
        <is>
          <t>SOL → ETH</t>
        </is>
      </c>
      <c r="P17" s="4" t="inlineStr">
        <is>
          <t>Symbiosis</t>
        </is>
      </c>
      <c r="Q17" s="4">
        <f>COUNTIFS($A$5:$A$309,O17,$C$5:$C$309,P17)</f>
        <v/>
      </c>
      <c r="R17" s="4">
        <f>COUNTIFS($A$5:$A$309,O17,$C$5:$C$309,P17,$D$5:$D$309,"&gt;0")</f>
        <v/>
      </c>
      <c r="S17" s="16">
        <f>IFERROR(AVERAGEIFS($D$5:$D$309,$A$5:$A$309,O17,$C$5:$C$309,P17),"—")</f>
        <v/>
      </c>
      <c r="T17" s="16">
        <f>IFERROR(AVERAGEIFS($H$5:$H$309,$A$5:$A$309,O17,$C$5:$C$309,P17),"—")</f>
        <v/>
      </c>
      <c r="U17" s="15">
        <f>IFERROR(AVERAGEIFS($I$5:$I$309,$A$5:$A$309,O17,$C$5:$C$309,P17),"—")</f>
        <v/>
      </c>
      <c r="V17" s="15">
        <f>IFERROR(AVERAGEIFS($K$5:$K$309,$A$5:$A$309,O17,$C$5:$C$309,P17),"—")</f>
        <v/>
      </c>
      <c r="W17" s="20" t="n">
        <v>2</v>
      </c>
      <c r="X17" s="4">
        <f>IF(R17=0,"NOT LISTED on Bridg",IF(NOT(ISNUMBER(V17)),"No direct quote",IF(ABS(V17)&lt;=W17,"Match (net of Bridg fee)",IF(ABS(U17)&lt;=W17,"Match (Bridg fee not applied)",IF(V17&lt;0,"Bridg LOWER than venue","Bridg HIGHER than venue")))))</f>
        <v/>
      </c>
    </row>
    <row r="18">
      <c r="A18" s="4" t="inlineStr">
        <is>
          <t>SOL → ETH</t>
        </is>
      </c>
      <c r="B18" s="4" t="n">
        <v>1</v>
      </c>
      <c r="C18" s="4" t="inlineStr">
        <is>
          <t>LI.FI (Jumper)</t>
        </is>
      </c>
      <c r="D18" s="18" t="n">
        <v>98.98846500000001</v>
      </c>
      <c r="E18" s="4" t="inlineStr"/>
      <c r="F18" s="18" t="n">
        <v>99.898059</v>
      </c>
      <c r="G18" s="18" t="n"/>
      <c r="H18" s="16">
        <f>IF(ISNUMBER(F18),F18-N(G18),"")</f>
        <v/>
      </c>
      <c r="I18" s="15">
        <f>IF(AND(ISNUMBER(D18),ISNUMBER(H18)),(D18-H18)/100*10000,"")</f>
        <v/>
      </c>
      <c r="J18" s="18" t="n">
        <v>0.05</v>
      </c>
      <c r="K18" s="15">
        <f>IF(ISNUMBER(I18),I18+N(J18)/100*10000,"")</f>
        <v/>
      </c>
      <c r="L18" s="19" t="n">
        <v>0.891</v>
      </c>
      <c r="M18" s="4" t="inlineStr">
        <is>
          <t>Jumper Best Return via Relay; max route 99.99</t>
        </is>
      </c>
      <c r="O18" s="4" t="inlineStr">
        <is>
          <t>ETH → SOL</t>
        </is>
      </c>
      <c r="P18" s="4" t="inlineStr">
        <is>
          <t>Relay</t>
        </is>
      </c>
      <c r="Q18" s="4">
        <f>COUNTIFS($A$5:$A$309,O18,$C$5:$C$309,P18)</f>
        <v/>
      </c>
      <c r="R18" s="4">
        <f>COUNTIFS($A$5:$A$309,O18,$C$5:$C$309,P18,$D$5:$D$309,"&gt;0")</f>
        <v/>
      </c>
      <c r="S18" s="16">
        <f>IFERROR(AVERAGEIFS($D$5:$D$309,$A$5:$A$309,O18,$C$5:$C$309,P18),"—")</f>
        <v/>
      </c>
      <c r="T18" s="16">
        <f>IFERROR(AVERAGEIFS($H$5:$H$309,$A$5:$A$309,O18,$C$5:$C$309,P18),"—")</f>
        <v/>
      </c>
      <c r="U18" s="15">
        <f>IFERROR(AVERAGEIFS($I$5:$I$309,$A$5:$A$309,O18,$C$5:$C$309,P18),"—")</f>
        <v/>
      </c>
      <c r="V18" s="15">
        <f>IFERROR(AVERAGEIFS($K$5:$K$309,$A$5:$A$309,O18,$C$5:$C$309,P18),"—")</f>
        <v/>
      </c>
      <c r="W18" s="20" t="n">
        <v>2</v>
      </c>
      <c r="X18" s="4">
        <f>IF(R18=0,"NOT LISTED on Bridg",IF(NOT(ISNUMBER(V18)),"No direct quote",IF(ABS(V18)&lt;=W18,"Match (net of Bridg fee)",IF(ABS(U18)&lt;=W18,"Match (Bridg fee not applied)",IF(V18&lt;0,"Bridg LOWER than venue","Bridg HIGHER than venue")))))</f>
        <v/>
      </c>
    </row>
    <row r="19">
      <c r="A19" s="4" t="inlineStr">
        <is>
          <t>SOL → ETH</t>
        </is>
      </c>
      <c r="B19" s="4" t="n">
        <v>2</v>
      </c>
      <c r="C19" s="4" t="inlineStr">
        <is>
          <t>LI.FI (Jumper)</t>
        </is>
      </c>
      <c r="D19" s="18" t="n">
        <v>98.969211</v>
      </c>
      <c r="E19" s="4" t="inlineStr"/>
      <c r="F19" s="18" t="n">
        <v>99.73308299999999</v>
      </c>
      <c r="G19" s="18" t="n"/>
      <c r="H19" s="16">
        <f>IF(ISNUMBER(F19),F19-N(G19),"")</f>
        <v/>
      </c>
      <c r="I19" s="15">
        <f>IF(AND(ISNUMBER(D19),ISNUMBER(H19)),(D19-H19)/100*10000,"")</f>
        <v/>
      </c>
      <c r="J19" s="18" t="n">
        <v>0.1</v>
      </c>
      <c r="K19" s="15">
        <f>IF(ISNUMBER(I19),I19+N(J19)/100*10000,"")</f>
        <v/>
      </c>
      <c r="L19" s="19" t="n">
        <v>3.541</v>
      </c>
      <c r="M19" s="4" t="inlineStr">
        <is>
          <t>Jumper Best Return via Layerswap; max route 99.99</t>
        </is>
      </c>
      <c r="O19" s="4" t="inlineStr">
        <is>
          <t>ETH → SOL</t>
        </is>
      </c>
      <c r="P19" s="4" t="inlineStr">
        <is>
          <t>deBridge</t>
        </is>
      </c>
      <c r="Q19" s="4">
        <f>COUNTIFS($A$5:$A$309,O19,$C$5:$C$309,P19)</f>
        <v/>
      </c>
      <c r="R19" s="4">
        <f>COUNTIFS($A$5:$A$309,O19,$C$5:$C$309,P19,$D$5:$D$309,"&gt;0")</f>
        <v/>
      </c>
      <c r="S19" s="16">
        <f>IFERROR(AVERAGEIFS($D$5:$D$309,$A$5:$A$309,O19,$C$5:$C$309,P19),"—")</f>
        <v/>
      </c>
      <c r="T19" s="16">
        <f>IFERROR(AVERAGEIFS($H$5:$H$309,$A$5:$A$309,O19,$C$5:$C$309,P19),"—")</f>
        <v/>
      </c>
      <c r="U19" s="15">
        <f>IFERROR(AVERAGEIFS($I$5:$I$309,$A$5:$A$309,O19,$C$5:$C$309,P19),"—")</f>
        <v/>
      </c>
      <c r="V19" s="15">
        <f>IFERROR(AVERAGEIFS($K$5:$K$309,$A$5:$A$309,O19,$C$5:$C$309,P19),"—")</f>
        <v/>
      </c>
      <c r="W19" s="20" t="n">
        <v>2</v>
      </c>
      <c r="X19" s="4">
        <f>IF(R19=0,"NOT LISTED on Bridg",IF(NOT(ISNUMBER(V19)),"No direct quote",IF(ABS(V19)&lt;=W19,"Match (net of Bridg fee)",IF(ABS(U19)&lt;=W19,"Match (Bridg fee not applied)",IF(V19&lt;0,"Bridg LOWER than venue","Bridg HIGHER than venue")))))</f>
        <v/>
      </c>
    </row>
    <row r="20">
      <c r="A20" s="4" t="inlineStr">
        <is>
          <t>SOL → ETH</t>
        </is>
      </c>
      <c r="B20" s="4" t="n">
        <v>2</v>
      </c>
      <c r="C20" s="4" t="inlineStr">
        <is>
          <t>LI.FI (Jumper)</t>
        </is>
      </c>
      <c r="D20" s="18" t="n">
        <v>99.22372799999999</v>
      </c>
      <c r="E20" s="4" t="inlineStr"/>
      <c r="F20" s="18" t="n">
        <v>99.889167</v>
      </c>
      <c r="G20" s="18" t="n"/>
      <c r="H20" s="16">
        <f>IF(ISNUMBER(F20),F20-N(G20),"")</f>
        <v/>
      </c>
      <c r="I20" s="15">
        <f>IF(AND(ISNUMBER(D20),ISNUMBER(H20)),(D20-H20)/100*10000,"")</f>
        <v/>
      </c>
      <c r="J20" s="18" t="n">
        <v>0.05</v>
      </c>
      <c r="K20" s="15">
        <f>IF(ISNUMBER(I20),I20+N(J20)/100*10000,"")</f>
        <v/>
      </c>
      <c r="L20" s="19" t="n">
        <v>2.854</v>
      </c>
      <c r="M20" s="4" t="inlineStr">
        <is>
          <t>Jumper Best Return via Relay; max route 99.99</t>
        </is>
      </c>
      <c r="O20" s="4" t="inlineStr">
        <is>
          <t>ETH → SOL</t>
        </is>
      </c>
      <c r="P20" s="4" t="inlineStr">
        <is>
          <t>LI.FI (Jumper)</t>
        </is>
      </c>
      <c r="Q20" s="4">
        <f>COUNTIFS($A$5:$A$309,O20,$C$5:$C$309,P20)</f>
        <v/>
      </c>
      <c r="R20" s="4">
        <f>COUNTIFS($A$5:$A$309,O20,$C$5:$C$309,P20,$D$5:$D$309,"&gt;0")</f>
        <v/>
      </c>
      <c r="S20" s="16">
        <f>IFERROR(AVERAGEIFS($D$5:$D$309,$A$5:$A$309,O20,$C$5:$C$309,P20),"—")</f>
        <v/>
      </c>
      <c r="T20" s="16">
        <f>IFERROR(AVERAGEIFS($H$5:$H$309,$A$5:$A$309,O20,$C$5:$C$309,P20),"—")</f>
        <v/>
      </c>
      <c r="U20" s="15">
        <f>IFERROR(AVERAGEIFS($I$5:$I$309,$A$5:$A$309,O20,$C$5:$C$309,P20),"—")</f>
        <v/>
      </c>
      <c r="V20" s="15">
        <f>IFERROR(AVERAGEIFS($K$5:$K$309,$A$5:$A$309,O20,$C$5:$C$309,P20),"—")</f>
        <v/>
      </c>
      <c r="W20" s="20" t="n">
        <v>2</v>
      </c>
      <c r="X20" s="4">
        <f>IF(R20=0,"NOT LISTED on Bridg",IF(NOT(ISNUMBER(V20)),"No direct quote",IF(ABS(V20)&lt;=W20,"Match (net of Bridg fee)",IF(ABS(U20)&lt;=W20,"Match (Bridg fee not applied)",IF(V20&lt;0,"Bridg LOWER than venue","Bridg HIGHER than venue")))))</f>
        <v/>
      </c>
    </row>
    <row r="21">
      <c r="A21" s="4" t="inlineStr">
        <is>
          <t>SOL → ETH</t>
        </is>
      </c>
      <c r="B21" s="4" t="n">
        <v>3</v>
      </c>
      <c r="C21" s="4" t="inlineStr">
        <is>
          <t>LI.FI (Jumper)</t>
        </is>
      </c>
      <c r="D21" s="18" t="n">
        <v>99.155805</v>
      </c>
      <c r="E21" s="4" t="inlineStr"/>
      <c r="F21" s="18" t="n">
        <v>99.86478200000001</v>
      </c>
      <c r="G21" s="18" t="n"/>
      <c r="H21" s="16">
        <f>IF(ISNUMBER(F21),F21-N(G21),"")</f>
        <v/>
      </c>
      <c r="I21" s="15">
        <f>IF(AND(ISNUMBER(D21),ISNUMBER(H21)),(D21-H21)/100*10000,"")</f>
        <v/>
      </c>
      <c r="J21" s="18" t="n">
        <v>0.05</v>
      </c>
      <c r="K21" s="15">
        <f>IF(ISNUMBER(I21),I21+N(J21)/100*10000,"")</f>
        <v/>
      </c>
      <c r="L21" s="19" t="n">
        <v>3.759</v>
      </c>
      <c r="M21" s="4" t="inlineStr">
        <is>
          <t>Jumper Best Return via Relay; max route 99.99</t>
        </is>
      </c>
      <c r="O21" s="4" t="inlineStr">
        <is>
          <t>ETH → SOL</t>
        </is>
      </c>
      <c r="P21" s="4" t="inlineStr">
        <is>
          <t>Across</t>
        </is>
      </c>
      <c r="Q21" s="4">
        <f>COUNTIFS($A$5:$A$309,O21,$C$5:$C$309,P21)</f>
        <v/>
      </c>
      <c r="R21" s="4">
        <f>COUNTIFS($A$5:$A$309,O21,$C$5:$C$309,P21,$D$5:$D$309,"&gt;0")</f>
        <v/>
      </c>
      <c r="S21" s="16">
        <f>IFERROR(AVERAGEIFS($D$5:$D$309,$A$5:$A$309,O21,$C$5:$C$309,P21),"—")</f>
        <v/>
      </c>
      <c r="T21" s="16">
        <f>IFERROR(AVERAGEIFS($H$5:$H$309,$A$5:$A$309,O21,$C$5:$C$309,P21),"—")</f>
        <v/>
      </c>
      <c r="U21" s="15">
        <f>IFERROR(AVERAGEIFS($I$5:$I$309,$A$5:$A$309,O21,$C$5:$C$309,P21),"—")</f>
        <v/>
      </c>
      <c r="V21" s="15">
        <f>IFERROR(AVERAGEIFS($K$5:$K$309,$A$5:$A$309,O21,$C$5:$C$309,P21),"—")</f>
        <v/>
      </c>
      <c r="W21" s="20" t="n">
        <v>2</v>
      </c>
      <c r="X21" s="4">
        <f>IF(R21=0,"NOT LISTED on Bridg",IF(NOT(ISNUMBER(V21)),"No direct quote",IF(ABS(V21)&lt;=W21,"Match (net of Bridg fee)",IF(ABS(U21)&lt;=W21,"Match (Bridg fee not applied)",IF(V21&lt;0,"Bridg LOWER than venue","Bridg HIGHER than venue")))))</f>
        <v/>
      </c>
    </row>
    <row r="22">
      <c r="A22" s="4" t="inlineStr">
        <is>
          <t>SOL → ETH</t>
        </is>
      </c>
      <c r="B22" s="4" t="n">
        <v>3</v>
      </c>
      <c r="C22" s="4" t="inlineStr">
        <is>
          <t>LI.FI (Jumper)</t>
        </is>
      </c>
      <c r="D22" s="18" t="n">
        <v>98.969007</v>
      </c>
      <c r="E22" s="4" t="inlineStr"/>
      <c r="F22" s="18" t="n">
        <v>99.89036900000001</v>
      </c>
      <c r="G22" s="18" t="n"/>
      <c r="H22" s="16">
        <f>IF(ISNUMBER(F22),F22-N(G22),"")</f>
        <v/>
      </c>
      <c r="I22" s="15">
        <f>IF(AND(ISNUMBER(D22),ISNUMBER(H22)),(D22-H22)/100*10000,"")</f>
        <v/>
      </c>
      <c r="J22" s="18" t="n">
        <v>0.05</v>
      </c>
      <c r="K22" s="15">
        <f>IF(ISNUMBER(I22),I22+N(J22)/100*10000,"")</f>
        <v/>
      </c>
      <c r="L22" s="19" t="n">
        <v>2.905</v>
      </c>
      <c r="M22" s="4" t="inlineStr">
        <is>
          <t>Jumper Best Return via Relay; max route 99.99</t>
        </is>
      </c>
      <c r="O22" s="4" t="inlineStr">
        <is>
          <t>ETH → SOL</t>
        </is>
      </c>
      <c r="P22" s="4" t="inlineStr">
        <is>
          <t>Mayan</t>
        </is>
      </c>
      <c r="Q22" s="4">
        <f>COUNTIFS($A$5:$A$309,O22,$C$5:$C$309,P22)</f>
        <v/>
      </c>
      <c r="R22" s="4">
        <f>COUNTIFS($A$5:$A$309,O22,$C$5:$C$309,P22,$D$5:$D$309,"&gt;0")</f>
        <v/>
      </c>
      <c r="S22" s="16">
        <f>IFERROR(AVERAGEIFS($D$5:$D$309,$A$5:$A$309,O22,$C$5:$C$309,P22),"—")</f>
        <v/>
      </c>
      <c r="T22" s="16">
        <f>IFERROR(AVERAGEIFS($H$5:$H$309,$A$5:$A$309,O22,$C$5:$C$309,P22),"—")</f>
        <v/>
      </c>
      <c r="U22" s="15">
        <f>IFERROR(AVERAGEIFS($I$5:$I$309,$A$5:$A$309,O22,$C$5:$C$309,P22),"—")</f>
        <v/>
      </c>
      <c r="V22" s="15">
        <f>IFERROR(AVERAGEIFS($K$5:$K$309,$A$5:$A$309,O22,$C$5:$C$309,P22),"—")</f>
        <v/>
      </c>
      <c r="W22" s="20" t="n">
        <v>4</v>
      </c>
      <c r="X22" s="4">
        <f>IF(R22=0,"NOT LISTED on Bridg",IF(NOT(ISNUMBER(V22)),"No direct quote",IF(ABS(V22)&lt;=W22,"Match (net of Bridg fee)",IF(ABS(U22)&lt;=W22,"Match (Bridg fee not applied)",IF(V22&lt;0,"Bridg LOWER than venue","Bridg HIGHER than venue")))))</f>
        <v/>
      </c>
    </row>
    <row r="23">
      <c r="A23" s="4" t="inlineStr">
        <is>
          <t>SOL → ETH</t>
        </is>
      </c>
      <c r="B23" s="4" t="n">
        <v>1</v>
      </c>
      <c r="C23" s="4" t="inlineStr">
        <is>
          <t>Across</t>
        </is>
      </c>
      <c r="D23" s="18" t="n">
        <v>99.940005</v>
      </c>
      <c r="E23" s="4" t="inlineStr"/>
      <c r="F23" s="18" t="n">
        <v>99.98999999999999</v>
      </c>
      <c r="G23" s="18" t="n"/>
      <c r="H23" s="16">
        <f>IF(ISNUMBER(F23),F23-N(G23),"")</f>
        <v/>
      </c>
      <c r="I23" s="15">
        <f>IF(AND(ISNUMBER(D23),ISNUMBER(H23)),(D23-H23)/100*10000,"")</f>
        <v/>
      </c>
      <c r="J23" s="18" t="n">
        <v>0.05</v>
      </c>
      <c r="K23" s="15">
        <f>IF(ISNUMBER(I23),I23+N(J23)/100*10000,"")</f>
        <v/>
      </c>
      <c r="L23" s="19" t="n">
        <v>0.298</v>
      </c>
      <c r="M23" s="4" t="inlineStr"/>
      <c r="O23" s="4" t="inlineStr">
        <is>
          <t>ETH → SOL</t>
        </is>
      </c>
      <c r="P23" s="4" t="inlineStr">
        <is>
          <t>Allbridge Core</t>
        </is>
      </c>
      <c r="Q23" s="4">
        <f>COUNTIFS($A$5:$A$309,O23,$C$5:$C$309,P23)</f>
        <v/>
      </c>
      <c r="R23" s="4">
        <f>COUNTIFS($A$5:$A$309,O23,$C$5:$C$309,P23,$D$5:$D$309,"&gt;0")</f>
        <v/>
      </c>
      <c r="S23" s="16">
        <f>IFERROR(AVERAGEIFS($D$5:$D$309,$A$5:$A$309,O23,$C$5:$C$309,P23),"—")</f>
        <v/>
      </c>
      <c r="T23" s="16">
        <f>IFERROR(AVERAGEIFS($H$5:$H$309,$A$5:$A$309,O23,$C$5:$C$309,P23),"—")</f>
        <v/>
      </c>
      <c r="U23" s="15">
        <f>IFERROR(AVERAGEIFS($I$5:$I$309,$A$5:$A$309,O23,$C$5:$C$309,P23),"—")</f>
        <v/>
      </c>
      <c r="V23" s="15">
        <f>IFERROR(AVERAGEIFS($K$5:$K$309,$A$5:$A$309,O23,$C$5:$C$309,P23),"—")</f>
        <v/>
      </c>
      <c r="W23" s="20" t="n">
        <v>2</v>
      </c>
      <c r="X23" s="4">
        <f>IF(R23=0,"NOT LISTED on Bridg",IF(NOT(ISNUMBER(V23)),"No direct quote",IF(ABS(V23)&lt;=W23,"Match (net of Bridg fee)",IF(ABS(U23)&lt;=W23,"Match (Bridg fee not applied)",IF(V23&lt;0,"Bridg LOWER than venue","Bridg HIGHER than venue")))))</f>
        <v/>
      </c>
    </row>
    <row r="24">
      <c r="A24" s="4" t="inlineStr">
        <is>
          <t>SOL → ETH</t>
        </is>
      </c>
      <c r="B24" s="4" t="n">
        <v>1</v>
      </c>
      <c r="C24" s="4" t="inlineStr">
        <is>
          <t>Across</t>
        </is>
      </c>
      <c r="D24" s="18" t="n">
        <v>99.940005</v>
      </c>
      <c r="E24" s="4" t="inlineStr"/>
      <c r="F24" s="18" t="n">
        <v>99.98999999999999</v>
      </c>
      <c r="G24" s="18" t="n"/>
      <c r="H24" s="16">
        <f>IF(ISNUMBER(F24),F24-N(G24),"")</f>
        <v/>
      </c>
      <c r="I24" s="15">
        <f>IF(AND(ISNUMBER(D24),ISNUMBER(H24)),(D24-H24)/100*10000,"")</f>
        <v/>
      </c>
      <c r="J24" s="18" t="n">
        <v>0.05</v>
      </c>
      <c r="K24" s="15">
        <f>IF(ISNUMBER(I24),I24+N(J24)/100*10000,"")</f>
        <v/>
      </c>
      <c r="L24" s="19" t="n">
        <v>0.372</v>
      </c>
      <c r="M24" s="4" t="inlineStr"/>
      <c r="O24" s="4" t="inlineStr">
        <is>
          <t>ETH → SOL</t>
        </is>
      </c>
      <c r="P24" s="4" t="inlineStr">
        <is>
          <t>CCTP (via Portal)</t>
        </is>
      </c>
      <c r="Q24" s="4">
        <f>COUNTIFS($A$5:$A$309,O24,$C$5:$C$309,P24)</f>
        <v/>
      </c>
      <c r="R24" s="4">
        <f>COUNTIFS($A$5:$A$309,O24,$C$5:$C$309,P24,$D$5:$D$309,"&gt;0")</f>
        <v/>
      </c>
      <c r="S24" s="16">
        <f>IFERROR(AVERAGEIFS($D$5:$D$309,$A$5:$A$309,O24,$C$5:$C$309,P24),"—")</f>
        <v/>
      </c>
      <c r="T24" s="16">
        <f>IFERROR(AVERAGEIFS($H$5:$H$309,$A$5:$A$309,O24,$C$5:$C$309,P24),"—")</f>
        <v/>
      </c>
      <c r="U24" s="15">
        <f>IFERROR(AVERAGEIFS($I$5:$I$309,$A$5:$A$309,O24,$C$5:$C$309,P24),"—")</f>
        <v/>
      </c>
      <c r="V24" s="15">
        <f>IFERROR(AVERAGEIFS($K$5:$K$309,$A$5:$A$309,O24,$C$5:$C$309,P24),"—")</f>
        <v/>
      </c>
      <c r="W24" s="20" t="n">
        <v>2</v>
      </c>
      <c r="X24" s="4">
        <f>IF(R24=0,"NOT LISTED on Bridg",IF(NOT(ISNUMBER(V24)),"No direct quote",IF(ABS(V24)&lt;=W24,"Match (net of Bridg fee)",IF(ABS(U24)&lt;=W24,"Match (Bridg fee not applied)",IF(V24&lt;0,"Bridg LOWER than venue","Bridg HIGHER than venue")))))</f>
        <v/>
      </c>
    </row>
    <row r="25">
      <c r="A25" s="4" t="inlineStr">
        <is>
          <t>SOL → ETH</t>
        </is>
      </c>
      <c r="B25" s="4" t="n">
        <v>2</v>
      </c>
      <c r="C25" s="4" t="inlineStr">
        <is>
          <t>Across</t>
        </is>
      </c>
      <c r="D25" s="18" t="n">
        <v>99.89001</v>
      </c>
      <c r="E25" s="4" t="inlineStr"/>
      <c r="F25" s="18" t="n">
        <v>99.98999999999999</v>
      </c>
      <c r="G25" s="18" t="n"/>
      <c r="H25" s="16">
        <f>IF(ISNUMBER(F25),F25-N(G25),"")</f>
        <v/>
      </c>
      <c r="I25" s="15">
        <f>IF(AND(ISNUMBER(D25),ISNUMBER(H25)),(D25-H25)/100*10000,"")</f>
        <v/>
      </c>
      <c r="J25" s="18" t="n">
        <v>0.1</v>
      </c>
      <c r="K25" s="15">
        <f>IF(ISNUMBER(I25),I25+N(J25)/100*10000,"")</f>
        <v/>
      </c>
      <c r="L25" s="19" t="n">
        <v>0.509</v>
      </c>
      <c r="M25" s="4" t="inlineStr"/>
      <c r="O25" s="4" t="inlineStr">
        <is>
          <t>ETH → SOL</t>
        </is>
      </c>
      <c r="P25" s="4" t="inlineStr">
        <is>
          <t>Husher</t>
        </is>
      </c>
      <c r="Q25" s="4">
        <f>COUNTIFS($A$5:$A$309,O25,$C$5:$C$309,P25)</f>
        <v/>
      </c>
      <c r="R25" s="4">
        <f>COUNTIFS($A$5:$A$309,O25,$C$5:$C$309,P25,$D$5:$D$309,"&gt;0")</f>
        <v/>
      </c>
      <c r="S25" s="16">
        <f>IFERROR(AVERAGEIFS($D$5:$D$309,$A$5:$A$309,O25,$C$5:$C$309,P25),"—")</f>
        <v/>
      </c>
      <c r="T25" s="16">
        <f>IFERROR(AVERAGEIFS($H$5:$H$309,$A$5:$A$309,O25,$C$5:$C$309,P25),"—")</f>
        <v/>
      </c>
      <c r="U25" s="15">
        <f>IFERROR(AVERAGEIFS($I$5:$I$309,$A$5:$A$309,O25,$C$5:$C$309,P25),"—")</f>
        <v/>
      </c>
      <c r="V25" s="15">
        <f>IFERROR(AVERAGEIFS($K$5:$K$309,$A$5:$A$309,O25,$C$5:$C$309,P25),"—")</f>
        <v/>
      </c>
      <c r="W25" s="20" t="n">
        <v>2</v>
      </c>
      <c r="X25" s="4">
        <f>IF(R25=0,"NOT LISTED on Bridg",IF(NOT(ISNUMBER(V25)),"No direct quote",IF(ABS(V25)&lt;=W25,"Match (net of Bridg fee)",IF(ABS(U25)&lt;=W25,"Match (Bridg fee not applied)",IF(V25&lt;0,"Bridg LOWER than venue","Bridg HIGHER than venue")))))</f>
        <v/>
      </c>
    </row>
    <row r="26">
      <c r="A26" s="4" t="inlineStr">
        <is>
          <t>SOL → ETH</t>
        </is>
      </c>
      <c r="B26" s="4" t="n">
        <v>2</v>
      </c>
      <c r="C26" s="4" t="inlineStr">
        <is>
          <t>Across</t>
        </is>
      </c>
      <c r="D26" s="18" t="n">
        <v>99.940005</v>
      </c>
      <c r="E26" s="4" t="inlineStr"/>
      <c r="F26" s="18" t="n">
        <v>99.98999999999999</v>
      </c>
      <c r="G26" s="18" t="n"/>
      <c r="H26" s="16">
        <f>IF(ISNUMBER(F26),F26-N(G26),"")</f>
        <v/>
      </c>
      <c r="I26" s="15">
        <f>IF(AND(ISNUMBER(D26),ISNUMBER(H26)),(D26-H26)/100*10000,"")</f>
        <v/>
      </c>
      <c r="J26" s="18" t="n">
        <v>0.05</v>
      </c>
      <c r="K26" s="15">
        <f>IF(ISNUMBER(I26),I26+N(J26)/100*10000,"")</f>
        <v/>
      </c>
      <c r="L26" s="19" t="n">
        <v>0.635</v>
      </c>
      <c r="M26" s="4" t="inlineStr"/>
      <c r="O26" s="4" t="inlineStr">
        <is>
          <t>ETH → SOL</t>
        </is>
      </c>
      <c r="P26" s="4" t="inlineStr">
        <is>
          <t>Layerswap</t>
        </is>
      </c>
      <c r="Q26" s="4">
        <f>COUNTIFS($A$5:$A$309,O26,$C$5:$C$309,P26)</f>
        <v/>
      </c>
      <c r="R26" s="4">
        <f>COUNTIFS($A$5:$A$309,O26,$C$5:$C$309,P26,$D$5:$D$309,"&gt;0")</f>
        <v/>
      </c>
      <c r="S26" s="16">
        <f>IFERROR(AVERAGEIFS($D$5:$D$309,$A$5:$A$309,O26,$C$5:$C$309,P26),"—")</f>
        <v/>
      </c>
      <c r="T26" s="16">
        <f>IFERROR(AVERAGEIFS($H$5:$H$309,$A$5:$A$309,O26,$C$5:$C$309,P26),"—")</f>
        <v/>
      </c>
      <c r="U26" s="15">
        <f>IFERROR(AVERAGEIFS($I$5:$I$309,$A$5:$A$309,O26,$C$5:$C$309,P26),"—")</f>
        <v/>
      </c>
      <c r="V26" s="15">
        <f>IFERROR(AVERAGEIFS($K$5:$K$309,$A$5:$A$309,O26,$C$5:$C$309,P26),"—")</f>
        <v/>
      </c>
      <c r="W26" s="20" t="n">
        <v>2</v>
      </c>
      <c r="X26" s="4">
        <f>IF(R26=0,"NOT LISTED on Bridg",IF(NOT(ISNUMBER(V26)),"No direct quote",IF(ABS(V26)&lt;=W26,"Match (net of Bridg fee)",IF(ABS(U26)&lt;=W26,"Match (Bridg fee not applied)",IF(V26&lt;0,"Bridg LOWER than venue","Bridg HIGHER than venue")))))</f>
        <v/>
      </c>
    </row>
    <row r="27">
      <c r="A27" s="4" t="inlineStr">
        <is>
          <t>SOL → ETH</t>
        </is>
      </c>
      <c r="B27" s="4" t="n">
        <v>3</v>
      </c>
      <c r="C27" s="4" t="inlineStr">
        <is>
          <t>Across</t>
        </is>
      </c>
      <c r="D27" s="18" t="n">
        <v>99.940005</v>
      </c>
      <c r="E27" s="4" t="inlineStr"/>
      <c r="F27" s="18" t="n">
        <v>99.98999999999999</v>
      </c>
      <c r="G27" s="18" t="n"/>
      <c r="H27" s="16">
        <f>IF(ISNUMBER(F27),F27-N(G27),"")</f>
        <v/>
      </c>
      <c r="I27" s="15">
        <f>IF(AND(ISNUMBER(D27),ISNUMBER(H27)),(D27-H27)/100*10000,"")</f>
        <v/>
      </c>
      <c r="J27" s="18" t="n">
        <v>0.05</v>
      </c>
      <c r="K27" s="15">
        <f>IF(ISNUMBER(I27),I27+N(J27)/100*10000,"")</f>
        <v/>
      </c>
      <c r="L27" s="19" t="n">
        <v>0.07199999999999999</v>
      </c>
      <c r="M27" s="4" t="inlineStr"/>
      <c r="O27" s="4" t="inlineStr">
        <is>
          <t>ETH → SOL</t>
        </is>
      </c>
      <c r="P27" s="4" t="inlineStr">
        <is>
          <t>Meson</t>
        </is>
      </c>
      <c r="Q27" s="4">
        <f>COUNTIFS($A$5:$A$309,O27,$C$5:$C$309,P27)</f>
        <v/>
      </c>
      <c r="R27" s="4">
        <f>COUNTIFS($A$5:$A$309,O27,$C$5:$C$309,P27,$D$5:$D$309,"&gt;0")</f>
        <v/>
      </c>
      <c r="S27" s="16">
        <f>IFERROR(AVERAGEIFS($D$5:$D$309,$A$5:$A$309,O27,$C$5:$C$309,P27),"—")</f>
        <v/>
      </c>
      <c r="T27" s="16">
        <f>IFERROR(AVERAGEIFS($H$5:$H$309,$A$5:$A$309,O27,$C$5:$C$309,P27),"—")</f>
        <v/>
      </c>
      <c r="U27" s="15">
        <f>IFERROR(AVERAGEIFS($I$5:$I$309,$A$5:$A$309,O27,$C$5:$C$309,P27),"—")</f>
        <v/>
      </c>
      <c r="V27" s="15">
        <f>IFERROR(AVERAGEIFS($K$5:$K$309,$A$5:$A$309,O27,$C$5:$C$309,P27),"—")</f>
        <v/>
      </c>
      <c r="W27" s="20" t="n">
        <v>2</v>
      </c>
      <c r="X27" s="4">
        <f>IF(R27=0,"NOT LISTED on Bridg",IF(NOT(ISNUMBER(V27)),"No direct quote",IF(ABS(V27)&lt;=W27,"Match (net of Bridg fee)",IF(ABS(U27)&lt;=W27,"Match (Bridg fee not applied)",IF(V27&lt;0,"Bridg LOWER than venue","Bridg HIGHER than venue")))))</f>
        <v/>
      </c>
    </row>
    <row r="28">
      <c r="A28" s="4" t="inlineStr">
        <is>
          <t>SOL → ETH</t>
        </is>
      </c>
      <c r="B28" s="4" t="n">
        <v>3</v>
      </c>
      <c r="C28" s="4" t="inlineStr">
        <is>
          <t>Across</t>
        </is>
      </c>
      <c r="D28" s="18" t="n">
        <v>99.940005</v>
      </c>
      <c r="E28" s="4" t="inlineStr"/>
      <c r="F28" s="18" t="n">
        <v>99.98999999999999</v>
      </c>
      <c r="G28" s="18" t="n"/>
      <c r="H28" s="16">
        <f>IF(ISNUMBER(F28),F28-N(G28),"")</f>
        <v/>
      </c>
      <c r="I28" s="15">
        <f>IF(AND(ISNUMBER(D28),ISNUMBER(H28)),(D28-H28)/100*10000,"")</f>
        <v/>
      </c>
      <c r="J28" s="18" t="n">
        <v>0.05</v>
      </c>
      <c r="K28" s="15">
        <f>IF(ISNUMBER(I28),I28+N(J28)/100*10000,"")</f>
        <v/>
      </c>
      <c r="L28" s="19" t="n">
        <v>0.095</v>
      </c>
      <c r="M28" s="4" t="inlineStr"/>
      <c r="O28" s="4" t="inlineStr">
        <is>
          <t>ETH → SOL</t>
        </is>
      </c>
      <c r="P28" s="4" t="inlineStr">
        <is>
          <t>SimpleSwap</t>
        </is>
      </c>
      <c r="Q28" s="4">
        <f>COUNTIFS($A$5:$A$309,O28,$C$5:$C$309,P28)</f>
        <v/>
      </c>
      <c r="R28" s="4">
        <f>COUNTIFS($A$5:$A$309,O28,$C$5:$C$309,P28,$D$5:$D$309,"&gt;0")</f>
        <v/>
      </c>
      <c r="S28" s="16">
        <f>IFERROR(AVERAGEIFS($D$5:$D$309,$A$5:$A$309,O28,$C$5:$C$309,P28),"—")</f>
        <v/>
      </c>
      <c r="T28" s="16">
        <f>IFERROR(AVERAGEIFS($H$5:$H$309,$A$5:$A$309,O28,$C$5:$C$309,P28),"—")</f>
        <v/>
      </c>
      <c r="U28" s="15">
        <f>IFERROR(AVERAGEIFS($I$5:$I$309,$A$5:$A$309,O28,$C$5:$C$309,P28),"—")</f>
        <v/>
      </c>
      <c r="V28" s="15">
        <f>IFERROR(AVERAGEIFS($K$5:$K$309,$A$5:$A$309,O28,$C$5:$C$309,P28),"—")</f>
        <v/>
      </c>
      <c r="W28" s="20" t="n">
        <v>2</v>
      </c>
      <c r="X28" s="4">
        <f>IF(R28=0,"NOT LISTED on Bridg",IF(NOT(ISNUMBER(V28)),"No direct quote",IF(ABS(V28)&lt;=W28,"Match (net of Bridg fee)",IF(ABS(U28)&lt;=W28,"Match (Bridg fee not applied)",IF(V28&lt;0,"Bridg LOWER than venue","Bridg HIGHER than venue")))))</f>
        <v/>
      </c>
    </row>
    <row r="29">
      <c r="A29" s="4" t="inlineStr">
        <is>
          <t>SOL → ETH</t>
        </is>
      </c>
      <c r="B29" s="4" t="n">
        <v>1</v>
      </c>
      <c r="C29" s="4" t="inlineStr">
        <is>
          <t>Mayan</t>
        </is>
      </c>
      <c r="D29" s="18" t="n">
        <v>99.277913</v>
      </c>
      <c r="E29" s="4" t="inlineStr">
        <is>
          <t>yes</t>
        </is>
      </c>
      <c r="F29" s="18" t="n">
        <v>99.0274</v>
      </c>
      <c r="G29" s="18" t="n"/>
      <c r="H29" s="16">
        <f>IF(ISNUMBER(F29),F29-N(G29),"")</f>
        <v/>
      </c>
      <c r="I29" s="15">
        <f>IF(AND(ISNUMBER(D29),ISNUMBER(H29)),(D29-H29)/100*10000,"")</f>
        <v/>
      </c>
      <c r="J29" s="18" t="n">
        <v>0.05</v>
      </c>
      <c r="K29" s="15">
        <f>IF(ISNUMBER(I29),I29+N(J29)/100*10000,"")</f>
        <v/>
      </c>
      <c r="L29" s="19" t="n">
        <v>0.255</v>
      </c>
      <c r="M29" s="4" t="inlineStr">
        <is>
          <t>Swift v2; UI shows 4 dp</t>
        </is>
      </c>
      <c r="O29" s="4" t="inlineStr">
        <is>
          <t>ETH → SOL</t>
        </is>
      </c>
      <c r="P29" s="4" t="inlineStr">
        <is>
          <t>Skip Go</t>
        </is>
      </c>
      <c r="Q29" s="4">
        <f>COUNTIFS($A$5:$A$309,O29,$C$5:$C$309,P29)</f>
        <v/>
      </c>
      <c r="R29" s="4">
        <f>COUNTIFS($A$5:$A$309,O29,$C$5:$C$309,P29,$D$5:$D$309,"&gt;0")</f>
        <v/>
      </c>
      <c r="S29" s="16">
        <f>IFERROR(AVERAGEIFS($D$5:$D$309,$A$5:$A$309,O29,$C$5:$C$309,P29),"—")</f>
        <v/>
      </c>
      <c r="T29" s="16">
        <f>IFERROR(AVERAGEIFS($H$5:$H$309,$A$5:$A$309,O29,$C$5:$C$309,P29),"—")</f>
        <v/>
      </c>
      <c r="U29" s="15">
        <f>IFERROR(AVERAGEIFS($I$5:$I$309,$A$5:$A$309,O29,$C$5:$C$309,P29),"—")</f>
        <v/>
      </c>
      <c r="V29" s="15">
        <f>IFERROR(AVERAGEIFS($K$5:$K$309,$A$5:$A$309,O29,$C$5:$C$309,P29),"—")</f>
        <v/>
      </c>
      <c r="W29" s="20" t="n">
        <v>2</v>
      </c>
      <c r="X29" s="4">
        <f>IF(R29=0,"NOT LISTED on Bridg",IF(NOT(ISNUMBER(V29)),"No direct quote",IF(ABS(V29)&lt;=W29,"Match (net of Bridg fee)",IF(ABS(U29)&lt;=W29,"Match (Bridg fee not applied)",IF(V29&lt;0,"Bridg LOWER than venue","Bridg HIGHER than venue")))))</f>
        <v/>
      </c>
    </row>
    <row r="30">
      <c r="A30" s="4" t="inlineStr">
        <is>
          <t>SOL → ETH</t>
        </is>
      </c>
      <c r="B30" s="4" t="n">
        <v>1</v>
      </c>
      <c r="C30" s="4" t="inlineStr">
        <is>
          <t>Mayan</t>
        </is>
      </c>
      <c r="D30" s="18" t="n">
        <v>99.25044800000001</v>
      </c>
      <c r="E30" s="4" t="inlineStr">
        <is>
          <t>yes</t>
        </is>
      </c>
      <c r="F30" s="18" t="n">
        <v>99.3</v>
      </c>
      <c r="G30" s="18" t="n"/>
      <c r="H30" s="16">
        <f>IF(ISNUMBER(F30),F30-N(G30),"")</f>
        <v/>
      </c>
      <c r="I30" s="15">
        <f>IF(AND(ISNUMBER(D30),ISNUMBER(H30)),(D30-H30)/100*10000,"")</f>
        <v/>
      </c>
      <c r="J30" s="18" t="n">
        <v>0.05</v>
      </c>
      <c r="K30" s="15">
        <f>IF(ISNUMBER(I30),I30+N(J30)/100*10000,"")</f>
        <v/>
      </c>
      <c r="L30" s="19" t="n">
        <v>0.229</v>
      </c>
      <c r="M30" s="4" t="inlineStr">
        <is>
          <t>Swift v2; UI shows 1 dp</t>
        </is>
      </c>
      <c r="O30" s="4" t="inlineStr">
        <is>
          <t>ETH → SOL</t>
        </is>
      </c>
      <c r="P30" s="4" t="inlineStr">
        <is>
          <t>Symbiosis</t>
        </is>
      </c>
      <c r="Q30" s="4">
        <f>COUNTIFS($A$5:$A$309,O30,$C$5:$C$309,P30)</f>
        <v/>
      </c>
      <c r="R30" s="4">
        <f>COUNTIFS($A$5:$A$309,O30,$C$5:$C$309,P30,$D$5:$D$309,"&gt;0")</f>
        <v/>
      </c>
      <c r="S30" s="16">
        <f>IFERROR(AVERAGEIFS($D$5:$D$309,$A$5:$A$309,O30,$C$5:$C$309,P30),"—")</f>
        <v/>
      </c>
      <c r="T30" s="16">
        <f>IFERROR(AVERAGEIFS($H$5:$H$309,$A$5:$A$309,O30,$C$5:$C$309,P30),"—")</f>
        <v/>
      </c>
      <c r="U30" s="15">
        <f>IFERROR(AVERAGEIFS($I$5:$I$309,$A$5:$A$309,O30,$C$5:$C$309,P30),"—")</f>
        <v/>
      </c>
      <c r="V30" s="15">
        <f>IFERROR(AVERAGEIFS($K$5:$K$309,$A$5:$A$309,O30,$C$5:$C$309,P30),"—")</f>
        <v/>
      </c>
      <c r="W30" s="20" t="n">
        <v>2</v>
      </c>
      <c r="X30" s="4">
        <f>IF(R30=0,"NOT LISTED on Bridg",IF(NOT(ISNUMBER(V30)),"No direct quote",IF(ABS(V30)&lt;=W30,"Match (net of Bridg fee)",IF(ABS(U30)&lt;=W30,"Match (Bridg fee not applied)",IF(V30&lt;0,"Bridg LOWER than venue","Bridg HIGHER than venue")))))</f>
        <v/>
      </c>
    </row>
    <row r="31">
      <c r="A31" s="4" t="inlineStr">
        <is>
          <t>SOL → ETH</t>
        </is>
      </c>
      <c r="B31" s="4" t="n">
        <v>2</v>
      </c>
      <c r="C31" s="4" t="inlineStr">
        <is>
          <t>Mayan</t>
        </is>
      </c>
      <c r="D31" s="18" t="n">
        <v>99.00449</v>
      </c>
      <c r="E31" s="4" t="inlineStr">
        <is>
          <t>yes</t>
        </is>
      </c>
      <c r="F31" s="18" t="n">
        <v>99.0044</v>
      </c>
      <c r="G31" s="18" t="n"/>
      <c r="H31" s="16">
        <f>IF(ISNUMBER(F31),F31-N(G31),"")</f>
        <v/>
      </c>
      <c r="I31" s="15">
        <f>IF(AND(ISNUMBER(D31),ISNUMBER(H31)),(D31-H31)/100*10000,"")</f>
        <v/>
      </c>
      <c r="J31" s="18" t="n">
        <v>0.1</v>
      </c>
      <c r="K31" s="15">
        <f>IF(ISNUMBER(I31),I31+N(J31)/100*10000,"")</f>
        <v/>
      </c>
      <c r="L31" s="19" t="n">
        <v>0.473</v>
      </c>
      <c r="M31" s="4" t="inlineStr">
        <is>
          <t>Swift v2; UI shows 4 dp</t>
        </is>
      </c>
      <c r="O31" s="4" t="inlineStr">
        <is>
          <t>SOL → BSC</t>
        </is>
      </c>
      <c r="P31" s="4" t="inlineStr">
        <is>
          <t>Relay</t>
        </is>
      </c>
      <c r="Q31" s="4">
        <f>COUNTIFS($A$5:$A$309,O31,$C$5:$C$309,P31)</f>
        <v/>
      </c>
      <c r="R31" s="4">
        <f>COUNTIFS($A$5:$A$309,O31,$C$5:$C$309,P31,$D$5:$D$309,"&gt;0")</f>
        <v/>
      </c>
      <c r="S31" s="16">
        <f>IFERROR(AVERAGEIFS($D$5:$D$309,$A$5:$A$309,O31,$C$5:$C$309,P31),"—")</f>
        <v/>
      </c>
      <c r="T31" s="16">
        <f>IFERROR(AVERAGEIFS($H$5:$H$309,$A$5:$A$309,O31,$C$5:$C$309,P31),"—")</f>
        <v/>
      </c>
      <c r="U31" s="15">
        <f>IFERROR(AVERAGEIFS($I$5:$I$309,$A$5:$A$309,O31,$C$5:$C$309,P31),"—")</f>
        <v/>
      </c>
      <c r="V31" s="15">
        <f>IFERROR(AVERAGEIFS($K$5:$K$309,$A$5:$A$309,O31,$C$5:$C$309,P31),"—")</f>
        <v/>
      </c>
      <c r="W31" s="20" t="n">
        <v>2</v>
      </c>
      <c r="X31" s="4">
        <f>IF(R31=0,"NOT LISTED on Bridg",IF(NOT(ISNUMBER(V31)),"No direct quote",IF(ABS(V31)&lt;=W31,"Match (net of Bridg fee)",IF(ABS(U31)&lt;=W31,"Match (Bridg fee not applied)",IF(V31&lt;0,"Bridg LOWER than venue","Bridg HIGHER than venue")))))</f>
        <v/>
      </c>
    </row>
    <row r="32">
      <c r="A32" s="4" t="inlineStr">
        <is>
          <t>SOL → ETH</t>
        </is>
      </c>
      <c r="B32" s="4" t="n">
        <v>2</v>
      </c>
      <c r="C32" s="4" t="inlineStr">
        <is>
          <t>Mayan</t>
        </is>
      </c>
      <c r="D32" s="18" t="n">
        <v>99.251017</v>
      </c>
      <c r="E32" s="4" t="inlineStr">
        <is>
          <t>yes</t>
        </is>
      </c>
      <c r="F32" s="18" t="n">
        <v>99.3006</v>
      </c>
      <c r="G32" s="18" t="n"/>
      <c r="H32" s="16">
        <f>IF(ISNUMBER(F32),F32-N(G32),"")</f>
        <v/>
      </c>
      <c r="I32" s="15">
        <f>IF(AND(ISNUMBER(D32),ISNUMBER(H32)),(D32-H32)/100*10000,"")</f>
        <v/>
      </c>
      <c r="J32" s="18" t="n">
        <v>0.05</v>
      </c>
      <c r="K32" s="15">
        <f>IF(ISNUMBER(I32),I32+N(J32)/100*10000,"")</f>
        <v/>
      </c>
      <c r="L32" s="19" t="n">
        <v>0.502</v>
      </c>
      <c r="M32" s="4" t="inlineStr">
        <is>
          <t>Swift v2; UI shows 4 dp</t>
        </is>
      </c>
      <c r="O32" s="4" t="inlineStr">
        <is>
          <t>SOL → BSC</t>
        </is>
      </c>
      <c r="P32" s="4" t="inlineStr">
        <is>
          <t>deBridge</t>
        </is>
      </c>
      <c r="Q32" s="4">
        <f>COUNTIFS($A$5:$A$309,O32,$C$5:$C$309,P32)</f>
        <v/>
      </c>
      <c r="R32" s="4">
        <f>COUNTIFS($A$5:$A$309,O32,$C$5:$C$309,P32,$D$5:$D$309,"&gt;0")</f>
        <v/>
      </c>
      <c r="S32" s="16">
        <f>IFERROR(AVERAGEIFS($D$5:$D$309,$A$5:$A$309,O32,$C$5:$C$309,P32),"—")</f>
        <v/>
      </c>
      <c r="T32" s="16">
        <f>IFERROR(AVERAGEIFS($H$5:$H$309,$A$5:$A$309,O32,$C$5:$C$309,P32),"—")</f>
        <v/>
      </c>
      <c r="U32" s="15">
        <f>IFERROR(AVERAGEIFS($I$5:$I$309,$A$5:$A$309,O32,$C$5:$C$309,P32),"—")</f>
        <v/>
      </c>
      <c r="V32" s="15">
        <f>IFERROR(AVERAGEIFS($K$5:$K$309,$A$5:$A$309,O32,$C$5:$C$309,P32),"—")</f>
        <v/>
      </c>
      <c r="W32" s="20" t="n">
        <v>2</v>
      </c>
      <c r="X32" s="4">
        <f>IF(R32=0,"NOT LISTED on Bridg",IF(NOT(ISNUMBER(V32)),"No direct quote",IF(ABS(V32)&lt;=W32,"Match (net of Bridg fee)",IF(ABS(U32)&lt;=W32,"Match (Bridg fee not applied)",IF(V32&lt;0,"Bridg LOWER than venue","Bridg HIGHER than venue")))))</f>
        <v/>
      </c>
    </row>
    <row r="33">
      <c r="A33" s="4" t="inlineStr">
        <is>
          <t>SOL → ETH</t>
        </is>
      </c>
      <c r="B33" s="4" t="n">
        <v>3</v>
      </c>
      <c r="C33" s="4" t="inlineStr">
        <is>
          <t>Mayan</t>
        </is>
      </c>
      <c r="D33" s="18" t="n">
        <v>99.01325</v>
      </c>
      <c r="E33" s="4" t="inlineStr">
        <is>
          <t>yes</t>
        </is>
      </c>
      <c r="F33" s="18" t="n">
        <v>99.0132</v>
      </c>
      <c r="G33" s="18" t="n"/>
      <c r="H33" s="16">
        <f>IF(ISNUMBER(F33),F33-N(G33),"")</f>
        <v/>
      </c>
      <c r="I33" s="15">
        <f>IF(AND(ISNUMBER(D33),ISNUMBER(H33)),(D33-H33)/100*10000,"")</f>
        <v/>
      </c>
      <c r="J33" s="18" t="n">
        <v>0.05</v>
      </c>
      <c r="K33" s="15">
        <f>IF(ISNUMBER(I33),I33+N(J33)/100*10000,"")</f>
        <v/>
      </c>
      <c r="L33" s="19" t="n">
        <v>0.502</v>
      </c>
      <c r="M33" s="4" t="inlineStr">
        <is>
          <t>Swift v2; UI shows 4 dp</t>
        </is>
      </c>
      <c r="O33" s="4" t="inlineStr">
        <is>
          <t>SOL → BSC</t>
        </is>
      </c>
      <c r="P33" s="4" t="inlineStr">
        <is>
          <t>LI.FI (Jumper)</t>
        </is>
      </c>
      <c r="Q33" s="4">
        <f>COUNTIFS($A$5:$A$309,O33,$C$5:$C$309,P33)</f>
        <v/>
      </c>
      <c r="R33" s="4">
        <f>COUNTIFS($A$5:$A$309,O33,$C$5:$C$309,P33,$D$5:$D$309,"&gt;0")</f>
        <v/>
      </c>
      <c r="S33" s="16">
        <f>IFERROR(AVERAGEIFS($D$5:$D$309,$A$5:$A$309,O33,$C$5:$C$309,P33),"—")</f>
        <v/>
      </c>
      <c r="T33" s="16">
        <f>IFERROR(AVERAGEIFS($H$5:$H$309,$A$5:$A$309,O33,$C$5:$C$309,P33),"—")</f>
        <v/>
      </c>
      <c r="U33" s="15">
        <f>IFERROR(AVERAGEIFS($I$5:$I$309,$A$5:$A$309,O33,$C$5:$C$309,P33),"—")</f>
        <v/>
      </c>
      <c r="V33" s="15">
        <f>IFERROR(AVERAGEIFS($K$5:$K$309,$A$5:$A$309,O33,$C$5:$C$309,P33),"—")</f>
        <v/>
      </c>
      <c r="W33" s="20" t="n">
        <v>2</v>
      </c>
      <c r="X33" s="4">
        <f>IF(R33=0,"NOT LISTED on Bridg",IF(NOT(ISNUMBER(V33)),"No direct quote",IF(ABS(V33)&lt;=W33,"Match (net of Bridg fee)",IF(ABS(U33)&lt;=W33,"Match (Bridg fee not applied)",IF(V33&lt;0,"Bridg LOWER than venue","Bridg HIGHER than venue")))))</f>
        <v/>
      </c>
    </row>
    <row r="34">
      <c r="A34" s="4" t="inlineStr">
        <is>
          <t>SOL → ETH</t>
        </is>
      </c>
      <c r="B34" s="4" t="n">
        <v>3</v>
      </c>
      <c r="C34" s="4" t="inlineStr">
        <is>
          <t>Mayan</t>
        </is>
      </c>
      <c r="D34" s="18" t="n">
        <v>99.219544</v>
      </c>
      <c r="E34" s="4" t="inlineStr">
        <is>
          <t>yes</t>
        </is>
      </c>
      <c r="F34" s="18" t="n">
        <v>99.4068</v>
      </c>
      <c r="G34" s="18" t="n"/>
      <c r="H34" s="16">
        <f>IF(ISNUMBER(F34),F34-N(G34),"")</f>
        <v/>
      </c>
      <c r="I34" s="15">
        <f>IF(AND(ISNUMBER(D34),ISNUMBER(H34)),(D34-H34)/100*10000,"")</f>
        <v/>
      </c>
      <c r="J34" s="18" t="n">
        <v>0.05</v>
      </c>
      <c r="K34" s="15">
        <f>IF(ISNUMBER(I34),I34+N(J34)/100*10000,"")</f>
        <v/>
      </c>
      <c r="L34" s="19" t="n">
        <v>0.184</v>
      </c>
      <c r="M34" s="4" t="inlineStr">
        <is>
          <t>Swift v2; UI shows 4 dp</t>
        </is>
      </c>
      <c r="O34" s="4" t="inlineStr">
        <is>
          <t>SOL → BSC</t>
        </is>
      </c>
      <c r="P34" s="4" t="inlineStr">
        <is>
          <t>Across</t>
        </is>
      </c>
      <c r="Q34" s="4">
        <f>COUNTIFS($A$5:$A$309,O34,$C$5:$C$309,P34)</f>
        <v/>
      </c>
      <c r="R34" s="4">
        <f>COUNTIFS($A$5:$A$309,O34,$C$5:$C$309,P34,$D$5:$D$309,"&gt;0")</f>
        <v/>
      </c>
      <c r="S34" s="16">
        <f>IFERROR(AVERAGEIFS($D$5:$D$309,$A$5:$A$309,O34,$C$5:$C$309,P34),"—")</f>
        <v/>
      </c>
      <c r="T34" s="16">
        <f>IFERROR(AVERAGEIFS($H$5:$H$309,$A$5:$A$309,O34,$C$5:$C$309,P34),"—")</f>
        <v/>
      </c>
      <c r="U34" s="15">
        <f>IFERROR(AVERAGEIFS($I$5:$I$309,$A$5:$A$309,O34,$C$5:$C$309,P34),"—")</f>
        <v/>
      </c>
      <c r="V34" s="15">
        <f>IFERROR(AVERAGEIFS($K$5:$K$309,$A$5:$A$309,O34,$C$5:$C$309,P34),"—")</f>
        <v/>
      </c>
      <c r="W34" s="20" t="n">
        <v>2</v>
      </c>
      <c r="X34" s="4">
        <f>IF(R34=0,"NOT LISTED on Bridg",IF(NOT(ISNUMBER(V34)),"No direct quote",IF(ABS(V34)&lt;=W34,"Match (net of Bridg fee)",IF(ABS(U34)&lt;=W34,"Match (Bridg fee not applied)",IF(V34&lt;0,"Bridg LOWER than venue","Bridg HIGHER than venue")))))</f>
        <v/>
      </c>
    </row>
    <row r="35">
      <c r="A35" s="4" t="inlineStr">
        <is>
          <t>SOL → ETH</t>
        </is>
      </c>
      <c r="B35" s="4" t="n">
        <v>1</v>
      </c>
      <c r="C35" s="4" t="inlineStr">
        <is>
          <t>Allbridge Core</t>
        </is>
      </c>
      <c r="D35" s="18" t="n">
        <v>99.85005</v>
      </c>
      <c r="E35" s="4" t="inlineStr">
        <is>
          <t>yes</t>
        </is>
      </c>
      <c r="F35" s="18" t="n">
        <v>99.90000000000001</v>
      </c>
      <c r="G35" s="18" t="n"/>
      <c r="H35" s="16">
        <f>IF(ISNUMBER(F35),F35-N(G35),"")</f>
        <v/>
      </c>
      <c r="I35" s="15">
        <f>IF(AND(ISNUMBER(D35),ISNUMBER(H35)),(D35-H35)/100*10000,"")</f>
        <v/>
      </c>
      <c r="J35" s="18" t="n">
        <v>0.05</v>
      </c>
      <c r="K35" s="15">
        <f>IF(ISNUMBER(I35),I35+N(J35)/100*10000,"")</f>
        <v/>
      </c>
      <c r="L35" s="19" t="n">
        <v>0.126</v>
      </c>
      <c r="M35" s="4" t="inlineStr">
        <is>
          <t>+0.014509 SOL (relayer fee, fee=native) charged on top of 100 input (not converted)</t>
        </is>
      </c>
      <c r="O35" s="4" t="inlineStr">
        <is>
          <t>SOL → BSC</t>
        </is>
      </c>
      <c r="P35" s="4" t="inlineStr">
        <is>
          <t>Mayan</t>
        </is>
      </c>
      <c r="Q35" s="4">
        <f>COUNTIFS($A$5:$A$309,O35,$C$5:$C$309,P35)</f>
        <v/>
      </c>
      <c r="R35" s="4">
        <f>COUNTIFS($A$5:$A$309,O35,$C$5:$C$309,P35,$D$5:$D$309,"&gt;0")</f>
        <v/>
      </c>
      <c r="S35" s="16">
        <f>IFERROR(AVERAGEIFS($D$5:$D$309,$A$5:$A$309,O35,$C$5:$C$309,P35),"—")</f>
        <v/>
      </c>
      <c r="T35" s="16">
        <f>IFERROR(AVERAGEIFS($H$5:$H$309,$A$5:$A$309,O35,$C$5:$C$309,P35),"—")</f>
        <v/>
      </c>
      <c r="U35" s="15">
        <f>IFERROR(AVERAGEIFS($I$5:$I$309,$A$5:$A$309,O35,$C$5:$C$309,P35),"—")</f>
        <v/>
      </c>
      <c r="V35" s="15">
        <f>IFERROR(AVERAGEIFS($K$5:$K$309,$A$5:$A$309,O35,$C$5:$C$309,P35),"—")</f>
        <v/>
      </c>
      <c r="W35" s="20" t="n">
        <v>4</v>
      </c>
      <c r="X35" s="4">
        <f>IF(R35=0,"NOT LISTED on Bridg",IF(NOT(ISNUMBER(V35)),"No direct quote",IF(ABS(V35)&lt;=W35,"Match (net of Bridg fee)",IF(ABS(U35)&lt;=W35,"Match (Bridg fee not applied)",IF(V35&lt;0,"Bridg LOWER than venue","Bridg HIGHER than venue")))))</f>
        <v/>
      </c>
    </row>
    <row r="36">
      <c r="A36" s="4" t="inlineStr">
        <is>
          <t>SOL → ETH</t>
        </is>
      </c>
      <c r="B36" s="4" t="n">
        <v>2</v>
      </c>
      <c r="C36" s="4" t="inlineStr">
        <is>
          <t>Allbridge Core</t>
        </is>
      </c>
      <c r="D36" s="18" t="n">
        <v>99.85005</v>
      </c>
      <c r="E36" s="4" t="inlineStr">
        <is>
          <t>yes</t>
        </is>
      </c>
      <c r="F36" s="18" t="n">
        <v>99.90000000000001</v>
      </c>
      <c r="G36" s="18" t="n"/>
      <c r="H36" s="16">
        <f>IF(ISNUMBER(F36),F36-N(G36),"")</f>
        <v/>
      </c>
      <c r="I36" s="15">
        <f>IF(AND(ISNUMBER(D36),ISNUMBER(H36)),(D36-H36)/100*10000,"")</f>
        <v/>
      </c>
      <c r="J36" s="18" t="n">
        <v>0.05</v>
      </c>
      <c r="K36" s="15">
        <f>IF(ISNUMBER(I36),I36+N(J36)/100*10000,"")</f>
        <v/>
      </c>
      <c r="L36" s="19" t="n">
        <v>0.082</v>
      </c>
      <c r="M36" s="4" t="inlineStr">
        <is>
          <t>+0.014509 SOL (relayer fee, fee=native) charged on top of 100 input (not converted)</t>
        </is>
      </c>
      <c r="O36" s="4" t="inlineStr">
        <is>
          <t>SOL → BSC</t>
        </is>
      </c>
      <c r="P36" s="4" t="inlineStr">
        <is>
          <t>Husher</t>
        </is>
      </c>
      <c r="Q36" s="4">
        <f>COUNTIFS($A$5:$A$309,O36,$C$5:$C$309,P36)</f>
        <v/>
      </c>
      <c r="R36" s="4">
        <f>COUNTIFS($A$5:$A$309,O36,$C$5:$C$309,P36,$D$5:$D$309,"&gt;0")</f>
        <v/>
      </c>
      <c r="S36" s="16">
        <f>IFERROR(AVERAGEIFS($D$5:$D$309,$A$5:$A$309,O36,$C$5:$C$309,P36),"—")</f>
        <v/>
      </c>
      <c r="T36" s="16">
        <f>IFERROR(AVERAGEIFS($H$5:$H$309,$A$5:$A$309,O36,$C$5:$C$309,P36),"—")</f>
        <v/>
      </c>
      <c r="U36" s="15">
        <f>IFERROR(AVERAGEIFS($I$5:$I$309,$A$5:$A$309,O36,$C$5:$C$309,P36),"—")</f>
        <v/>
      </c>
      <c r="V36" s="15">
        <f>IFERROR(AVERAGEIFS($K$5:$K$309,$A$5:$A$309,O36,$C$5:$C$309,P36),"—")</f>
        <v/>
      </c>
      <c r="W36" s="20" t="n">
        <v>2</v>
      </c>
      <c r="X36" s="4">
        <f>IF(R36=0,"NOT LISTED on Bridg",IF(NOT(ISNUMBER(V36)),"No direct quote",IF(ABS(V36)&lt;=W36,"Match (net of Bridg fee)",IF(ABS(U36)&lt;=W36,"Match (Bridg fee not applied)",IF(V36&lt;0,"Bridg LOWER than venue","Bridg HIGHER than venue")))))</f>
        <v/>
      </c>
    </row>
    <row r="37">
      <c r="A37" s="4" t="inlineStr">
        <is>
          <t>SOL → ETH</t>
        </is>
      </c>
      <c r="B37" s="4" t="n">
        <v>3</v>
      </c>
      <c r="C37" s="4" t="inlineStr">
        <is>
          <t>Allbridge Core</t>
        </is>
      </c>
      <c r="D37" s="18" t="n">
        <v>99.85005</v>
      </c>
      <c r="E37" s="4" t="inlineStr">
        <is>
          <t>yes</t>
        </is>
      </c>
      <c r="F37" s="18" t="n">
        <v>99.90000000000001</v>
      </c>
      <c r="G37" s="18" t="n"/>
      <c r="H37" s="16">
        <f>IF(ISNUMBER(F37),F37-N(G37),"")</f>
        <v/>
      </c>
      <c r="I37" s="15">
        <f>IF(AND(ISNUMBER(D37),ISNUMBER(H37)),(D37-H37)/100*10000,"")</f>
        <v/>
      </c>
      <c r="J37" s="18" t="n">
        <v>0.05</v>
      </c>
      <c r="K37" s="15">
        <f>IF(ISNUMBER(I37),I37+N(J37)/100*10000,"")</f>
        <v/>
      </c>
      <c r="L37" s="19" t="n">
        <v>0.025</v>
      </c>
      <c r="M37" s="4" t="inlineStr">
        <is>
          <t>+0.014509 SOL (relayer fee, fee=native) charged on top of 100 input (not converted)</t>
        </is>
      </c>
      <c r="O37" s="4" t="inlineStr">
        <is>
          <t>SOL → BSC</t>
        </is>
      </c>
      <c r="P37" s="4" t="inlineStr">
        <is>
          <t>Layerswap</t>
        </is>
      </c>
      <c r="Q37" s="4">
        <f>COUNTIFS($A$5:$A$309,O37,$C$5:$C$309,P37)</f>
        <v/>
      </c>
      <c r="R37" s="4">
        <f>COUNTIFS($A$5:$A$309,O37,$C$5:$C$309,P37,$D$5:$D$309,"&gt;0")</f>
        <v/>
      </c>
      <c r="S37" s="16">
        <f>IFERROR(AVERAGEIFS($D$5:$D$309,$A$5:$A$309,O37,$C$5:$C$309,P37),"—")</f>
        <v/>
      </c>
      <c r="T37" s="16">
        <f>IFERROR(AVERAGEIFS($H$5:$H$309,$A$5:$A$309,O37,$C$5:$C$309,P37),"—")</f>
        <v/>
      </c>
      <c r="U37" s="15">
        <f>IFERROR(AVERAGEIFS($I$5:$I$309,$A$5:$A$309,O37,$C$5:$C$309,P37),"—")</f>
        <v/>
      </c>
      <c r="V37" s="15">
        <f>IFERROR(AVERAGEIFS($K$5:$K$309,$A$5:$A$309,O37,$C$5:$C$309,P37),"—")</f>
        <v/>
      </c>
      <c r="W37" s="20" t="n">
        <v>2</v>
      </c>
      <c r="X37" s="4">
        <f>IF(R37=0,"NOT LISTED on Bridg",IF(NOT(ISNUMBER(V37)),"No direct quote",IF(ABS(V37)&lt;=W37,"Match (net of Bridg fee)",IF(ABS(U37)&lt;=W37,"Match (Bridg fee not applied)",IF(V37&lt;0,"Bridg LOWER than venue","Bridg HIGHER than venue")))))</f>
        <v/>
      </c>
    </row>
    <row r="38">
      <c r="A38" s="4" t="inlineStr">
        <is>
          <t>SOL → ETH</t>
        </is>
      </c>
      <c r="B38" s="4" t="n">
        <v>1</v>
      </c>
      <c r="C38" s="4" t="inlineStr">
        <is>
          <t>CCTP (via Portal)</t>
        </is>
      </c>
      <c r="D38" s="18" t="n">
        <v>98.645096</v>
      </c>
      <c r="E38" s="4" t="inlineStr">
        <is>
          <t>yes</t>
        </is>
      </c>
      <c r="F38" s="18" t="n">
        <v>99.98999999999999</v>
      </c>
      <c r="G38" s="18" t="n"/>
      <c r="H38" s="16">
        <f>IF(ISNUMBER(F38),F38-N(G38),"")</f>
        <v/>
      </c>
      <c r="I38" s="15">
        <f>IF(AND(ISNUMBER(D38),ISNUMBER(H38)),(D38-H38)/100*10000,"")</f>
        <v/>
      </c>
      <c r="J38" s="18" t="n">
        <v>0.05</v>
      </c>
      <c r="K38" s="15">
        <f>IF(ISNUMBER(I38),I38+N(J38)/100*10000,"")</f>
        <v/>
      </c>
      <c r="L38" s="19" t="n">
        <v>2.277</v>
      </c>
      <c r="M38" s="4" t="inlineStr">
        <is>
          <t>via Portal (CCTPv2StandardExecutorRoute); executor fee hidden until wallet connect</t>
        </is>
      </c>
      <c r="O38" s="4" t="inlineStr">
        <is>
          <t>SOL → BSC</t>
        </is>
      </c>
      <c r="P38" s="4" t="inlineStr">
        <is>
          <t>Meson</t>
        </is>
      </c>
      <c r="Q38" s="4">
        <f>COUNTIFS($A$5:$A$309,O38,$C$5:$C$309,P38)</f>
        <v/>
      </c>
      <c r="R38" s="4">
        <f>COUNTIFS($A$5:$A$309,O38,$C$5:$C$309,P38,$D$5:$D$309,"&gt;0")</f>
        <v/>
      </c>
      <c r="S38" s="16">
        <f>IFERROR(AVERAGEIFS($D$5:$D$309,$A$5:$A$309,O38,$C$5:$C$309,P38),"—")</f>
        <v/>
      </c>
      <c r="T38" s="16">
        <f>IFERROR(AVERAGEIFS($H$5:$H$309,$A$5:$A$309,O38,$C$5:$C$309,P38),"—")</f>
        <v/>
      </c>
      <c r="U38" s="15">
        <f>IFERROR(AVERAGEIFS($I$5:$I$309,$A$5:$A$309,O38,$C$5:$C$309,P38),"—")</f>
        <v/>
      </c>
      <c r="V38" s="15">
        <f>IFERROR(AVERAGEIFS($K$5:$K$309,$A$5:$A$309,O38,$C$5:$C$309,P38),"—")</f>
        <v/>
      </c>
      <c r="W38" s="20" t="n">
        <v>2</v>
      </c>
      <c r="X38" s="4">
        <f>IF(R38=0,"NOT LISTED on Bridg",IF(NOT(ISNUMBER(V38)),"No direct quote",IF(ABS(V38)&lt;=W38,"Match (net of Bridg fee)",IF(ABS(U38)&lt;=W38,"Match (Bridg fee not applied)",IF(V38&lt;0,"Bridg LOWER than venue","Bridg HIGHER than venue")))))</f>
        <v/>
      </c>
    </row>
    <row r="39">
      <c r="A39" s="4" t="inlineStr">
        <is>
          <t>SOL → ETH</t>
        </is>
      </c>
      <c r="B39" s="4" t="n">
        <v>2</v>
      </c>
      <c r="C39" s="4" t="inlineStr">
        <is>
          <t>CCTP (via Portal)</t>
        </is>
      </c>
      <c r="D39" s="18" t="n">
        <v>98.677072</v>
      </c>
      <c r="E39" s="4" t="inlineStr">
        <is>
          <t>yes</t>
        </is>
      </c>
      <c r="F39" s="18" t="n">
        <v>99.98999999999999</v>
      </c>
      <c r="G39" s="18" t="n"/>
      <c r="H39" s="16">
        <f>IF(ISNUMBER(F39),F39-N(G39),"")</f>
        <v/>
      </c>
      <c r="I39" s="15">
        <f>IF(AND(ISNUMBER(D39),ISNUMBER(H39)),(D39-H39)/100*10000,"")</f>
        <v/>
      </c>
      <c r="J39" s="18" t="n">
        <v>0.05</v>
      </c>
      <c r="K39" s="15">
        <f>IF(ISNUMBER(I39),I39+N(J39)/100*10000,"")</f>
        <v/>
      </c>
      <c r="L39" s="19" t="n">
        <v>2.287</v>
      </c>
      <c r="M39" s="4" t="inlineStr">
        <is>
          <t>via Portal (CCTPv2StandardExecutorRoute); executor fee hidden until wallet connect</t>
        </is>
      </c>
      <c r="O39" s="4" t="inlineStr">
        <is>
          <t>SOL → BSC</t>
        </is>
      </c>
      <c r="P39" s="4" t="inlineStr">
        <is>
          <t>SimpleSwap</t>
        </is>
      </c>
      <c r="Q39" s="4">
        <f>COUNTIFS($A$5:$A$309,O39,$C$5:$C$309,P39)</f>
        <v/>
      </c>
      <c r="R39" s="4">
        <f>COUNTIFS($A$5:$A$309,O39,$C$5:$C$309,P39,$D$5:$D$309,"&gt;0")</f>
        <v/>
      </c>
      <c r="S39" s="16">
        <f>IFERROR(AVERAGEIFS($D$5:$D$309,$A$5:$A$309,O39,$C$5:$C$309,P39),"—")</f>
        <v/>
      </c>
      <c r="T39" s="16">
        <f>IFERROR(AVERAGEIFS($H$5:$H$309,$A$5:$A$309,O39,$C$5:$C$309,P39),"—")</f>
        <v/>
      </c>
      <c r="U39" s="15">
        <f>IFERROR(AVERAGEIFS($I$5:$I$309,$A$5:$A$309,O39,$C$5:$C$309,P39),"—")</f>
        <v/>
      </c>
      <c r="V39" s="15">
        <f>IFERROR(AVERAGEIFS($K$5:$K$309,$A$5:$A$309,O39,$C$5:$C$309,P39),"—")</f>
        <v/>
      </c>
      <c r="W39" s="20" t="n">
        <v>2</v>
      </c>
      <c r="X39" s="4">
        <f>IF(R39=0,"NOT LISTED on Bridg",IF(NOT(ISNUMBER(V39)),"No direct quote",IF(ABS(V39)&lt;=W39,"Match (net of Bridg fee)",IF(ABS(U39)&lt;=W39,"Match (Bridg fee not applied)",IF(V39&lt;0,"Bridg LOWER than venue","Bridg HIGHER than venue")))))</f>
        <v/>
      </c>
    </row>
    <row r="40">
      <c r="A40" s="4" t="inlineStr">
        <is>
          <t>SOL → ETH</t>
        </is>
      </c>
      <c r="B40" s="4" t="n">
        <v>3</v>
      </c>
      <c r="C40" s="4" t="inlineStr">
        <is>
          <t>CCTP (via Portal)</t>
        </is>
      </c>
      <c r="D40" s="18" t="n">
        <v>98.677072</v>
      </c>
      <c r="E40" s="4" t="inlineStr">
        <is>
          <t>yes</t>
        </is>
      </c>
      <c r="F40" s="18" t="n">
        <v>99.98999999999999</v>
      </c>
      <c r="G40" s="18" t="n"/>
      <c r="H40" s="16">
        <f>IF(ISNUMBER(F40),F40-N(G40),"")</f>
        <v/>
      </c>
      <c r="I40" s="15">
        <f>IF(AND(ISNUMBER(D40),ISNUMBER(H40)),(D40-H40)/100*10000,"")</f>
        <v/>
      </c>
      <c r="J40" s="18" t="n">
        <v>0.05</v>
      </c>
      <c r="K40" s="15">
        <f>IF(ISNUMBER(I40),I40+N(J40)/100*10000,"")</f>
        <v/>
      </c>
      <c r="L40" s="19" t="n">
        <v>2.215</v>
      </c>
      <c r="M40" s="4" t="inlineStr">
        <is>
          <t>via Portal (CCTPv2StandardExecutorRoute); executor fee hidden until wallet connect</t>
        </is>
      </c>
      <c r="O40" s="4" t="inlineStr">
        <is>
          <t>BSC → SOL</t>
        </is>
      </c>
      <c r="P40" s="4" t="inlineStr">
        <is>
          <t>Relay</t>
        </is>
      </c>
      <c r="Q40" s="4">
        <f>COUNTIFS($A$5:$A$309,O40,$C$5:$C$309,P40)</f>
        <v/>
      </c>
      <c r="R40" s="4">
        <f>COUNTIFS($A$5:$A$309,O40,$C$5:$C$309,P40,$D$5:$D$309,"&gt;0")</f>
        <v/>
      </c>
      <c r="S40" s="16">
        <f>IFERROR(AVERAGEIFS($D$5:$D$309,$A$5:$A$309,O40,$C$5:$C$309,P40),"—")</f>
        <v/>
      </c>
      <c r="T40" s="16">
        <f>IFERROR(AVERAGEIFS($H$5:$H$309,$A$5:$A$309,O40,$C$5:$C$309,P40),"—")</f>
        <v/>
      </c>
      <c r="U40" s="15">
        <f>IFERROR(AVERAGEIFS($I$5:$I$309,$A$5:$A$309,O40,$C$5:$C$309,P40),"—")</f>
        <v/>
      </c>
      <c r="V40" s="15">
        <f>IFERROR(AVERAGEIFS($K$5:$K$309,$A$5:$A$309,O40,$C$5:$C$309,P40),"—")</f>
        <v/>
      </c>
      <c r="W40" s="20" t="n">
        <v>2</v>
      </c>
      <c r="X40" s="4">
        <f>IF(R40=0,"NOT LISTED on Bridg",IF(NOT(ISNUMBER(V40)),"No direct quote",IF(ABS(V40)&lt;=W40,"Match (net of Bridg fee)",IF(ABS(U40)&lt;=W40,"Match (Bridg fee not applied)",IF(V40&lt;0,"Bridg LOWER than venue","Bridg HIGHER than venue")))))</f>
        <v/>
      </c>
    </row>
    <row r="41">
      <c r="A41" s="4" t="inlineStr">
        <is>
          <t>SOL → ETH</t>
        </is>
      </c>
      <c r="B41" s="4" t="n">
        <v>1</v>
      </c>
      <c r="C41" s="4" t="inlineStr">
        <is>
          <t>Husher</t>
        </is>
      </c>
      <c r="D41" s="18" t="n">
        <v>99.1504</v>
      </c>
      <c r="E41" s="4" t="inlineStr"/>
      <c r="F41" s="18" t="n">
        <v>99.05</v>
      </c>
      <c r="G41" s="18" t="n"/>
      <c r="H41" s="16">
        <f>IF(ISNUMBER(F41),F41-N(G41),"")</f>
        <v/>
      </c>
      <c r="I41" s="15">
        <f>IF(AND(ISNUMBER(D41),ISNUMBER(H41)),(D41-H41)/100*10000,"")</f>
        <v/>
      </c>
      <c r="J41" s="18" t="n">
        <v>0.05</v>
      </c>
      <c r="K41" s="15">
        <f>IF(ISNUMBER(I41),I41+N(J41)/100*10000,"")</f>
        <v/>
      </c>
      <c r="L41" s="19" t="n">
        <v>0.107</v>
      </c>
      <c r="M41" s="4" t="inlineStr"/>
      <c r="O41" s="4" t="inlineStr">
        <is>
          <t>BSC → SOL</t>
        </is>
      </c>
      <c r="P41" s="4" t="inlineStr">
        <is>
          <t>deBridge</t>
        </is>
      </c>
      <c r="Q41" s="4">
        <f>COUNTIFS($A$5:$A$309,O41,$C$5:$C$309,P41)</f>
        <v/>
      </c>
      <c r="R41" s="4">
        <f>COUNTIFS($A$5:$A$309,O41,$C$5:$C$309,P41,$D$5:$D$309,"&gt;0")</f>
        <v/>
      </c>
      <c r="S41" s="16">
        <f>IFERROR(AVERAGEIFS($D$5:$D$309,$A$5:$A$309,O41,$C$5:$C$309,P41),"—")</f>
        <v/>
      </c>
      <c r="T41" s="16">
        <f>IFERROR(AVERAGEIFS($H$5:$H$309,$A$5:$A$309,O41,$C$5:$C$309,P41),"—")</f>
        <v/>
      </c>
      <c r="U41" s="15">
        <f>IFERROR(AVERAGEIFS($I$5:$I$309,$A$5:$A$309,O41,$C$5:$C$309,P41),"—")</f>
        <v/>
      </c>
      <c r="V41" s="15">
        <f>IFERROR(AVERAGEIFS($K$5:$K$309,$A$5:$A$309,O41,$C$5:$C$309,P41),"—")</f>
        <v/>
      </c>
      <c r="W41" s="20" t="n">
        <v>2</v>
      </c>
      <c r="X41" s="4">
        <f>IF(R41=0,"NOT LISTED on Bridg",IF(NOT(ISNUMBER(V41)),"No direct quote",IF(ABS(V41)&lt;=W41,"Match (net of Bridg fee)",IF(ABS(U41)&lt;=W41,"Match (Bridg fee not applied)",IF(V41&lt;0,"Bridg LOWER than venue","Bridg HIGHER than venue")))))</f>
        <v/>
      </c>
    </row>
    <row r="42">
      <c r="A42" s="4" t="inlineStr">
        <is>
          <t>SOL → ETH</t>
        </is>
      </c>
      <c r="B42" s="4" t="n">
        <v>2</v>
      </c>
      <c r="C42" s="4" t="inlineStr">
        <is>
          <t>Husher</t>
        </is>
      </c>
      <c r="D42" s="18" t="n">
        <v>99.2</v>
      </c>
      <c r="E42" s="4" t="inlineStr"/>
      <c r="F42" s="18" t="n">
        <v>99.05</v>
      </c>
      <c r="G42" s="18" t="n"/>
      <c r="H42" s="16">
        <f>IF(ISNUMBER(F42),F42-N(G42),"")</f>
        <v/>
      </c>
      <c r="I42" s="15">
        <f>IF(AND(ISNUMBER(D42),ISNUMBER(H42)),(D42-H42)/100*10000,"")</f>
        <v/>
      </c>
      <c r="J42" s="18" t="n">
        <v>0.05</v>
      </c>
      <c r="K42" s="15">
        <f>IF(ISNUMBER(I42),I42+N(J42)/100*10000,"")</f>
        <v/>
      </c>
      <c r="L42" s="19" t="n">
        <v>0.28</v>
      </c>
      <c r="M42" s="4" t="inlineStr"/>
      <c r="O42" s="4" t="inlineStr">
        <is>
          <t>BSC → SOL</t>
        </is>
      </c>
      <c r="P42" s="4" t="inlineStr">
        <is>
          <t>LI.FI (Jumper)</t>
        </is>
      </c>
      <c r="Q42" s="4">
        <f>COUNTIFS($A$5:$A$309,O42,$C$5:$C$309,P42)</f>
        <v/>
      </c>
      <c r="R42" s="4">
        <f>COUNTIFS($A$5:$A$309,O42,$C$5:$C$309,P42,$D$5:$D$309,"&gt;0")</f>
        <v/>
      </c>
      <c r="S42" s="16">
        <f>IFERROR(AVERAGEIFS($D$5:$D$309,$A$5:$A$309,O42,$C$5:$C$309,P42),"—")</f>
        <v/>
      </c>
      <c r="T42" s="16">
        <f>IFERROR(AVERAGEIFS($H$5:$H$309,$A$5:$A$309,O42,$C$5:$C$309,P42),"—")</f>
        <v/>
      </c>
      <c r="U42" s="15">
        <f>IFERROR(AVERAGEIFS($I$5:$I$309,$A$5:$A$309,O42,$C$5:$C$309,P42),"—")</f>
        <v/>
      </c>
      <c r="V42" s="15">
        <f>IFERROR(AVERAGEIFS($K$5:$K$309,$A$5:$A$309,O42,$C$5:$C$309,P42),"—")</f>
        <v/>
      </c>
      <c r="W42" s="20" t="n">
        <v>2</v>
      </c>
      <c r="X42" s="4">
        <f>IF(R42=0,"NOT LISTED on Bridg",IF(NOT(ISNUMBER(V42)),"No direct quote",IF(ABS(V42)&lt;=W42,"Match (net of Bridg fee)",IF(ABS(U42)&lt;=W42,"Match (Bridg fee not applied)",IF(V42&lt;0,"Bridg LOWER than venue","Bridg HIGHER than venue")))))</f>
        <v/>
      </c>
    </row>
    <row r="43">
      <c r="A43" s="4" t="inlineStr">
        <is>
          <t>SOL → ETH</t>
        </is>
      </c>
      <c r="B43" s="4" t="n">
        <v>3</v>
      </c>
      <c r="C43" s="4" t="inlineStr">
        <is>
          <t>Husher</t>
        </is>
      </c>
      <c r="D43" s="18" t="n">
        <v>99.2</v>
      </c>
      <c r="E43" s="4" t="inlineStr"/>
      <c r="F43" s="18" t="n">
        <v>99.05</v>
      </c>
      <c r="G43" s="18" t="n"/>
      <c r="H43" s="16">
        <f>IF(ISNUMBER(F43),F43-N(G43),"")</f>
        <v/>
      </c>
      <c r="I43" s="15">
        <f>IF(AND(ISNUMBER(D43),ISNUMBER(H43)),(D43-H43)/100*10000,"")</f>
        <v/>
      </c>
      <c r="J43" s="18" t="n">
        <v>0.05</v>
      </c>
      <c r="K43" s="15">
        <f>IF(ISNUMBER(I43),I43+N(J43)/100*10000,"")</f>
        <v/>
      </c>
      <c r="L43" s="19" t="n">
        <v>0.309</v>
      </c>
      <c r="M43" s="4" t="inlineStr"/>
      <c r="O43" s="4" t="inlineStr">
        <is>
          <t>BSC → SOL</t>
        </is>
      </c>
      <c r="P43" s="4" t="inlineStr">
        <is>
          <t>Across</t>
        </is>
      </c>
      <c r="Q43" s="4">
        <f>COUNTIFS($A$5:$A$309,O43,$C$5:$C$309,P43)</f>
        <v/>
      </c>
      <c r="R43" s="4">
        <f>COUNTIFS($A$5:$A$309,O43,$C$5:$C$309,P43,$D$5:$D$309,"&gt;0")</f>
        <v/>
      </c>
      <c r="S43" s="16">
        <f>IFERROR(AVERAGEIFS($D$5:$D$309,$A$5:$A$309,O43,$C$5:$C$309,P43),"—")</f>
        <v/>
      </c>
      <c r="T43" s="16">
        <f>IFERROR(AVERAGEIFS($H$5:$H$309,$A$5:$A$309,O43,$C$5:$C$309,P43),"—")</f>
        <v/>
      </c>
      <c r="U43" s="15">
        <f>IFERROR(AVERAGEIFS($I$5:$I$309,$A$5:$A$309,O43,$C$5:$C$309,P43),"—")</f>
        <v/>
      </c>
      <c r="V43" s="15">
        <f>IFERROR(AVERAGEIFS($K$5:$K$309,$A$5:$A$309,O43,$C$5:$C$309,P43),"—")</f>
        <v/>
      </c>
      <c r="W43" s="20" t="n">
        <v>2</v>
      </c>
      <c r="X43" s="4">
        <f>IF(R43=0,"NOT LISTED on Bridg",IF(NOT(ISNUMBER(V43)),"No direct quote",IF(ABS(V43)&lt;=W43,"Match (net of Bridg fee)",IF(ABS(U43)&lt;=W43,"Match (Bridg fee not applied)",IF(V43&lt;0,"Bridg LOWER than venue","Bridg HIGHER than venue")))))</f>
        <v/>
      </c>
    </row>
    <row r="44">
      <c r="A44" s="4" t="inlineStr">
        <is>
          <t>SOL → ETH</t>
        </is>
      </c>
      <c r="B44" s="4" t="n">
        <v>1</v>
      </c>
      <c r="C44" s="4" t="inlineStr">
        <is>
          <t>Layerswap</t>
        </is>
      </c>
      <c r="D44" s="18" t="n">
        <v>99.545941</v>
      </c>
      <c r="E44" s="4" t="inlineStr"/>
      <c r="F44" s="18" t="n">
        <v>99.730239</v>
      </c>
      <c r="G44" s="18" t="n"/>
      <c r="H44" s="16">
        <f>IF(ISNUMBER(F44),F44-N(G44),"")</f>
        <v/>
      </c>
      <c r="I44" s="15">
        <f>IF(AND(ISNUMBER(D44),ISNUMBER(H44)),(D44-H44)/100*10000,"")</f>
        <v/>
      </c>
      <c r="J44" s="18" t="n">
        <v>0.05</v>
      </c>
      <c r="K44" s="15">
        <f>IF(ISNUMBER(I44),I44+N(J44)/100*10000,"")</f>
        <v/>
      </c>
      <c r="L44" s="19" t="n">
        <v>1.242</v>
      </c>
      <c r="M44" s="4" t="inlineStr"/>
      <c r="O44" s="4" t="inlineStr">
        <is>
          <t>BSC → SOL</t>
        </is>
      </c>
      <c r="P44" s="4" t="inlineStr">
        <is>
          <t>Mayan</t>
        </is>
      </c>
      <c r="Q44" s="4">
        <f>COUNTIFS($A$5:$A$309,O44,$C$5:$C$309,P44)</f>
        <v/>
      </c>
      <c r="R44" s="4">
        <f>COUNTIFS($A$5:$A$309,O44,$C$5:$C$309,P44,$D$5:$D$309,"&gt;0")</f>
        <v/>
      </c>
      <c r="S44" s="16">
        <f>IFERROR(AVERAGEIFS($D$5:$D$309,$A$5:$A$309,O44,$C$5:$C$309,P44),"—")</f>
        <v/>
      </c>
      <c r="T44" s="16">
        <f>IFERROR(AVERAGEIFS($H$5:$H$309,$A$5:$A$309,O44,$C$5:$C$309,P44),"—")</f>
        <v/>
      </c>
      <c r="U44" s="15">
        <f>IFERROR(AVERAGEIFS($I$5:$I$309,$A$5:$A$309,O44,$C$5:$C$309,P44),"—")</f>
        <v/>
      </c>
      <c r="V44" s="15">
        <f>IFERROR(AVERAGEIFS($K$5:$K$309,$A$5:$A$309,O44,$C$5:$C$309,P44),"—")</f>
        <v/>
      </c>
      <c r="W44" s="20" t="n">
        <v>4</v>
      </c>
      <c r="X44" s="4">
        <f>IF(R44=0,"NOT LISTED on Bridg",IF(NOT(ISNUMBER(V44)),"No direct quote",IF(ABS(V44)&lt;=W44,"Match (net of Bridg fee)",IF(ABS(U44)&lt;=W44,"Match (Bridg fee not applied)",IF(V44&lt;0,"Bridg LOWER than venue","Bridg HIGHER than venue")))))</f>
        <v/>
      </c>
    </row>
    <row r="45">
      <c r="A45" s="4" t="inlineStr">
        <is>
          <t>SOL → ETH</t>
        </is>
      </c>
      <c r="B45" s="4" t="n">
        <v>2</v>
      </c>
      <c r="C45" s="4" t="inlineStr">
        <is>
          <t>Layerswap</t>
        </is>
      </c>
      <c r="D45" s="18" t="n">
        <v>99.545942</v>
      </c>
      <c r="E45" s="4" t="inlineStr"/>
      <c r="F45" s="18" t="n">
        <v>99.730237</v>
      </c>
      <c r="G45" s="18" t="n"/>
      <c r="H45" s="16">
        <f>IF(ISNUMBER(F45),F45-N(G45),"")</f>
        <v/>
      </c>
      <c r="I45" s="15">
        <f>IF(AND(ISNUMBER(D45),ISNUMBER(H45)),(D45-H45)/100*10000,"")</f>
        <v/>
      </c>
      <c r="J45" s="18" t="n">
        <v>0.05</v>
      </c>
      <c r="K45" s="15">
        <f>IF(ISNUMBER(I45),I45+N(J45)/100*10000,"")</f>
        <v/>
      </c>
      <c r="L45" s="19" t="n">
        <v>1.401</v>
      </c>
      <c r="M45" s="4" t="inlineStr"/>
      <c r="O45" s="4" t="inlineStr">
        <is>
          <t>BSC → SOL</t>
        </is>
      </c>
      <c r="P45" s="4" t="inlineStr">
        <is>
          <t>Husher</t>
        </is>
      </c>
      <c r="Q45" s="4">
        <f>COUNTIFS($A$5:$A$309,O45,$C$5:$C$309,P45)</f>
        <v/>
      </c>
      <c r="R45" s="4">
        <f>COUNTIFS($A$5:$A$309,O45,$C$5:$C$309,P45,$D$5:$D$309,"&gt;0")</f>
        <v/>
      </c>
      <c r="S45" s="16">
        <f>IFERROR(AVERAGEIFS($D$5:$D$309,$A$5:$A$309,O45,$C$5:$C$309,P45),"—")</f>
        <v/>
      </c>
      <c r="T45" s="16">
        <f>IFERROR(AVERAGEIFS($H$5:$H$309,$A$5:$A$309,O45,$C$5:$C$309,P45),"—")</f>
        <v/>
      </c>
      <c r="U45" s="15">
        <f>IFERROR(AVERAGEIFS($I$5:$I$309,$A$5:$A$309,O45,$C$5:$C$309,P45),"—")</f>
        <v/>
      </c>
      <c r="V45" s="15">
        <f>IFERROR(AVERAGEIFS($K$5:$K$309,$A$5:$A$309,O45,$C$5:$C$309,P45),"—")</f>
        <v/>
      </c>
      <c r="W45" s="20" t="n">
        <v>2</v>
      </c>
      <c r="X45" s="4">
        <f>IF(R45=0,"NOT LISTED on Bridg",IF(NOT(ISNUMBER(V45)),"No direct quote",IF(ABS(V45)&lt;=W45,"Match (net of Bridg fee)",IF(ABS(U45)&lt;=W45,"Match (Bridg fee not applied)",IF(V45&lt;0,"Bridg LOWER than venue","Bridg HIGHER than venue")))))</f>
        <v/>
      </c>
    </row>
    <row r="46">
      <c r="A46" s="4" t="inlineStr">
        <is>
          <t>SOL → ETH</t>
        </is>
      </c>
      <c r="B46" s="4" t="n">
        <v>3</v>
      </c>
      <c r="C46" s="4" t="inlineStr">
        <is>
          <t>Layerswap</t>
        </is>
      </c>
      <c r="D46" s="18" t="n">
        <v>99.545942</v>
      </c>
      <c r="E46" s="4" t="inlineStr"/>
      <c r="F46" s="18" t="n">
        <v>99.730239</v>
      </c>
      <c r="G46" s="18" t="n"/>
      <c r="H46" s="16">
        <f>IF(ISNUMBER(F46),F46-N(G46),"")</f>
        <v/>
      </c>
      <c r="I46" s="15">
        <f>IF(AND(ISNUMBER(D46),ISNUMBER(H46)),(D46-H46)/100*10000,"")</f>
        <v/>
      </c>
      <c r="J46" s="18" t="n">
        <v>0.05</v>
      </c>
      <c r="K46" s="15">
        <f>IF(ISNUMBER(I46),I46+N(J46)/100*10000,"")</f>
        <v/>
      </c>
      <c r="L46" s="19" t="n">
        <v>1.29</v>
      </c>
      <c r="M46" s="4" t="inlineStr"/>
      <c r="O46" s="4" t="inlineStr">
        <is>
          <t>BSC → SOL</t>
        </is>
      </c>
      <c r="P46" s="4" t="inlineStr">
        <is>
          <t>Layerswap</t>
        </is>
      </c>
      <c r="Q46" s="4">
        <f>COUNTIFS($A$5:$A$309,O46,$C$5:$C$309,P46)</f>
        <v/>
      </c>
      <c r="R46" s="4">
        <f>COUNTIFS($A$5:$A$309,O46,$C$5:$C$309,P46,$D$5:$D$309,"&gt;0")</f>
        <v/>
      </c>
      <c r="S46" s="16">
        <f>IFERROR(AVERAGEIFS($D$5:$D$309,$A$5:$A$309,O46,$C$5:$C$309,P46),"—")</f>
        <v/>
      </c>
      <c r="T46" s="16">
        <f>IFERROR(AVERAGEIFS($H$5:$H$309,$A$5:$A$309,O46,$C$5:$C$309,P46),"—")</f>
        <v/>
      </c>
      <c r="U46" s="15">
        <f>IFERROR(AVERAGEIFS($I$5:$I$309,$A$5:$A$309,O46,$C$5:$C$309,P46),"—")</f>
        <v/>
      </c>
      <c r="V46" s="15">
        <f>IFERROR(AVERAGEIFS($K$5:$K$309,$A$5:$A$309,O46,$C$5:$C$309,P46),"—")</f>
        <v/>
      </c>
      <c r="W46" s="20" t="n">
        <v>2</v>
      </c>
      <c r="X46" s="4">
        <f>IF(R46=0,"NOT LISTED on Bridg",IF(NOT(ISNUMBER(V46)),"No direct quote",IF(ABS(V46)&lt;=W46,"Match (net of Bridg fee)",IF(ABS(U46)&lt;=W46,"Match (Bridg fee not applied)",IF(V46&lt;0,"Bridg LOWER than venue","Bridg HIGHER than venue")))))</f>
        <v/>
      </c>
    </row>
    <row r="47">
      <c r="A47" s="4" t="inlineStr">
        <is>
          <t>SOL → ETH</t>
        </is>
      </c>
      <c r="B47" s="4" t="n">
        <v>1</v>
      </c>
      <c r="C47" s="4" t="inlineStr">
        <is>
          <t>Meson</t>
        </is>
      </c>
      <c r="D47" s="18" t="n">
        <v>99.85005</v>
      </c>
      <c r="E47" s="4" t="inlineStr">
        <is>
          <t>yes</t>
        </is>
      </c>
      <c r="F47" s="18" t="n">
        <v>99.70999999999999</v>
      </c>
      <c r="G47" s="18" t="n"/>
      <c r="H47" s="16">
        <f>IF(ISNUMBER(F47),F47-N(G47),"")</f>
        <v/>
      </c>
      <c r="I47" s="15">
        <f>IF(AND(ISNUMBER(D47),ISNUMBER(H47)),(D47-H47)/100*10000,"")</f>
        <v/>
      </c>
      <c r="J47" s="18" t="n">
        <v>0.05</v>
      </c>
      <c r="K47" s="15">
        <f>IF(ISNUMBER(I47),I47+N(J47)/100*10000,"")</f>
        <v/>
      </c>
      <c r="L47" s="19" t="n">
        <v>0.888</v>
      </c>
      <c r="M47" s="4" t="inlineStr"/>
      <c r="O47" s="4" t="inlineStr">
        <is>
          <t>BSC → SOL</t>
        </is>
      </c>
      <c r="P47" s="4" t="inlineStr">
        <is>
          <t>Meson</t>
        </is>
      </c>
      <c r="Q47" s="4">
        <f>COUNTIFS($A$5:$A$309,O47,$C$5:$C$309,P47)</f>
        <v/>
      </c>
      <c r="R47" s="4">
        <f>COUNTIFS($A$5:$A$309,O47,$C$5:$C$309,P47,$D$5:$D$309,"&gt;0")</f>
        <v/>
      </c>
      <c r="S47" s="16">
        <f>IFERROR(AVERAGEIFS($D$5:$D$309,$A$5:$A$309,O47,$C$5:$C$309,P47),"—")</f>
        <v/>
      </c>
      <c r="T47" s="16">
        <f>IFERROR(AVERAGEIFS($H$5:$H$309,$A$5:$A$309,O47,$C$5:$C$309,P47),"—")</f>
        <v/>
      </c>
      <c r="U47" s="15">
        <f>IFERROR(AVERAGEIFS($I$5:$I$309,$A$5:$A$309,O47,$C$5:$C$309,P47),"—")</f>
        <v/>
      </c>
      <c r="V47" s="15">
        <f>IFERROR(AVERAGEIFS($K$5:$K$309,$A$5:$A$309,O47,$C$5:$C$309,P47),"—")</f>
        <v/>
      </c>
      <c r="W47" s="20" t="n">
        <v>2</v>
      </c>
      <c r="X47" s="4">
        <f>IF(R47=0,"NOT LISTED on Bridg",IF(NOT(ISNUMBER(V47)),"No direct quote",IF(ABS(V47)&lt;=W47,"Match (net of Bridg fee)",IF(ABS(U47)&lt;=W47,"Match (Bridg fee not applied)",IF(V47&lt;0,"Bridg LOWER than venue","Bridg HIGHER than venue")))))</f>
        <v/>
      </c>
    </row>
    <row r="48">
      <c r="A48" s="4" t="inlineStr">
        <is>
          <t>SOL → ETH</t>
        </is>
      </c>
      <c r="B48" s="4" t="n">
        <v>2</v>
      </c>
      <c r="C48" s="4" t="inlineStr">
        <is>
          <t>Meson</t>
        </is>
      </c>
      <c r="D48" s="18" t="n">
        <v>99.85005</v>
      </c>
      <c r="E48" s="4" t="inlineStr">
        <is>
          <t>yes</t>
        </is>
      </c>
      <c r="F48" s="18" t="n">
        <v>99.70999999999999</v>
      </c>
      <c r="G48" s="18" t="n"/>
      <c r="H48" s="16">
        <f>IF(ISNUMBER(F48),F48-N(G48),"")</f>
        <v/>
      </c>
      <c r="I48" s="15">
        <f>IF(AND(ISNUMBER(D48),ISNUMBER(H48)),(D48-H48)/100*10000,"")</f>
        <v/>
      </c>
      <c r="J48" s="18" t="n">
        <v>0.05</v>
      </c>
      <c r="K48" s="15">
        <f>IF(ISNUMBER(I48),I48+N(J48)/100*10000,"")</f>
        <v/>
      </c>
      <c r="L48" s="19" t="n">
        <v>0.777</v>
      </c>
      <c r="M48" s="4" t="inlineStr"/>
      <c r="O48" s="4" t="inlineStr">
        <is>
          <t>BSC → SOL</t>
        </is>
      </c>
      <c r="P48" s="4" t="inlineStr">
        <is>
          <t>SimpleSwap</t>
        </is>
      </c>
      <c r="Q48" s="4">
        <f>COUNTIFS($A$5:$A$309,O48,$C$5:$C$309,P48)</f>
        <v/>
      </c>
      <c r="R48" s="4">
        <f>COUNTIFS($A$5:$A$309,O48,$C$5:$C$309,P48,$D$5:$D$309,"&gt;0")</f>
        <v/>
      </c>
      <c r="S48" s="16">
        <f>IFERROR(AVERAGEIFS($D$5:$D$309,$A$5:$A$309,O48,$C$5:$C$309,P48),"—")</f>
        <v/>
      </c>
      <c r="T48" s="16">
        <f>IFERROR(AVERAGEIFS($H$5:$H$309,$A$5:$A$309,O48,$C$5:$C$309,P48),"—")</f>
        <v/>
      </c>
      <c r="U48" s="15">
        <f>IFERROR(AVERAGEIFS($I$5:$I$309,$A$5:$A$309,O48,$C$5:$C$309,P48),"—")</f>
        <v/>
      </c>
      <c r="V48" s="15">
        <f>IFERROR(AVERAGEIFS($K$5:$K$309,$A$5:$A$309,O48,$C$5:$C$309,P48),"—")</f>
        <v/>
      </c>
      <c r="W48" s="20" t="n">
        <v>2</v>
      </c>
      <c r="X48" s="4">
        <f>IF(R48=0,"NOT LISTED on Bridg",IF(NOT(ISNUMBER(V48)),"No direct quote",IF(ABS(V48)&lt;=W48,"Match (net of Bridg fee)",IF(ABS(U48)&lt;=W48,"Match (Bridg fee not applied)",IF(V48&lt;0,"Bridg LOWER than venue","Bridg HIGHER than venue")))))</f>
        <v/>
      </c>
    </row>
    <row r="49">
      <c r="A49" s="4" t="inlineStr">
        <is>
          <t>SOL → ETH</t>
        </is>
      </c>
      <c r="B49" s="4" t="n">
        <v>3</v>
      </c>
      <c r="C49" s="4" t="inlineStr">
        <is>
          <t>Meson</t>
        </is>
      </c>
      <c r="D49" s="18" t="n">
        <v>99.85005</v>
      </c>
      <c r="E49" s="4" t="inlineStr">
        <is>
          <t>yes</t>
        </is>
      </c>
      <c r="F49" s="18" t="n">
        <v>99.72</v>
      </c>
      <c r="G49" s="18" t="n"/>
      <c r="H49" s="16">
        <f>IF(ISNUMBER(F49),F49-N(G49),"")</f>
        <v/>
      </c>
      <c r="I49" s="15">
        <f>IF(AND(ISNUMBER(D49),ISNUMBER(H49)),(D49-H49)/100*10000,"")</f>
        <v/>
      </c>
      <c r="J49" s="18" t="n">
        <v>0.05</v>
      </c>
      <c r="K49" s="15">
        <f>IF(ISNUMBER(I49),I49+N(J49)/100*10000,"")</f>
        <v/>
      </c>
      <c r="L49" s="19" t="n">
        <v>0.706</v>
      </c>
      <c r="M49" s="4" t="inlineStr"/>
      <c r="O49" s="4" t="inlineStr">
        <is>
          <t>BSC → SOL</t>
        </is>
      </c>
      <c r="P49" s="4" t="inlineStr">
        <is>
          <t>Symbiosis</t>
        </is>
      </c>
      <c r="Q49" s="4">
        <f>COUNTIFS($A$5:$A$309,O49,$C$5:$C$309,P49)</f>
        <v/>
      </c>
      <c r="R49" s="4">
        <f>COUNTIFS($A$5:$A$309,O49,$C$5:$C$309,P49,$D$5:$D$309,"&gt;0")</f>
        <v/>
      </c>
      <c r="S49" s="16">
        <f>IFERROR(AVERAGEIFS($D$5:$D$309,$A$5:$A$309,O49,$C$5:$C$309,P49),"—")</f>
        <v/>
      </c>
      <c r="T49" s="16">
        <f>IFERROR(AVERAGEIFS($H$5:$H$309,$A$5:$A$309,O49,$C$5:$C$309,P49),"—")</f>
        <v/>
      </c>
      <c r="U49" s="15">
        <f>IFERROR(AVERAGEIFS($I$5:$I$309,$A$5:$A$309,O49,$C$5:$C$309,P49),"—")</f>
        <v/>
      </c>
      <c r="V49" s="15">
        <f>IFERROR(AVERAGEIFS($K$5:$K$309,$A$5:$A$309,O49,$C$5:$C$309,P49),"—")</f>
        <v/>
      </c>
      <c r="W49" s="20" t="n">
        <v>2</v>
      </c>
      <c r="X49" s="4">
        <f>IF(R49=0,"NOT LISTED on Bridg",IF(NOT(ISNUMBER(V49)),"No direct quote",IF(ABS(V49)&lt;=W49,"Match (net of Bridg fee)",IF(ABS(U49)&lt;=W49,"Match (Bridg fee not applied)",IF(V49&lt;0,"Bridg LOWER than venue","Bridg HIGHER than venue")))))</f>
        <v/>
      </c>
    </row>
    <row r="50">
      <c r="A50" s="4" t="inlineStr">
        <is>
          <t>SOL → ETH</t>
        </is>
      </c>
      <c r="B50" s="4" t="n">
        <v>1</v>
      </c>
      <c r="C50" s="4" t="inlineStr">
        <is>
          <t>SimpleSwap</t>
        </is>
      </c>
      <c r="D50" s="18" t="n">
        <v>97.433809</v>
      </c>
      <c r="E50" s="4" t="inlineStr"/>
      <c r="F50" s="18" t="n">
        <v>98.19881700000001</v>
      </c>
      <c r="G50" s="18" t="n"/>
      <c r="H50" s="16">
        <f>IF(ISNUMBER(F50),F50-N(G50),"")</f>
        <v/>
      </c>
      <c r="I50" s="15">
        <f>IF(AND(ISNUMBER(D50),ISNUMBER(H50)),(D50-H50)/100*10000,"")</f>
        <v/>
      </c>
      <c r="J50" s="18" t="n">
        <v>0.05</v>
      </c>
      <c r="K50" s="15">
        <f>IF(ISNUMBER(I50),I50+N(J50)/100*10000,"")</f>
        <v/>
      </c>
      <c r="L50" s="19" t="n">
        <v>1.734</v>
      </c>
      <c r="M50" s="4" t="inlineStr">
        <is>
          <t>selected card: Best rate / Decentralized; best card 98.198817</t>
        </is>
      </c>
      <c r="O50" s="4" t="inlineStr">
        <is>
          <t>SOL → Base</t>
        </is>
      </c>
      <c r="P50" s="4" t="inlineStr">
        <is>
          <t>Relay</t>
        </is>
      </c>
      <c r="Q50" s="4">
        <f>COUNTIFS($A$5:$A$309,O50,$C$5:$C$309,P50)</f>
        <v/>
      </c>
      <c r="R50" s="4">
        <f>COUNTIFS($A$5:$A$309,O50,$C$5:$C$309,P50,$D$5:$D$309,"&gt;0")</f>
        <v/>
      </c>
      <c r="S50" s="16">
        <f>IFERROR(AVERAGEIFS($D$5:$D$309,$A$5:$A$309,O50,$C$5:$C$309,P50),"—")</f>
        <v/>
      </c>
      <c r="T50" s="16">
        <f>IFERROR(AVERAGEIFS($H$5:$H$309,$A$5:$A$309,O50,$C$5:$C$309,P50),"—")</f>
        <v/>
      </c>
      <c r="U50" s="15">
        <f>IFERROR(AVERAGEIFS($I$5:$I$309,$A$5:$A$309,O50,$C$5:$C$309,P50),"—")</f>
        <v/>
      </c>
      <c r="V50" s="15">
        <f>IFERROR(AVERAGEIFS($K$5:$K$309,$A$5:$A$309,O50,$C$5:$C$309,P50),"—")</f>
        <v/>
      </c>
      <c r="W50" s="20" t="n">
        <v>2</v>
      </c>
      <c r="X50" s="4">
        <f>IF(R50=0,"NOT LISTED on Bridg",IF(NOT(ISNUMBER(V50)),"No direct quote",IF(ABS(V50)&lt;=W50,"Match (net of Bridg fee)",IF(ABS(U50)&lt;=W50,"Match (Bridg fee not applied)",IF(V50&lt;0,"Bridg LOWER than venue","Bridg HIGHER than venue")))))</f>
        <v/>
      </c>
    </row>
    <row r="51">
      <c r="A51" s="4" t="inlineStr">
        <is>
          <t>SOL → ETH</t>
        </is>
      </c>
      <c r="B51" s="4" t="n">
        <v>2</v>
      </c>
      <c r="C51" s="4" t="inlineStr">
        <is>
          <t>SimpleSwap</t>
        </is>
      </c>
      <c r="D51" s="18" t="n">
        <v>97.449974</v>
      </c>
      <c r="E51" s="4" t="inlineStr"/>
      <c r="F51" s="18" t="n">
        <v>98.19900699999999</v>
      </c>
      <c r="G51" s="18" t="n"/>
      <c r="H51" s="16">
        <f>IF(ISNUMBER(F51),F51-N(G51),"")</f>
        <v/>
      </c>
      <c r="I51" s="15">
        <f>IF(AND(ISNUMBER(D51),ISNUMBER(H51)),(D51-H51)/100*10000,"")</f>
        <v/>
      </c>
      <c r="J51" s="18" t="n">
        <v>0.05</v>
      </c>
      <c r="K51" s="15">
        <f>IF(ISNUMBER(I51),I51+N(J51)/100*10000,"")</f>
        <v/>
      </c>
      <c r="L51" s="19" t="n">
        <v>1.601</v>
      </c>
      <c r="M51" s="4" t="inlineStr">
        <is>
          <t>selected card: Best rate / Decentralized; best card 98.199007</t>
        </is>
      </c>
      <c r="O51" s="4" t="inlineStr">
        <is>
          <t>SOL → Base</t>
        </is>
      </c>
      <c r="P51" s="4" t="inlineStr">
        <is>
          <t>deBridge</t>
        </is>
      </c>
      <c r="Q51" s="4">
        <f>COUNTIFS($A$5:$A$309,O51,$C$5:$C$309,P51)</f>
        <v/>
      </c>
      <c r="R51" s="4">
        <f>COUNTIFS($A$5:$A$309,O51,$C$5:$C$309,P51,$D$5:$D$309,"&gt;0")</f>
        <v/>
      </c>
      <c r="S51" s="16">
        <f>IFERROR(AVERAGEIFS($D$5:$D$309,$A$5:$A$309,O51,$C$5:$C$309,P51),"—")</f>
        <v/>
      </c>
      <c r="T51" s="16">
        <f>IFERROR(AVERAGEIFS($H$5:$H$309,$A$5:$A$309,O51,$C$5:$C$309,P51),"—")</f>
        <v/>
      </c>
      <c r="U51" s="15">
        <f>IFERROR(AVERAGEIFS($I$5:$I$309,$A$5:$A$309,O51,$C$5:$C$309,P51),"—")</f>
        <v/>
      </c>
      <c r="V51" s="15">
        <f>IFERROR(AVERAGEIFS($K$5:$K$309,$A$5:$A$309,O51,$C$5:$C$309,P51),"—")</f>
        <v/>
      </c>
      <c r="W51" s="20" t="n">
        <v>2</v>
      </c>
      <c r="X51" s="4">
        <f>IF(R51=0,"NOT LISTED on Bridg",IF(NOT(ISNUMBER(V51)),"No direct quote",IF(ABS(V51)&lt;=W51,"Match (net of Bridg fee)",IF(ABS(U51)&lt;=W51,"Match (Bridg fee not applied)",IF(V51&lt;0,"Bridg LOWER than venue","Bridg HIGHER than venue")))))</f>
        <v/>
      </c>
    </row>
    <row r="52">
      <c r="A52" s="4" t="inlineStr">
        <is>
          <t>SOL → ETH</t>
        </is>
      </c>
      <c r="B52" s="4" t="n">
        <v>3</v>
      </c>
      <c r="C52" s="4" t="inlineStr">
        <is>
          <t>SimpleSwap</t>
        </is>
      </c>
      <c r="D52" s="18" t="n">
        <v>97.449974</v>
      </c>
      <c r="E52" s="4" t="inlineStr"/>
      <c r="F52" s="18" t="n">
        <v>98.19890599999999</v>
      </c>
      <c r="G52" s="18" t="n"/>
      <c r="H52" s="16">
        <f>IF(ISNUMBER(F52),F52-N(G52),"")</f>
        <v/>
      </c>
      <c r="I52" s="15">
        <f>IF(AND(ISNUMBER(D52),ISNUMBER(H52)),(D52-H52)/100*10000,"")</f>
        <v/>
      </c>
      <c r="J52" s="18" t="n">
        <v>0.05</v>
      </c>
      <c r="K52" s="15">
        <f>IF(ISNUMBER(I52),I52+N(J52)/100*10000,"")</f>
        <v/>
      </c>
      <c r="L52" s="19" t="n">
        <v>5.02</v>
      </c>
      <c r="M52" s="4" t="inlineStr">
        <is>
          <t>selected card: Best rate / Decentralized; best card 98.198906</t>
        </is>
      </c>
      <c r="O52" s="4" t="inlineStr">
        <is>
          <t>SOL → Base</t>
        </is>
      </c>
      <c r="P52" s="4" t="inlineStr">
        <is>
          <t>LI.FI (Jumper)</t>
        </is>
      </c>
      <c r="Q52" s="4">
        <f>COUNTIFS($A$5:$A$309,O52,$C$5:$C$309,P52)</f>
        <v/>
      </c>
      <c r="R52" s="4">
        <f>COUNTIFS($A$5:$A$309,O52,$C$5:$C$309,P52,$D$5:$D$309,"&gt;0")</f>
        <v/>
      </c>
      <c r="S52" s="16">
        <f>IFERROR(AVERAGEIFS($D$5:$D$309,$A$5:$A$309,O52,$C$5:$C$309,P52),"—")</f>
        <v/>
      </c>
      <c r="T52" s="16">
        <f>IFERROR(AVERAGEIFS($H$5:$H$309,$A$5:$A$309,O52,$C$5:$C$309,P52),"—")</f>
        <v/>
      </c>
      <c r="U52" s="15">
        <f>IFERROR(AVERAGEIFS($I$5:$I$309,$A$5:$A$309,O52,$C$5:$C$309,P52),"—")</f>
        <v/>
      </c>
      <c r="V52" s="15">
        <f>IFERROR(AVERAGEIFS($K$5:$K$309,$A$5:$A$309,O52,$C$5:$C$309,P52),"—")</f>
        <v/>
      </c>
      <c r="W52" s="20" t="n">
        <v>2</v>
      </c>
      <c r="X52" s="4">
        <f>IF(R52=0,"NOT LISTED on Bridg",IF(NOT(ISNUMBER(V52)),"No direct quote",IF(ABS(V52)&lt;=W52,"Match (net of Bridg fee)",IF(ABS(U52)&lt;=W52,"Match (Bridg fee not applied)",IF(V52&lt;0,"Bridg LOWER than venue","Bridg HIGHER than venue")))))</f>
        <v/>
      </c>
    </row>
    <row r="53">
      <c r="A53" s="4" t="inlineStr">
        <is>
          <t>SOL → ETH</t>
        </is>
      </c>
      <c r="B53" s="4" t="n">
        <v>3</v>
      </c>
      <c r="C53" s="4" t="inlineStr">
        <is>
          <t>SimpleSwap</t>
        </is>
      </c>
      <c r="D53" s="18" t="n">
        <v>97.465605</v>
      </c>
      <c r="E53" s="4" t="inlineStr"/>
      <c r="F53" s="18" t="n">
        <v>98.19890599999999</v>
      </c>
      <c r="G53" s="18" t="n"/>
      <c r="H53" s="16">
        <f>IF(ISNUMBER(F53),F53-N(G53),"")</f>
        <v/>
      </c>
      <c r="I53" s="15">
        <f>IF(AND(ISNUMBER(D53),ISNUMBER(H53)),(D53-H53)/100*10000,"")</f>
        <v/>
      </c>
      <c r="J53" s="18" t="n">
        <v>0.05</v>
      </c>
      <c r="K53" s="15">
        <f>IF(ISNUMBER(I53),I53+N(J53)/100*10000,"")</f>
        <v/>
      </c>
      <c r="L53" s="19" t="n">
        <v>1.83</v>
      </c>
      <c r="M53" s="4" t="inlineStr">
        <is>
          <t>selected card: Best rate / Decentralized; best card 98.198906</t>
        </is>
      </c>
      <c r="O53" s="4" t="inlineStr">
        <is>
          <t>SOL → Base</t>
        </is>
      </c>
      <c r="P53" s="4" t="inlineStr">
        <is>
          <t>Across</t>
        </is>
      </c>
      <c r="Q53" s="4">
        <f>COUNTIFS($A$5:$A$309,O53,$C$5:$C$309,P53)</f>
        <v/>
      </c>
      <c r="R53" s="4">
        <f>COUNTIFS($A$5:$A$309,O53,$C$5:$C$309,P53,$D$5:$D$309,"&gt;0")</f>
        <v/>
      </c>
      <c r="S53" s="16">
        <f>IFERROR(AVERAGEIFS($D$5:$D$309,$A$5:$A$309,O53,$C$5:$C$309,P53),"—")</f>
        <v/>
      </c>
      <c r="T53" s="16">
        <f>IFERROR(AVERAGEIFS($H$5:$H$309,$A$5:$A$309,O53,$C$5:$C$309,P53),"—")</f>
        <v/>
      </c>
      <c r="U53" s="15">
        <f>IFERROR(AVERAGEIFS($I$5:$I$309,$A$5:$A$309,O53,$C$5:$C$309,P53),"—")</f>
        <v/>
      </c>
      <c r="V53" s="15">
        <f>IFERROR(AVERAGEIFS($K$5:$K$309,$A$5:$A$309,O53,$C$5:$C$309,P53),"—")</f>
        <v/>
      </c>
      <c r="W53" s="20" t="n">
        <v>2</v>
      </c>
      <c r="X53" s="4">
        <f>IF(R53=0,"NOT LISTED on Bridg",IF(NOT(ISNUMBER(V53)),"No direct quote",IF(ABS(V53)&lt;=W53,"Match (net of Bridg fee)",IF(ABS(U53)&lt;=W53,"Match (Bridg fee not applied)",IF(V53&lt;0,"Bridg LOWER than venue","Bridg HIGHER than venue")))))</f>
        <v/>
      </c>
    </row>
    <row r="54">
      <c r="A54" s="4" t="inlineStr">
        <is>
          <t>SOL → ETH</t>
        </is>
      </c>
      <c r="B54" s="4" t="n">
        <v>1</v>
      </c>
      <c r="C54" s="4" t="inlineStr">
        <is>
          <t>Skip Go</t>
        </is>
      </c>
      <c r="D54" s="18" t="n">
        <v>99.646196</v>
      </c>
      <c r="E54" s="4" t="inlineStr"/>
      <c r="F54" s="18" t="n">
        <v>99.68411</v>
      </c>
      <c r="G54" s="18" t="n"/>
      <c r="H54" s="16">
        <f>IF(ISNUMBER(F54),F54-N(G54),"")</f>
        <v/>
      </c>
      <c r="I54" s="15">
        <f>IF(AND(ISNUMBER(D54),ISNUMBER(H54)),(D54-H54)/100*10000,"")</f>
        <v/>
      </c>
      <c r="J54" s="18" t="n">
        <v>0.05</v>
      </c>
      <c r="K54" s="15">
        <f>IF(ISNUMBER(I54),I54+N(J54)/100*10000,"")</f>
        <v/>
      </c>
      <c r="L54" s="19" t="n">
        <v>1.345</v>
      </c>
      <c r="M54" s="4" t="inlineStr"/>
      <c r="O54" s="4" t="inlineStr">
        <is>
          <t>SOL → Base</t>
        </is>
      </c>
      <c r="P54" s="4" t="inlineStr">
        <is>
          <t>Mayan</t>
        </is>
      </c>
      <c r="Q54" s="4">
        <f>COUNTIFS($A$5:$A$309,O54,$C$5:$C$309,P54)</f>
        <v/>
      </c>
      <c r="R54" s="4">
        <f>COUNTIFS($A$5:$A$309,O54,$C$5:$C$309,P54,$D$5:$D$309,"&gt;0")</f>
        <v/>
      </c>
      <c r="S54" s="16">
        <f>IFERROR(AVERAGEIFS($D$5:$D$309,$A$5:$A$309,O54,$C$5:$C$309,P54),"—")</f>
        <v/>
      </c>
      <c r="T54" s="16">
        <f>IFERROR(AVERAGEIFS($H$5:$H$309,$A$5:$A$309,O54,$C$5:$C$309,P54),"—")</f>
        <v/>
      </c>
      <c r="U54" s="15">
        <f>IFERROR(AVERAGEIFS($I$5:$I$309,$A$5:$A$309,O54,$C$5:$C$309,P54),"—")</f>
        <v/>
      </c>
      <c r="V54" s="15">
        <f>IFERROR(AVERAGEIFS($K$5:$K$309,$A$5:$A$309,O54,$C$5:$C$309,P54),"—")</f>
        <v/>
      </c>
      <c r="W54" s="20" t="n">
        <v>4</v>
      </c>
      <c r="X54" s="4">
        <f>IF(R54=0,"NOT LISTED on Bridg",IF(NOT(ISNUMBER(V54)),"No direct quote",IF(ABS(V54)&lt;=W54,"Match (net of Bridg fee)",IF(ABS(U54)&lt;=W54,"Match (Bridg fee not applied)",IF(V54&lt;0,"Bridg LOWER than venue","Bridg HIGHER than venue")))))</f>
        <v/>
      </c>
    </row>
    <row r="55">
      <c r="A55" s="4" t="inlineStr">
        <is>
          <t>SOL → ETH</t>
        </is>
      </c>
      <c r="B55" s="4" t="n">
        <v>2</v>
      </c>
      <c r="C55" s="4" t="inlineStr">
        <is>
          <t>Skip Go</t>
        </is>
      </c>
      <c r="D55" s="18" t="n">
        <v>99.683142</v>
      </c>
      <c r="E55" s="4" t="inlineStr"/>
      <c r="F55" s="18" t="n">
        <v>99.72108</v>
      </c>
      <c r="G55" s="18" t="n"/>
      <c r="H55" s="16">
        <f>IF(ISNUMBER(F55),F55-N(G55),"")</f>
        <v/>
      </c>
      <c r="I55" s="15">
        <f>IF(AND(ISNUMBER(D55),ISNUMBER(H55)),(D55-H55)/100*10000,"")</f>
        <v/>
      </c>
      <c r="J55" s="18" t="n">
        <v>0.05</v>
      </c>
      <c r="K55" s="15">
        <f>IF(ISNUMBER(I55),I55+N(J55)/100*10000,"")</f>
        <v/>
      </c>
      <c r="L55" s="19" t="n">
        <v>1.461</v>
      </c>
      <c r="M55" s="4" t="inlineStr"/>
      <c r="O55" s="4" t="inlineStr">
        <is>
          <t>SOL → Base</t>
        </is>
      </c>
      <c r="P55" s="4" t="inlineStr">
        <is>
          <t>Allbridge Core</t>
        </is>
      </c>
      <c r="Q55" s="4">
        <f>COUNTIFS($A$5:$A$309,O55,$C$5:$C$309,P55)</f>
        <v/>
      </c>
      <c r="R55" s="4">
        <f>COUNTIFS($A$5:$A$309,O55,$C$5:$C$309,P55,$D$5:$D$309,"&gt;0")</f>
        <v/>
      </c>
      <c r="S55" s="16">
        <f>IFERROR(AVERAGEIFS($D$5:$D$309,$A$5:$A$309,O55,$C$5:$C$309,P55),"—")</f>
        <v/>
      </c>
      <c r="T55" s="16">
        <f>IFERROR(AVERAGEIFS($H$5:$H$309,$A$5:$A$309,O55,$C$5:$C$309,P55),"—")</f>
        <v/>
      </c>
      <c r="U55" s="15">
        <f>IFERROR(AVERAGEIFS($I$5:$I$309,$A$5:$A$309,O55,$C$5:$C$309,P55),"—")</f>
        <v/>
      </c>
      <c r="V55" s="15">
        <f>IFERROR(AVERAGEIFS($K$5:$K$309,$A$5:$A$309,O55,$C$5:$C$309,P55),"—")</f>
        <v/>
      </c>
      <c r="W55" s="20" t="n">
        <v>2</v>
      </c>
      <c r="X55" s="4">
        <f>IF(R55=0,"NOT LISTED on Bridg",IF(NOT(ISNUMBER(V55)),"No direct quote",IF(ABS(V55)&lt;=W55,"Match (net of Bridg fee)",IF(ABS(U55)&lt;=W55,"Match (Bridg fee not applied)",IF(V55&lt;0,"Bridg LOWER than venue","Bridg HIGHER than venue")))))</f>
        <v/>
      </c>
    </row>
    <row r="56">
      <c r="A56" s="4" t="inlineStr">
        <is>
          <t>SOL → ETH</t>
        </is>
      </c>
      <c r="B56" s="4" t="n">
        <v>3</v>
      </c>
      <c r="C56" s="4" t="inlineStr">
        <is>
          <t>Skip Go</t>
        </is>
      </c>
      <c r="D56" s="18" t="n">
        <v>99.683142</v>
      </c>
      <c r="E56" s="4" t="inlineStr"/>
      <c r="F56" s="18" t="n">
        <v>99.72108</v>
      </c>
      <c r="G56" s="18" t="n"/>
      <c r="H56" s="16">
        <f>IF(ISNUMBER(F56),F56-N(G56),"")</f>
        <v/>
      </c>
      <c r="I56" s="15">
        <f>IF(AND(ISNUMBER(D56),ISNUMBER(H56)),(D56-H56)/100*10000,"")</f>
        <v/>
      </c>
      <c r="J56" s="18" t="n">
        <v>0.05</v>
      </c>
      <c r="K56" s="15">
        <f>IF(ISNUMBER(I56),I56+N(J56)/100*10000,"")</f>
        <v/>
      </c>
      <c r="L56" s="19" t="n">
        <v>1.621</v>
      </c>
      <c r="M56" s="4" t="inlineStr"/>
      <c r="O56" s="4" t="inlineStr">
        <is>
          <t>SOL → Base</t>
        </is>
      </c>
      <c r="P56" s="4" t="inlineStr">
        <is>
          <t>CCTP (via Portal)</t>
        </is>
      </c>
      <c r="Q56" s="4">
        <f>COUNTIFS($A$5:$A$309,O56,$C$5:$C$309,P56)</f>
        <v/>
      </c>
      <c r="R56" s="4">
        <f>COUNTIFS($A$5:$A$309,O56,$C$5:$C$309,P56,$D$5:$D$309,"&gt;0")</f>
        <v/>
      </c>
      <c r="S56" s="16">
        <f>IFERROR(AVERAGEIFS($D$5:$D$309,$A$5:$A$309,O56,$C$5:$C$309,P56),"—")</f>
        <v/>
      </c>
      <c r="T56" s="16">
        <f>IFERROR(AVERAGEIFS($H$5:$H$309,$A$5:$A$309,O56,$C$5:$C$309,P56),"—")</f>
        <v/>
      </c>
      <c r="U56" s="15">
        <f>IFERROR(AVERAGEIFS($I$5:$I$309,$A$5:$A$309,O56,$C$5:$C$309,P56),"—")</f>
        <v/>
      </c>
      <c r="V56" s="15">
        <f>IFERROR(AVERAGEIFS($K$5:$K$309,$A$5:$A$309,O56,$C$5:$C$309,P56),"—")</f>
        <v/>
      </c>
      <c r="W56" s="20" t="n">
        <v>2</v>
      </c>
      <c r="X56" s="4">
        <f>IF(R56=0,"NOT LISTED on Bridg",IF(NOT(ISNUMBER(V56)),"No direct quote",IF(ABS(V56)&lt;=W56,"Match (net of Bridg fee)",IF(ABS(U56)&lt;=W56,"Match (Bridg fee not applied)",IF(V56&lt;0,"Bridg LOWER than venue","Bridg HIGHER than venue")))))</f>
        <v/>
      </c>
    </row>
    <row r="57">
      <c r="A57" s="4" t="inlineStr">
        <is>
          <t>SOL → ETH</t>
        </is>
      </c>
      <c r="B57" s="4" t="n">
        <v>1</v>
      </c>
      <c r="C57" s="4" t="inlineStr">
        <is>
          <t>Symbiosis</t>
        </is>
      </c>
      <c r="D57" s="18" t="n">
        <v>98.94288400000001</v>
      </c>
      <c r="E57" s="4" t="inlineStr"/>
      <c r="F57" s="18" t="n">
        <v>98.94288400000001</v>
      </c>
      <c r="G57" s="18" t="n"/>
      <c r="H57" s="16">
        <f>IF(ISNUMBER(F57),F57-N(G57),"")</f>
        <v/>
      </c>
      <c r="I57" s="15">
        <f>IF(AND(ISNUMBER(D57),ISNUMBER(H57)),(D57-H57)/100*10000,"")</f>
        <v/>
      </c>
      <c r="J57" s="18" t="n">
        <v>0.05</v>
      </c>
      <c r="K57" s="15">
        <f>IF(ISNUMBER(I57),I57+N(J57)/100*10000,"")</f>
        <v/>
      </c>
      <c r="L57" s="19" t="n">
        <v>1.791</v>
      </c>
      <c r="M57" s="4" t="inlineStr"/>
      <c r="O57" s="4" t="inlineStr">
        <is>
          <t>SOL → Base</t>
        </is>
      </c>
      <c r="P57" s="4" t="inlineStr">
        <is>
          <t>Husher</t>
        </is>
      </c>
      <c r="Q57" s="4">
        <f>COUNTIFS($A$5:$A$309,O57,$C$5:$C$309,P57)</f>
        <v/>
      </c>
      <c r="R57" s="4">
        <f>COUNTIFS($A$5:$A$309,O57,$C$5:$C$309,P57,$D$5:$D$309,"&gt;0")</f>
        <v/>
      </c>
      <c r="S57" s="16">
        <f>IFERROR(AVERAGEIFS($D$5:$D$309,$A$5:$A$309,O57,$C$5:$C$309,P57),"—")</f>
        <v/>
      </c>
      <c r="T57" s="16">
        <f>IFERROR(AVERAGEIFS($H$5:$H$309,$A$5:$A$309,O57,$C$5:$C$309,P57),"—")</f>
        <v/>
      </c>
      <c r="U57" s="15">
        <f>IFERROR(AVERAGEIFS($I$5:$I$309,$A$5:$A$309,O57,$C$5:$C$309,P57),"—")</f>
        <v/>
      </c>
      <c r="V57" s="15">
        <f>IFERROR(AVERAGEIFS($K$5:$K$309,$A$5:$A$309,O57,$C$5:$C$309,P57),"—")</f>
        <v/>
      </c>
      <c r="W57" s="20" t="n">
        <v>2</v>
      </c>
      <c r="X57" s="4">
        <f>IF(R57=0,"NOT LISTED on Bridg",IF(NOT(ISNUMBER(V57)),"No direct quote",IF(ABS(V57)&lt;=W57,"Match (net of Bridg fee)",IF(ABS(U57)&lt;=W57,"Match (Bridg fee not applied)",IF(V57&lt;0,"Bridg LOWER than venue","Bridg HIGHER than venue")))))</f>
        <v/>
      </c>
    </row>
    <row r="58">
      <c r="A58" s="4" t="inlineStr">
        <is>
          <t>SOL → ETH</t>
        </is>
      </c>
      <c r="B58" s="4" t="n">
        <v>2</v>
      </c>
      <c r="C58" s="4" t="inlineStr">
        <is>
          <t>Symbiosis</t>
        </is>
      </c>
      <c r="D58" s="18" t="n">
        <v>98.913042</v>
      </c>
      <c r="E58" s="4" t="inlineStr"/>
      <c r="F58" s="18" t="n">
        <v>98.913042</v>
      </c>
      <c r="G58" s="18" t="n"/>
      <c r="H58" s="16">
        <f>IF(ISNUMBER(F58),F58-N(G58),"")</f>
        <v/>
      </c>
      <c r="I58" s="15">
        <f>IF(AND(ISNUMBER(D58),ISNUMBER(H58)),(D58-H58)/100*10000,"")</f>
        <v/>
      </c>
      <c r="J58" s="18" t="n">
        <v>0.05</v>
      </c>
      <c r="K58" s="15">
        <f>IF(ISNUMBER(I58),I58+N(J58)/100*10000,"")</f>
        <v/>
      </c>
      <c r="L58" s="19" t="n">
        <v>2.085</v>
      </c>
      <c r="M58" s="4" t="inlineStr"/>
      <c r="O58" s="4" t="inlineStr">
        <is>
          <t>SOL → Base</t>
        </is>
      </c>
      <c r="P58" s="4" t="inlineStr">
        <is>
          <t>Layerswap</t>
        </is>
      </c>
      <c r="Q58" s="4">
        <f>COUNTIFS($A$5:$A$309,O58,$C$5:$C$309,P58)</f>
        <v/>
      </c>
      <c r="R58" s="4">
        <f>COUNTIFS($A$5:$A$309,O58,$C$5:$C$309,P58,$D$5:$D$309,"&gt;0")</f>
        <v/>
      </c>
      <c r="S58" s="16">
        <f>IFERROR(AVERAGEIFS($D$5:$D$309,$A$5:$A$309,O58,$C$5:$C$309,P58),"—")</f>
        <v/>
      </c>
      <c r="T58" s="16">
        <f>IFERROR(AVERAGEIFS($H$5:$H$309,$A$5:$A$309,O58,$C$5:$C$309,P58),"—")</f>
        <v/>
      </c>
      <c r="U58" s="15">
        <f>IFERROR(AVERAGEIFS($I$5:$I$309,$A$5:$A$309,O58,$C$5:$C$309,P58),"—")</f>
        <v/>
      </c>
      <c r="V58" s="15">
        <f>IFERROR(AVERAGEIFS($K$5:$K$309,$A$5:$A$309,O58,$C$5:$C$309,P58),"—")</f>
        <v/>
      </c>
      <c r="W58" s="20" t="n">
        <v>2</v>
      </c>
      <c r="X58" s="4">
        <f>IF(R58=0,"NOT LISTED on Bridg",IF(NOT(ISNUMBER(V58)),"No direct quote",IF(ABS(V58)&lt;=W58,"Match (net of Bridg fee)",IF(ABS(U58)&lt;=W58,"Match (Bridg fee not applied)",IF(V58&lt;0,"Bridg LOWER than venue","Bridg HIGHER than venue")))))</f>
        <v/>
      </c>
    </row>
    <row r="59">
      <c r="A59" s="4" t="inlineStr">
        <is>
          <t>SOL → ETH</t>
        </is>
      </c>
      <c r="B59" s="4" t="n">
        <v>3</v>
      </c>
      <c r="C59" s="4" t="inlineStr">
        <is>
          <t>Symbiosis</t>
        </is>
      </c>
      <c r="D59" s="18" t="n">
        <v>98.93973</v>
      </c>
      <c r="E59" s="4" t="inlineStr"/>
      <c r="F59" s="18" t="n">
        <v>98.943273</v>
      </c>
      <c r="G59" s="18" t="n"/>
      <c r="H59" s="16">
        <f>IF(ISNUMBER(F59),F59-N(G59),"")</f>
        <v/>
      </c>
      <c r="I59" s="15">
        <f>IF(AND(ISNUMBER(D59),ISNUMBER(H59)),(D59-H59)/100*10000,"")</f>
        <v/>
      </c>
      <c r="J59" s="18" t="n">
        <v>0.05</v>
      </c>
      <c r="K59" s="15">
        <f>IF(ISNUMBER(I59),I59+N(J59)/100*10000,"")</f>
        <v/>
      </c>
      <c r="L59" s="19" t="n">
        <v>1.739</v>
      </c>
      <c r="M59" s="4" t="inlineStr"/>
      <c r="O59" s="4" t="inlineStr">
        <is>
          <t>SOL → Base</t>
        </is>
      </c>
      <c r="P59" s="4" t="inlineStr">
        <is>
          <t>Meson</t>
        </is>
      </c>
      <c r="Q59" s="4">
        <f>COUNTIFS($A$5:$A$309,O59,$C$5:$C$309,P59)</f>
        <v/>
      </c>
      <c r="R59" s="4">
        <f>COUNTIFS($A$5:$A$309,O59,$C$5:$C$309,P59,$D$5:$D$309,"&gt;0")</f>
        <v/>
      </c>
      <c r="S59" s="16">
        <f>IFERROR(AVERAGEIFS($D$5:$D$309,$A$5:$A$309,O59,$C$5:$C$309,P59),"—")</f>
        <v/>
      </c>
      <c r="T59" s="16">
        <f>IFERROR(AVERAGEIFS($H$5:$H$309,$A$5:$A$309,O59,$C$5:$C$309,P59),"—")</f>
        <v/>
      </c>
      <c r="U59" s="15">
        <f>IFERROR(AVERAGEIFS($I$5:$I$309,$A$5:$A$309,O59,$C$5:$C$309,P59),"—")</f>
        <v/>
      </c>
      <c r="V59" s="15">
        <f>IFERROR(AVERAGEIFS($K$5:$K$309,$A$5:$A$309,O59,$C$5:$C$309,P59),"—")</f>
        <v/>
      </c>
      <c r="W59" s="20" t="n">
        <v>2</v>
      </c>
      <c r="X59" s="4">
        <f>IF(R59=0,"NOT LISTED on Bridg",IF(NOT(ISNUMBER(V59)),"No direct quote",IF(ABS(V59)&lt;=W59,"Match (net of Bridg fee)",IF(ABS(U59)&lt;=W59,"Match (Bridg fee not applied)",IF(V59&lt;0,"Bridg LOWER than venue","Bridg HIGHER than venue")))))</f>
        <v/>
      </c>
    </row>
    <row r="60">
      <c r="A60" s="4" t="inlineStr">
        <is>
          <t>ETH → SOL</t>
        </is>
      </c>
      <c r="B60" s="4" t="n">
        <v>1</v>
      </c>
      <c r="C60" s="4" t="inlineStr">
        <is>
          <t>Relay</t>
        </is>
      </c>
      <c r="D60" s="18" t="n">
        <v>99.689232</v>
      </c>
      <c r="E60" s="4" t="inlineStr"/>
      <c r="F60" s="18" t="n">
        <v>99.945561</v>
      </c>
      <c r="G60" s="18" t="n"/>
      <c r="H60" s="16">
        <f>IF(ISNUMBER(F60),F60-N(G60),"")</f>
        <v/>
      </c>
      <c r="I60" s="15">
        <f>IF(AND(ISNUMBER(D60),ISNUMBER(H60)),(D60-H60)/100*10000,"")</f>
        <v/>
      </c>
      <c r="J60" s="18" t="n">
        <v>0.05</v>
      </c>
      <c r="K60" s="15">
        <f>IF(ISNUMBER(I60),I60+N(J60)/100*10000,"")</f>
        <v/>
      </c>
      <c r="L60" s="19" t="n">
        <v>0.552</v>
      </c>
      <c r="M60" s="4" t="inlineStr"/>
      <c r="O60" s="4" t="inlineStr">
        <is>
          <t>SOL → Base</t>
        </is>
      </c>
      <c r="P60" s="4" t="inlineStr">
        <is>
          <t>SimpleSwap</t>
        </is>
      </c>
      <c r="Q60" s="4">
        <f>COUNTIFS($A$5:$A$309,O60,$C$5:$C$309,P60)</f>
        <v/>
      </c>
      <c r="R60" s="4">
        <f>COUNTIFS($A$5:$A$309,O60,$C$5:$C$309,P60,$D$5:$D$309,"&gt;0")</f>
        <v/>
      </c>
      <c r="S60" s="16">
        <f>IFERROR(AVERAGEIFS($D$5:$D$309,$A$5:$A$309,O60,$C$5:$C$309,P60),"—")</f>
        <v/>
      </c>
      <c r="T60" s="16">
        <f>IFERROR(AVERAGEIFS($H$5:$H$309,$A$5:$A$309,O60,$C$5:$C$309,P60),"—")</f>
        <v/>
      </c>
      <c r="U60" s="15">
        <f>IFERROR(AVERAGEIFS($I$5:$I$309,$A$5:$A$309,O60,$C$5:$C$309,P60),"—")</f>
        <v/>
      </c>
      <c r="V60" s="15">
        <f>IFERROR(AVERAGEIFS($K$5:$K$309,$A$5:$A$309,O60,$C$5:$C$309,P60),"—")</f>
        <v/>
      </c>
      <c r="W60" s="20" t="n">
        <v>2</v>
      </c>
      <c r="X60" s="4">
        <f>IF(R60=0,"NOT LISTED on Bridg",IF(NOT(ISNUMBER(V60)),"No direct quote",IF(ABS(V60)&lt;=W60,"Match (net of Bridg fee)",IF(ABS(U60)&lt;=W60,"Match (Bridg fee not applied)",IF(V60&lt;0,"Bridg LOWER than venue","Bridg HIGHER than venue")))))</f>
        <v/>
      </c>
    </row>
    <row r="61">
      <c r="A61" s="4" t="inlineStr">
        <is>
          <t>ETH → SOL</t>
        </is>
      </c>
      <c r="B61" s="4" t="n">
        <v>1</v>
      </c>
      <c r="C61" s="4" t="inlineStr">
        <is>
          <t>Relay</t>
        </is>
      </c>
      <c r="D61" s="18" t="n">
        <v>99.69023300000001</v>
      </c>
      <c r="E61" s="4" t="inlineStr"/>
      <c r="F61" s="18" t="n">
        <v>99.94557</v>
      </c>
      <c r="G61" s="18" t="n"/>
      <c r="H61" s="16">
        <f>IF(ISNUMBER(F61),F61-N(G61),"")</f>
        <v/>
      </c>
      <c r="I61" s="15">
        <f>IF(AND(ISNUMBER(D61),ISNUMBER(H61)),(D61-H61)/100*10000,"")</f>
        <v/>
      </c>
      <c r="J61" s="18" t="n">
        <v>0.05</v>
      </c>
      <c r="K61" s="15">
        <f>IF(ISNUMBER(I61),I61+N(J61)/100*10000,"")</f>
        <v/>
      </c>
      <c r="L61" s="19" t="n">
        <v>0.478</v>
      </c>
      <c r="M61" s="4" t="inlineStr"/>
      <c r="O61" s="4" t="inlineStr">
        <is>
          <t>SOL → Base</t>
        </is>
      </c>
      <c r="P61" s="4" t="inlineStr">
        <is>
          <t>Skip Go</t>
        </is>
      </c>
      <c r="Q61" s="4">
        <f>COUNTIFS($A$5:$A$309,O61,$C$5:$C$309,P61)</f>
        <v/>
      </c>
      <c r="R61" s="4">
        <f>COUNTIFS($A$5:$A$309,O61,$C$5:$C$309,P61,$D$5:$D$309,"&gt;0")</f>
        <v/>
      </c>
      <c r="S61" s="16">
        <f>IFERROR(AVERAGEIFS($D$5:$D$309,$A$5:$A$309,O61,$C$5:$C$309,P61),"—")</f>
        <v/>
      </c>
      <c r="T61" s="16">
        <f>IFERROR(AVERAGEIFS($H$5:$H$309,$A$5:$A$309,O61,$C$5:$C$309,P61),"—")</f>
        <v/>
      </c>
      <c r="U61" s="15">
        <f>IFERROR(AVERAGEIFS($I$5:$I$309,$A$5:$A$309,O61,$C$5:$C$309,P61),"—")</f>
        <v/>
      </c>
      <c r="V61" s="15">
        <f>IFERROR(AVERAGEIFS($K$5:$K$309,$A$5:$A$309,O61,$C$5:$C$309,P61),"—")</f>
        <v/>
      </c>
      <c r="W61" s="20" t="n">
        <v>2</v>
      </c>
      <c r="X61" s="4">
        <f>IF(R61=0,"NOT LISTED on Bridg",IF(NOT(ISNUMBER(V61)),"No direct quote",IF(ABS(V61)&lt;=W61,"Match (net of Bridg fee)",IF(ABS(U61)&lt;=W61,"Match (Bridg fee not applied)",IF(V61&lt;0,"Bridg LOWER than venue","Bridg HIGHER than venue")))))</f>
        <v/>
      </c>
    </row>
    <row r="62">
      <c r="A62" s="4" t="inlineStr">
        <is>
          <t>ETH → SOL</t>
        </is>
      </c>
      <c r="B62" s="4" t="n">
        <v>2</v>
      </c>
      <c r="C62" s="4" t="inlineStr">
        <is>
          <t>Relay</t>
        </is>
      </c>
      <c r="D62" s="18" t="n">
        <v>99.690078</v>
      </c>
      <c r="E62" s="4" t="inlineStr"/>
      <c r="F62" s="18" t="n">
        <v>99.945582</v>
      </c>
      <c r="G62" s="18" t="n"/>
      <c r="H62" s="16">
        <f>IF(ISNUMBER(F62),F62-N(G62),"")</f>
        <v/>
      </c>
      <c r="I62" s="15">
        <f>IF(AND(ISNUMBER(D62),ISNUMBER(H62)),(D62-H62)/100*10000,"")</f>
        <v/>
      </c>
      <c r="J62" s="18" t="n">
        <v>0.05</v>
      </c>
      <c r="K62" s="15">
        <f>IF(ISNUMBER(I62),I62+N(J62)/100*10000,"")</f>
        <v/>
      </c>
      <c r="L62" s="19" t="n">
        <v>0.795</v>
      </c>
      <c r="M62" s="4" t="inlineStr"/>
      <c r="O62" s="4" t="inlineStr">
        <is>
          <t>Base → SOL</t>
        </is>
      </c>
      <c r="P62" s="4" t="inlineStr">
        <is>
          <t>Relay</t>
        </is>
      </c>
      <c r="Q62" s="4">
        <f>COUNTIFS($A$5:$A$309,O62,$C$5:$C$309,P62)</f>
        <v/>
      </c>
      <c r="R62" s="4">
        <f>COUNTIFS($A$5:$A$309,O62,$C$5:$C$309,P62,$D$5:$D$309,"&gt;0")</f>
        <v/>
      </c>
      <c r="S62" s="16">
        <f>IFERROR(AVERAGEIFS($D$5:$D$309,$A$5:$A$309,O62,$C$5:$C$309,P62),"—")</f>
        <v/>
      </c>
      <c r="T62" s="16">
        <f>IFERROR(AVERAGEIFS($H$5:$H$309,$A$5:$A$309,O62,$C$5:$C$309,P62),"—")</f>
        <v/>
      </c>
      <c r="U62" s="15">
        <f>IFERROR(AVERAGEIFS($I$5:$I$309,$A$5:$A$309,O62,$C$5:$C$309,P62),"—")</f>
        <v/>
      </c>
      <c r="V62" s="15">
        <f>IFERROR(AVERAGEIFS($K$5:$K$309,$A$5:$A$309,O62,$C$5:$C$309,P62),"—")</f>
        <v/>
      </c>
      <c r="W62" s="20" t="n">
        <v>2</v>
      </c>
      <c r="X62" s="4">
        <f>IF(R62=0,"NOT LISTED on Bridg",IF(NOT(ISNUMBER(V62)),"No direct quote",IF(ABS(V62)&lt;=W62,"Match (net of Bridg fee)",IF(ABS(U62)&lt;=W62,"Match (Bridg fee not applied)",IF(V62&lt;0,"Bridg LOWER than venue","Bridg HIGHER than venue")))))</f>
        <v/>
      </c>
    </row>
    <row r="63">
      <c r="A63" s="4" t="inlineStr">
        <is>
          <t>ETH → SOL</t>
        </is>
      </c>
      <c r="B63" s="4" t="n">
        <v>2</v>
      </c>
      <c r="C63" s="4" t="inlineStr">
        <is>
          <t>Relay</t>
        </is>
      </c>
      <c r="D63" s="18" t="n">
        <v>99.69027</v>
      </c>
      <c r="E63" s="4" t="inlineStr"/>
      <c r="F63" s="18" t="n">
        <v>99.94557399999999</v>
      </c>
      <c r="G63" s="18" t="n"/>
      <c r="H63" s="16">
        <f>IF(ISNUMBER(F63),F63-N(G63),"")</f>
        <v/>
      </c>
      <c r="I63" s="15">
        <f>IF(AND(ISNUMBER(D63),ISNUMBER(H63)),(D63-H63)/100*10000,"")</f>
        <v/>
      </c>
      <c r="J63" s="18" t="n">
        <v>0.05</v>
      </c>
      <c r="K63" s="15">
        <f>IF(ISNUMBER(I63),I63+N(J63)/100*10000,"")</f>
        <v/>
      </c>
      <c r="L63" s="19" t="n">
        <v>0.755</v>
      </c>
      <c r="M63" s="4" t="inlineStr"/>
      <c r="O63" s="4" t="inlineStr">
        <is>
          <t>Base → SOL</t>
        </is>
      </c>
      <c r="P63" s="4" t="inlineStr">
        <is>
          <t>deBridge</t>
        </is>
      </c>
      <c r="Q63" s="4">
        <f>COUNTIFS($A$5:$A$309,O63,$C$5:$C$309,P63)</f>
        <v/>
      </c>
      <c r="R63" s="4">
        <f>COUNTIFS($A$5:$A$309,O63,$C$5:$C$309,P63,$D$5:$D$309,"&gt;0")</f>
        <v/>
      </c>
      <c r="S63" s="16">
        <f>IFERROR(AVERAGEIFS($D$5:$D$309,$A$5:$A$309,O63,$C$5:$C$309,P63),"—")</f>
        <v/>
      </c>
      <c r="T63" s="16">
        <f>IFERROR(AVERAGEIFS($H$5:$H$309,$A$5:$A$309,O63,$C$5:$C$309,P63),"—")</f>
        <v/>
      </c>
      <c r="U63" s="15">
        <f>IFERROR(AVERAGEIFS($I$5:$I$309,$A$5:$A$309,O63,$C$5:$C$309,P63),"—")</f>
        <v/>
      </c>
      <c r="V63" s="15">
        <f>IFERROR(AVERAGEIFS($K$5:$K$309,$A$5:$A$309,O63,$C$5:$C$309,P63),"—")</f>
        <v/>
      </c>
      <c r="W63" s="20" t="n">
        <v>2</v>
      </c>
      <c r="X63" s="4">
        <f>IF(R63=0,"NOT LISTED on Bridg",IF(NOT(ISNUMBER(V63)),"No direct quote",IF(ABS(V63)&lt;=W63,"Match (net of Bridg fee)",IF(ABS(U63)&lt;=W63,"Match (Bridg fee not applied)",IF(V63&lt;0,"Bridg LOWER than venue","Bridg HIGHER than venue")))))</f>
        <v/>
      </c>
    </row>
    <row r="64">
      <c r="A64" s="4" t="inlineStr">
        <is>
          <t>ETH → SOL</t>
        </is>
      </c>
      <c r="B64" s="4" t="n">
        <v>3</v>
      </c>
      <c r="C64" s="4" t="inlineStr">
        <is>
          <t>Relay</t>
        </is>
      </c>
      <c r="D64" s="18" t="n">
        <v>99.690078</v>
      </c>
      <c r="E64" s="4" t="inlineStr"/>
      <c r="F64" s="18" t="n">
        <v>99.94557500000001</v>
      </c>
      <c r="G64" s="18" t="n"/>
      <c r="H64" s="16">
        <f>IF(ISNUMBER(F64),F64-N(G64),"")</f>
        <v/>
      </c>
      <c r="I64" s="15">
        <f>IF(AND(ISNUMBER(D64),ISNUMBER(H64)),(D64-H64)/100*10000,"")</f>
        <v/>
      </c>
      <c r="J64" s="18" t="n">
        <v>0.05</v>
      </c>
      <c r="K64" s="15">
        <f>IF(ISNUMBER(I64),I64+N(J64)/100*10000,"")</f>
        <v/>
      </c>
      <c r="L64" s="19" t="n">
        <v>0.525</v>
      </c>
      <c r="M64" s="4" t="inlineStr"/>
      <c r="O64" s="4" t="inlineStr">
        <is>
          <t>Base → SOL</t>
        </is>
      </c>
      <c r="P64" s="4" t="inlineStr">
        <is>
          <t>LI.FI (Jumper)</t>
        </is>
      </c>
      <c r="Q64" s="4">
        <f>COUNTIFS($A$5:$A$309,O64,$C$5:$C$309,P64)</f>
        <v/>
      </c>
      <c r="R64" s="4">
        <f>COUNTIFS($A$5:$A$309,O64,$C$5:$C$309,P64,$D$5:$D$309,"&gt;0")</f>
        <v/>
      </c>
      <c r="S64" s="16">
        <f>IFERROR(AVERAGEIFS($D$5:$D$309,$A$5:$A$309,O64,$C$5:$C$309,P64),"—")</f>
        <v/>
      </c>
      <c r="T64" s="16">
        <f>IFERROR(AVERAGEIFS($H$5:$H$309,$A$5:$A$309,O64,$C$5:$C$309,P64),"—")</f>
        <v/>
      </c>
      <c r="U64" s="15">
        <f>IFERROR(AVERAGEIFS($I$5:$I$309,$A$5:$A$309,O64,$C$5:$C$309,P64),"—")</f>
        <v/>
      </c>
      <c r="V64" s="15">
        <f>IFERROR(AVERAGEIFS($K$5:$K$309,$A$5:$A$309,O64,$C$5:$C$309,P64),"—")</f>
        <v/>
      </c>
      <c r="W64" s="20" t="n">
        <v>2</v>
      </c>
      <c r="X64" s="4">
        <f>IF(R64=0,"NOT LISTED on Bridg",IF(NOT(ISNUMBER(V64)),"No direct quote",IF(ABS(V64)&lt;=W64,"Match (net of Bridg fee)",IF(ABS(U64)&lt;=W64,"Match (Bridg fee not applied)",IF(V64&lt;0,"Bridg LOWER than venue","Bridg HIGHER than venue")))))</f>
        <v/>
      </c>
    </row>
    <row r="65">
      <c r="A65" s="4" t="inlineStr">
        <is>
          <t>ETH → SOL</t>
        </is>
      </c>
      <c r="B65" s="4" t="n">
        <v>3</v>
      </c>
      <c r="C65" s="4" t="inlineStr">
        <is>
          <t>Relay</t>
        </is>
      </c>
      <c r="D65" s="18" t="n">
        <v>99.690292</v>
      </c>
      <c r="E65" s="4" t="inlineStr"/>
      <c r="F65" s="18" t="n">
        <v>99.945573</v>
      </c>
      <c r="G65" s="18" t="n"/>
      <c r="H65" s="16">
        <f>IF(ISNUMBER(F65),F65-N(G65),"")</f>
        <v/>
      </c>
      <c r="I65" s="15">
        <f>IF(AND(ISNUMBER(D65),ISNUMBER(H65)),(D65-H65)/100*10000,"")</f>
        <v/>
      </c>
      <c r="J65" s="18" t="n">
        <v>0.05</v>
      </c>
      <c r="K65" s="15">
        <f>IF(ISNUMBER(I65),I65+N(J65)/100*10000,"")</f>
        <v/>
      </c>
      <c r="L65" s="19" t="n">
        <v>1.103</v>
      </c>
      <c r="M65" s="4" t="inlineStr"/>
      <c r="O65" s="4" t="inlineStr">
        <is>
          <t>Base → SOL</t>
        </is>
      </c>
      <c r="P65" s="4" t="inlineStr">
        <is>
          <t>Across</t>
        </is>
      </c>
      <c r="Q65" s="4">
        <f>COUNTIFS($A$5:$A$309,O65,$C$5:$C$309,P65)</f>
        <v/>
      </c>
      <c r="R65" s="4">
        <f>COUNTIFS($A$5:$A$309,O65,$C$5:$C$309,P65,$D$5:$D$309,"&gt;0")</f>
        <v/>
      </c>
      <c r="S65" s="16">
        <f>IFERROR(AVERAGEIFS($D$5:$D$309,$A$5:$A$309,O65,$C$5:$C$309,P65),"—")</f>
        <v/>
      </c>
      <c r="T65" s="16">
        <f>IFERROR(AVERAGEIFS($H$5:$H$309,$A$5:$A$309,O65,$C$5:$C$309,P65),"—")</f>
        <v/>
      </c>
      <c r="U65" s="15">
        <f>IFERROR(AVERAGEIFS($I$5:$I$309,$A$5:$A$309,O65,$C$5:$C$309,P65),"—")</f>
        <v/>
      </c>
      <c r="V65" s="15">
        <f>IFERROR(AVERAGEIFS($K$5:$K$309,$A$5:$A$309,O65,$C$5:$C$309,P65),"—")</f>
        <v/>
      </c>
      <c r="W65" s="20" t="n">
        <v>2</v>
      </c>
      <c r="X65" s="4">
        <f>IF(R65=0,"NOT LISTED on Bridg",IF(NOT(ISNUMBER(V65)),"No direct quote",IF(ABS(V65)&lt;=W65,"Match (net of Bridg fee)",IF(ABS(U65)&lt;=W65,"Match (Bridg fee not applied)",IF(V65&lt;0,"Bridg LOWER than venue","Bridg HIGHER than venue")))))</f>
        <v/>
      </c>
    </row>
    <row r="66">
      <c r="A66" s="4" t="inlineStr">
        <is>
          <t>ETH → SOL</t>
        </is>
      </c>
      <c r="B66" s="4" t="n">
        <v>1</v>
      </c>
      <c r="C66" s="4" t="inlineStr">
        <is>
          <t>deBridge</t>
        </is>
      </c>
      <c r="D66" s="18" t="n">
        <v>98.765912</v>
      </c>
      <c r="E66" s="4" t="inlineStr"/>
      <c r="F66" s="18" t="n">
        <v>99.920018</v>
      </c>
      <c r="G66" s="18" t="n">
        <v>1.1553</v>
      </c>
      <c r="H66" s="16">
        <f>IF(ISNUMBER(F66),F66-N(G66),"")</f>
        <v/>
      </c>
      <c r="I66" s="15">
        <f>IF(AND(ISNUMBER(D66),ISNUMBER(H66)),(D66-H66)/100*10000,"")</f>
        <v/>
      </c>
      <c r="J66" s="18" t="n">
        <v>0.05</v>
      </c>
      <c r="K66" s="15">
        <f>IF(ISNUMBER(I66),I66+N(J66)/100*10000,"")</f>
        <v/>
      </c>
      <c r="L66" s="19" t="n">
        <v>0.5600000000000001</v>
      </c>
      <c r="M66" s="4" t="inlineStr">
        <is>
          <t>+1.1553 USDC charged on top of 100 input (subtracted)</t>
        </is>
      </c>
      <c r="O66" s="4" t="inlineStr">
        <is>
          <t>Base → SOL</t>
        </is>
      </c>
      <c r="P66" s="4" t="inlineStr">
        <is>
          <t>Mayan</t>
        </is>
      </c>
      <c r="Q66" s="4">
        <f>COUNTIFS($A$5:$A$309,O66,$C$5:$C$309,P66)</f>
        <v/>
      </c>
      <c r="R66" s="4">
        <f>COUNTIFS($A$5:$A$309,O66,$C$5:$C$309,P66,$D$5:$D$309,"&gt;0")</f>
        <v/>
      </c>
      <c r="S66" s="16">
        <f>IFERROR(AVERAGEIFS($D$5:$D$309,$A$5:$A$309,O66,$C$5:$C$309,P66),"—")</f>
        <v/>
      </c>
      <c r="T66" s="16">
        <f>IFERROR(AVERAGEIFS($H$5:$H$309,$A$5:$A$309,O66,$C$5:$C$309,P66),"—")</f>
        <v/>
      </c>
      <c r="U66" s="15">
        <f>IFERROR(AVERAGEIFS($I$5:$I$309,$A$5:$A$309,O66,$C$5:$C$309,P66),"—")</f>
        <v/>
      </c>
      <c r="V66" s="15">
        <f>IFERROR(AVERAGEIFS($K$5:$K$309,$A$5:$A$309,O66,$C$5:$C$309,P66),"—")</f>
        <v/>
      </c>
      <c r="W66" s="20" t="n">
        <v>4</v>
      </c>
      <c r="X66" s="4">
        <f>IF(R66=0,"NOT LISTED on Bridg",IF(NOT(ISNUMBER(V66)),"No direct quote",IF(ABS(V66)&lt;=W66,"Match (net of Bridg fee)",IF(ABS(U66)&lt;=W66,"Match (Bridg fee not applied)",IF(V66&lt;0,"Bridg LOWER than venue","Bridg HIGHER than venue")))))</f>
        <v/>
      </c>
    </row>
    <row r="67">
      <c r="A67" s="4" t="inlineStr">
        <is>
          <t>ETH → SOL</t>
        </is>
      </c>
      <c r="B67" s="4" t="n">
        <v>1</v>
      </c>
      <c r="C67" s="4" t="inlineStr">
        <is>
          <t>deBridge</t>
        </is>
      </c>
      <c r="D67" s="18" t="n">
        <v>98.789632</v>
      </c>
      <c r="E67" s="4" t="inlineStr"/>
      <c r="F67" s="18" t="n">
        <v>99.920018</v>
      </c>
      <c r="G67" s="18" t="n">
        <v>1.1313</v>
      </c>
      <c r="H67" s="16">
        <f>IF(ISNUMBER(F67),F67-N(G67),"")</f>
        <v/>
      </c>
      <c r="I67" s="15">
        <f>IF(AND(ISNUMBER(D67),ISNUMBER(H67)),(D67-H67)/100*10000,"")</f>
        <v/>
      </c>
      <c r="J67" s="18" t="n">
        <v>0.05</v>
      </c>
      <c r="K67" s="15">
        <f>IF(ISNUMBER(I67),I67+N(J67)/100*10000,"")</f>
        <v/>
      </c>
      <c r="L67" s="19" t="n">
        <v>0.182</v>
      </c>
      <c r="M67" s="4" t="inlineStr">
        <is>
          <t>+1.1313 USDC charged on top of 100 input (subtracted)</t>
        </is>
      </c>
      <c r="O67" s="4" t="inlineStr">
        <is>
          <t>Base → SOL</t>
        </is>
      </c>
      <c r="P67" s="4" t="inlineStr">
        <is>
          <t>Allbridge Core</t>
        </is>
      </c>
      <c r="Q67" s="4">
        <f>COUNTIFS($A$5:$A$309,O67,$C$5:$C$309,P67)</f>
        <v/>
      </c>
      <c r="R67" s="4">
        <f>COUNTIFS($A$5:$A$309,O67,$C$5:$C$309,P67,$D$5:$D$309,"&gt;0")</f>
        <v/>
      </c>
      <c r="S67" s="16">
        <f>IFERROR(AVERAGEIFS($D$5:$D$309,$A$5:$A$309,O67,$C$5:$C$309,P67),"—")</f>
        <v/>
      </c>
      <c r="T67" s="16">
        <f>IFERROR(AVERAGEIFS($H$5:$H$309,$A$5:$A$309,O67,$C$5:$C$309,P67),"—")</f>
        <v/>
      </c>
      <c r="U67" s="15">
        <f>IFERROR(AVERAGEIFS($I$5:$I$309,$A$5:$A$309,O67,$C$5:$C$309,P67),"—")</f>
        <v/>
      </c>
      <c r="V67" s="15">
        <f>IFERROR(AVERAGEIFS($K$5:$K$309,$A$5:$A$309,O67,$C$5:$C$309,P67),"—")</f>
        <v/>
      </c>
      <c r="W67" s="20" t="n">
        <v>2</v>
      </c>
      <c r="X67" s="4">
        <f>IF(R67=0,"NOT LISTED on Bridg",IF(NOT(ISNUMBER(V67)),"No direct quote",IF(ABS(V67)&lt;=W67,"Match (net of Bridg fee)",IF(ABS(U67)&lt;=W67,"Match (Bridg fee not applied)",IF(V67&lt;0,"Bridg LOWER than venue","Bridg HIGHER than venue")))))</f>
        <v/>
      </c>
    </row>
    <row r="68">
      <c r="A68" s="4" t="inlineStr">
        <is>
          <t>ETH → SOL</t>
        </is>
      </c>
      <c r="B68" s="4" t="n">
        <v>2</v>
      </c>
      <c r="C68" s="4" t="inlineStr">
        <is>
          <t>deBridge</t>
        </is>
      </c>
      <c r="D68" s="18" t="n">
        <v>98.74513</v>
      </c>
      <c r="E68" s="4" t="inlineStr"/>
      <c r="F68" s="18" t="n">
        <v>99.920018</v>
      </c>
      <c r="G68" s="18" t="n">
        <v>1.1758</v>
      </c>
      <c r="H68" s="16">
        <f>IF(ISNUMBER(F68),F68-N(G68),"")</f>
        <v/>
      </c>
      <c r="I68" s="15">
        <f>IF(AND(ISNUMBER(D68),ISNUMBER(H68)),(D68-H68)/100*10000,"")</f>
        <v/>
      </c>
      <c r="J68" s="18" t="n">
        <v>0.05</v>
      </c>
      <c r="K68" s="15">
        <f>IF(ISNUMBER(I68),I68+N(J68)/100*10000,"")</f>
        <v/>
      </c>
      <c r="L68" s="19" t="n">
        <v>0.554</v>
      </c>
      <c r="M68" s="4" t="inlineStr">
        <is>
          <t>+1.1758 USDC charged on top of 100 input (subtracted)</t>
        </is>
      </c>
      <c r="O68" s="4" t="inlineStr">
        <is>
          <t>Base → SOL</t>
        </is>
      </c>
      <c r="P68" s="4" t="inlineStr">
        <is>
          <t>CCTP (via Portal)</t>
        </is>
      </c>
      <c r="Q68" s="4">
        <f>COUNTIFS($A$5:$A$309,O68,$C$5:$C$309,P68)</f>
        <v/>
      </c>
      <c r="R68" s="4">
        <f>COUNTIFS($A$5:$A$309,O68,$C$5:$C$309,P68,$D$5:$D$309,"&gt;0")</f>
        <v/>
      </c>
      <c r="S68" s="16">
        <f>IFERROR(AVERAGEIFS($D$5:$D$309,$A$5:$A$309,O68,$C$5:$C$309,P68),"—")</f>
        <v/>
      </c>
      <c r="T68" s="16">
        <f>IFERROR(AVERAGEIFS($H$5:$H$309,$A$5:$A$309,O68,$C$5:$C$309,P68),"—")</f>
        <v/>
      </c>
      <c r="U68" s="15">
        <f>IFERROR(AVERAGEIFS($I$5:$I$309,$A$5:$A$309,O68,$C$5:$C$309,P68),"—")</f>
        <v/>
      </c>
      <c r="V68" s="15">
        <f>IFERROR(AVERAGEIFS($K$5:$K$309,$A$5:$A$309,O68,$C$5:$C$309,P68),"—")</f>
        <v/>
      </c>
      <c r="W68" s="20" t="n">
        <v>2</v>
      </c>
      <c r="X68" s="4">
        <f>IF(R68=0,"NOT LISTED on Bridg",IF(NOT(ISNUMBER(V68)),"No direct quote",IF(ABS(V68)&lt;=W68,"Match (net of Bridg fee)",IF(ABS(U68)&lt;=W68,"Match (Bridg fee not applied)",IF(V68&lt;0,"Bridg LOWER than venue","Bridg HIGHER than venue")))))</f>
        <v/>
      </c>
    </row>
    <row r="69">
      <c r="A69" s="4" t="inlineStr">
        <is>
          <t>ETH → SOL</t>
        </is>
      </c>
      <c r="B69" s="4" t="n">
        <v>2</v>
      </c>
      <c r="C69" s="4" t="inlineStr">
        <is>
          <t>deBridge</t>
        </is>
      </c>
      <c r="D69" s="18" t="n">
        <v>98.77918099999999</v>
      </c>
      <c r="E69" s="4" t="inlineStr"/>
      <c r="F69" s="18" t="n">
        <v>99.920018</v>
      </c>
      <c r="G69" s="18" t="n">
        <v>1.1417</v>
      </c>
      <c r="H69" s="16">
        <f>IF(ISNUMBER(F69),F69-N(G69),"")</f>
        <v/>
      </c>
      <c r="I69" s="15">
        <f>IF(AND(ISNUMBER(D69),ISNUMBER(H69)),(D69-H69)/100*10000,"")</f>
        <v/>
      </c>
      <c r="J69" s="18" t="n">
        <v>0.05</v>
      </c>
      <c r="K69" s="15">
        <f>IF(ISNUMBER(I69),I69+N(J69)/100*10000,"")</f>
        <v/>
      </c>
      <c r="L69" s="19" t="n">
        <v>0.994</v>
      </c>
      <c r="M69" s="4" t="inlineStr">
        <is>
          <t>+1.1417 USDC charged on top of 100 input (subtracted)</t>
        </is>
      </c>
      <c r="O69" s="4" t="inlineStr">
        <is>
          <t>Base → SOL</t>
        </is>
      </c>
      <c r="P69" s="4" t="inlineStr">
        <is>
          <t>Husher</t>
        </is>
      </c>
      <c r="Q69" s="4">
        <f>COUNTIFS($A$5:$A$309,O69,$C$5:$C$309,P69)</f>
        <v/>
      </c>
      <c r="R69" s="4">
        <f>COUNTIFS($A$5:$A$309,O69,$C$5:$C$309,P69,$D$5:$D$309,"&gt;0")</f>
        <v/>
      </c>
      <c r="S69" s="16">
        <f>IFERROR(AVERAGEIFS($D$5:$D$309,$A$5:$A$309,O69,$C$5:$C$309,P69),"—")</f>
        <v/>
      </c>
      <c r="T69" s="16">
        <f>IFERROR(AVERAGEIFS($H$5:$H$309,$A$5:$A$309,O69,$C$5:$C$309,P69),"—")</f>
        <v/>
      </c>
      <c r="U69" s="15">
        <f>IFERROR(AVERAGEIFS($I$5:$I$309,$A$5:$A$309,O69,$C$5:$C$309,P69),"—")</f>
        <v/>
      </c>
      <c r="V69" s="15">
        <f>IFERROR(AVERAGEIFS($K$5:$K$309,$A$5:$A$309,O69,$C$5:$C$309,P69),"—")</f>
        <v/>
      </c>
      <c r="W69" s="20" t="n">
        <v>2</v>
      </c>
      <c r="X69" s="4">
        <f>IF(R69=0,"NOT LISTED on Bridg",IF(NOT(ISNUMBER(V69)),"No direct quote",IF(ABS(V69)&lt;=W69,"Match (net of Bridg fee)",IF(ABS(U69)&lt;=W69,"Match (Bridg fee not applied)",IF(V69&lt;0,"Bridg LOWER than venue","Bridg HIGHER than venue")))))</f>
        <v/>
      </c>
    </row>
    <row r="70">
      <c r="A70" s="4" t="inlineStr">
        <is>
          <t>ETH → SOL</t>
        </is>
      </c>
      <c r="B70" s="4" t="n">
        <v>3</v>
      </c>
      <c r="C70" s="4" t="inlineStr">
        <is>
          <t>deBridge</t>
        </is>
      </c>
      <c r="D70" s="18" t="n">
        <v>98.748705</v>
      </c>
      <c r="E70" s="4" t="inlineStr"/>
      <c r="F70" s="18" t="n">
        <v>99.920018</v>
      </c>
      <c r="G70" s="18" t="n">
        <v>1.1509</v>
      </c>
      <c r="H70" s="16">
        <f>IF(ISNUMBER(F70),F70-N(G70),"")</f>
        <v/>
      </c>
      <c r="I70" s="15">
        <f>IF(AND(ISNUMBER(D70),ISNUMBER(H70)),(D70-H70)/100*10000,"")</f>
        <v/>
      </c>
      <c r="J70" s="18" t="n">
        <v>0.05</v>
      </c>
      <c r="K70" s="15">
        <f>IF(ISNUMBER(I70),I70+N(J70)/100*10000,"")</f>
        <v/>
      </c>
      <c r="L70" s="19" t="n">
        <v>0.57</v>
      </c>
      <c r="M70" s="4" t="inlineStr">
        <is>
          <t>+1.1509 USDC charged on top of 100 input (subtracted)</t>
        </is>
      </c>
      <c r="O70" s="4" t="inlineStr">
        <is>
          <t>Base → SOL</t>
        </is>
      </c>
      <c r="P70" s="4" t="inlineStr">
        <is>
          <t>Layerswap</t>
        </is>
      </c>
      <c r="Q70" s="4">
        <f>COUNTIFS($A$5:$A$309,O70,$C$5:$C$309,P70)</f>
        <v/>
      </c>
      <c r="R70" s="4">
        <f>COUNTIFS($A$5:$A$309,O70,$C$5:$C$309,P70,$D$5:$D$309,"&gt;0")</f>
        <v/>
      </c>
      <c r="S70" s="16">
        <f>IFERROR(AVERAGEIFS($D$5:$D$309,$A$5:$A$309,O70,$C$5:$C$309,P70),"—")</f>
        <v/>
      </c>
      <c r="T70" s="16">
        <f>IFERROR(AVERAGEIFS($H$5:$H$309,$A$5:$A$309,O70,$C$5:$C$309,P70),"—")</f>
        <v/>
      </c>
      <c r="U70" s="15">
        <f>IFERROR(AVERAGEIFS($I$5:$I$309,$A$5:$A$309,O70,$C$5:$C$309,P70),"—")</f>
        <v/>
      </c>
      <c r="V70" s="15">
        <f>IFERROR(AVERAGEIFS($K$5:$K$309,$A$5:$A$309,O70,$C$5:$C$309,P70),"—")</f>
        <v/>
      </c>
      <c r="W70" s="20" t="n">
        <v>2</v>
      </c>
      <c r="X70" s="4">
        <f>IF(R70=0,"NOT LISTED on Bridg",IF(NOT(ISNUMBER(V70)),"No direct quote",IF(ABS(V70)&lt;=W70,"Match (net of Bridg fee)",IF(ABS(U70)&lt;=W70,"Match (Bridg fee not applied)",IF(V70&lt;0,"Bridg LOWER than venue","Bridg HIGHER than venue")))))</f>
        <v/>
      </c>
    </row>
    <row r="71">
      <c r="A71" s="4" t="inlineStr">
        <is>
          <t>ETH → SOL</t>
        </is>
      </c>
      <c r="B71" s="4" t="n">
        <v>3</v>
      </c>
      <c r="C71" s="4" t="inlineStr">
        <is>
          <t>deBridge</t>
        </is>
      </c>
      <c r="D71" s="18" t="n">
        <v>98.78535599999999</v>
      </c>
      <c r="E71" s="4" t="inlineStr"/>
      <c r="F71" s="18" t="n">
        <v>99.920018</v>
      </c>
      <c r="G71" s="18" t="n">
        <v>1.1412</v>
      </c>
      <c r="H71" s="16">
        <f>IF(ISNUMBER(F71),F71-N(G71),"")</f>
        <v/>
      </c>
      <c r="I71" s="15">
        <f>IF(AND(ISNUMBER(D71),ISNUMBER(H71)),(D71-H71)/100*10000,"")</f>
        <v/>
      </c>
      <c r="J71" s="18" t="n">
        <v>0.05</v>
      </c>
      <c r="K71" s="15">
        <f>IF(ISNUMBER(I71),I71+N(J71)/100*10000,"")</f>
        <v/>
      </c>
      <c r="L71" s="19" t="n">
        <v>0.29</v>
      </c>
      <c r="M71" s="4" t="inlineStr">
        <is>
          <t>+1.1412 USDC charged on top of 100 input (subtracted)</t>
        </is>
      </c>
      <c r="O71" s="4" t="inlineStr">
        <is>
          <t>Base → SOL</t>
        </is>
      </c>
      <c r="P71" s="4" t="inlineStr">
        <is>
          <t>Meson</t>
        </is>
      </c>
      <c r="Q71" s="4">
        <f>COUNTIFS($A$5:$A$309,O71,$C$5:$C$309,P71)</f>
        <v/>
      </c>
      <c r="R71" s="4">
        <f>COUNTIFS($A$5:$A$309,O71,$C$5:$C$309,P71,$D$5:$D$309,"&gt;0")</f>
        <v/>
      </c>
      <c r="S71" s="16">
        <f>IFERROR(AVERAGEIFS($D$5:$D$309,$A$5:$A$309,O71,$C$5:$C$309,P71),"—")</f>
        <v/>
      </c>
      <c r="T71" s="16">
        <f>IFERROR(AVERAGEIFS($H$5:$H$309,$A$5:$A$309,O71,$C$5:$C$309,P71),"—")</f>
        <v/>
      </c>
      <c r="U71" s="15">
        <f>IFERROR(AVERAGEIFS($I$5:$I$309,$A$5:$A$309,O71,$C$5:$C$309,P71),"—")</f>
        <v/>
      </c>
      <c r="V71" s="15">
        <f>IFERROR(AVERAGEIFS($K$5:$K$309,$A$5:$A$309,O71,$C$5:$C$309,P71),"—")</f>
        <v/>
      </c>
      <c r="W71" s="20" t="n">
        <v>2</v>
      </c>
      <c r="X71" s="4">
        <f>IF(R71=0,"NOT LISTED on Bridg",IF(NOT(ISNUMBER(V71)),"No direct quote",IF(ABS(V71)&lt;=W71,"Match (net of Bridg fee)",IF(ABS(U71)&lt;=W71,"Match (Bridg fee not applied)",IF(V71&lt;0,"Bridg LOWER than venue","Bridg HIGHER than venue")))))</f>
        <v/>
      </c>
    </row>
    <row r="72">
      <c r="A72" s="4" t="inlineStr">
        <is>
          <t>ETH → SOL</t>
        </is>
      </c>
      <c r="B72" s="4" t="n">
        <v>1</v>
      </c>
      <c r="C72" s="4" t="inlineStr">
        <is>
          <t>LI.FI (Jumper)</t>
        </is>
      </c>
      <c r="D72" s="18" t="n">
        <v>98.980963</v>
      </c>
      <c r="E72" s="4" t="inlineStr"/>
      <c r="F72" s="18" t="n">
        <v>99.945561</v>
      </c>
      <c r="G72" s="18" t="n"/>
      <c r="H72" s="16">
        <f>IF(ISNUMBER(F72),F72-N(G72),"")</f>
        <v/>
      </c>
      <c r="I72" s="15">
        <f>IF(AND(ISNUMBER(D72),ISNUMBER(H72)),(D72-H72)/100*10000,"")</f>
        <v/>
      </c>
      <c r="J72" s="18" t="n">
        <v>0.05</v>
      </c>
      <c r="K72" s="15">
        <f>IF(ISNUMBER(I72),I72+N(J72)/100*10000,"")</f>
        <v/>
      </c>
      <c r="L72" s="19" t="n">
        <v>1.909</v>
      </c>
      <c r="M72" s="4" t="inlineStr">
        <is>
          <t>Jumper Best Return via Relay; max route 100.0</t>
        </is>
      </c>
      <c r="O72" s="4" t="inlineStr">
        <is>
          <t>Base → SOL</t>
        </is>
      </c>
      <c r="P72" s="4" t="inlineStr">
        <is>
          <t>SimpleSwap</t>
        </is>
      </c>
      <c r="Q72" s="4">
        <f>COUNTIFS($A$5:$A$309,O72,$C$5:$C$309,P72)</f>
        <v/>
      </c>
      <c r="R72" s="4">
        <f>COUNTIFS($A$5:$A$309,O72,$C$5:$C$309,P72,$D$5:$D$309,"&gt;0")</f>
        <v/>
      </c>
      <c r="S72" s="16">
        <f>IFERROR(AVERAGEIFS($D$5:$D$309,$A$5:$A$309,O72,$C$5:$C$309,P72),"—")</f>
        <v/>
      </c>
      <c r="T72" s="16">
        <f>IFERROR(AVERAGEIFS($H$5:$H$309,$A$5:$A$309,O72,$C$5:$C$309,P72),"—")</f>
        <v/>
      </c>
      <c r="U72" s="15">
        <f>IFERROR(AVERAGEIFS($I$5:$I$309,$A$5:$A$309,O72,$C$5:$C$309,P72),"—")</f>
        <v/>
      </c>
      <c r="V72" s="15">
        <f>IFERROR(AVERAGEIFS($K$5:$K$309,$A$5:$A$309,O72,$C$5:$C$309,P72),"—")</f>
        <v/>
      </c>
      <c r="W72" s="20" t="n">
        <v>2</v>
      </c>
      <c r="X72" s="4">
        <f>IF(R72=0,"NOT LISTED on Bridg",IF(NOT(ISNUMBER(V72)),"No direct quote",IF(ABS(V72)&lt;=W72,"Match (net of Bridg fee)",IF(ABS(U72)&lt;=W72,"Match (Bridg fee not applied)",IF(V72&lt;0,"Bridg LOWER than venue","Bridg HIGHER than venue")))))</f>
        <v/>
      </c>
    </row>
    <row r="73">
      <c r="A73" s="4" t="inlineStr">
        <is>
          <t>ETH → SOL</t>
        </is>
      </c>
      <c r="B73" s="4" t="n">
        <v>1</v>
      </c>
      <c r="C73" s="4" t="inlineStr">
        <is>
          <t>LI.FI (Jumper)</t>
        </is>
      </c>
      <c r="D73" s="18" t="n">
        <v>98.982957</v>
      </c>
      <c r="E73" s="4" t="inlineStr"/>
      <c r="F73" s="18" t="n">
        <v>99.94557</v>
      </c>
      <c r="G73" s="18" t="n"/>
      <c r="H73" s="16">
        <f>IF(ISNUMBER(F73),F73-N(G73),"")</f>
        <v/>
      </c>
      <c r="I73" s="15">
        <f>IF(AND(ISNUMBER(D73),ISNUMBER(H73)),(D73-H73)/100*10000,"")</f>
        <v/>
      </c>
      <c r="J73" s="18" t="n">
        <v>0.05</v>
      </c>
      <c r="K73" s="15">
        <f>IF(ISNUMBER(I73),I73+N(J73)/100*10000,"")</f>
        <v/>
      </c>
      <c r="L73" s="19" t="n">
        <v>41.53</v>
      </c>
      <c r="M73" s="4" t="inlineStr">
        <is>
          <t>Jumper Best Return via Relay; max route 100.0</t>
        </is>
      </c>
      <c r="O73" s="4" t="inlineStr">
        <is>
          <t>Base → SOL</t>
        </is>
      </c>
      <c r="P73" s="4" t="inlineStr">
        <is>
          <t>Skip Go</t>
        </is>
      </c>
      <c r="Q73" s="4">
        <f>COUNTIFS($A$5:$A$309,O73,$C$5:$C$309,P73)</f>
        <v/>
      </c>
      <c r="R73" s="4">
        <f>COUNTIFS($A$5:$A$309,O73,$C$5:$C$309,P73,$D$5:$D$309,"&gt;0")</f>
        <v/>
      </c>
      <c r="S73" s="16">
        <f>IFERROR(AVERAGEIFS($D$5:$D$309,$A$5:$A$309,O73,$C$5:$C$309,P73),"—")</f>
        <v/>
      </c>
      <c r="T73" s="16">
        <f>IFERROR(AVERAGEIFS($H$5:$H$309,$A$5:$A$309,O73,$C$5:$C$309,P73),"—")</f>
        <v/>
      </c>
      <c r="U73" s="15">
        <f>IFERROR(AVERAGEIFS($I$5:$I$309,$A$5:$A$309,O73,$C$5:$C$309,P73),"—")</f>
        <v/>
      </c>
      <c r="V73" s="15">
        <f>IFERROR(AVERAGEIFS($K$5:$K$309,$A$5:$A$309,O73,$C$5:$C$309,P73),"—")</f>
        <v/>
      </c>
      <c r="W73" s="20" t="n">
        <v>2</v>
      </c>
      <c r="X73" s="4">
        <f>IF(R73=0,"NOT LISTED on Bridg",IF(NOT(ISNUMBER(V73)),"No direct quote",IF(ABS(V73)&lt;=W73,"Match (net of Bridg fee)",IF(ABS(U73)&lt;=W73,"Match (Bridg fee not applied)",IF(V73&lt;0,"Bridg LOWER than venue","Bridg HIGHER than venue")))))</f>
        <v/>
      </c>
    </row>
    <row r="74">
      <c r="A74" s="4" t="inlineStr">
        <is>
          <t>ETH → SOL</t>
        </is>
      </c>
      <c r="B74" s="4" t="n">
        <v>1</v>
      </c>
      <c r="C74" s="4" t="inlineStr">
        <is>
          <t>LI.FI (Jumper)</t>
        </is>
      </c>
      <c r="D74" s="18" t="n">
        <v>98.982917</v>
      </c>
      <c r="E74" s="4" t="inlineStr"/>
      <c r="F74" s="18" t="n">
        <v>99.945573</v>
      </c>
      <c r="G74" s="18" t="n"/>
      <c r="H74" s="16">
        <f>IF(ISNUMBER(F74),F74-N(G74),"")</f>
        <v/>
      </c>
      <c r="I74" s="15">
        <f>IF(AND(ISNUMBER(D74),ISNUMBER(H74)),(D74-H74)/100*10000,"")</f>
        <v/>
      </c>
      <c r="J74" s="18" t="n">
        <v>0.05</v>
      </c>
      <c r="K74" s="15">
        <f>IF(ISNUMBER(I74),I74+N(J74)/100*10000,"")</f>
        <v/>
      </c>
      <c r="L74" s="19" t="n">
        <v>1.036</v>
      </c>
      <c r="M74" s="4" t="inlineStr">
        <is>
          <t>Jumper Best Return via Relay; max route 100.0</t>
        </is>
      </c>
      <c r="O74" s="4" t="inlineStr">
        <is>
          <t>Base → SOL</t>
        </is>
      </c>
      <c r="P74" s="4" t="inlineStr">
        <is>
          <t>Symbiosis</t>
        </is>
      </c>
      <c r="Q74" s="4">
        <f>COUNTIFS($A$5:$A$309,O74,$C$5:$C$309,P74)</f>
        <v/>
      </c>
      <c r="R74" s="4">
        <f>COUNTIFS($A$5:$A$309,O74,$C$5:$C$309,P74,$D$5:$D$309,"&gt;0")</f>
        <v/>
      </c>
      <c r="S74" s="16">
        <f>IFERROR(AVERAGEIFS($D$5:$D$309,$A$5:$A$309,O74,$C$5:$C$309,P74),"—")</f>
        <v/>
      </c>
      <c r="T74" s="16">
        <f>IFERROR(AVERAGEIFS($H$5:$H$309,$A$5:$A$309,O74,$C$5:$C$309,P74),"—")</f>
        <v/>
      </c>
      <c r="U74" s="15">
        <f>IFERROR(AVERAGEIFS($I$5:$I$309,$A$5:$A$309,O74,$C$5:$C$309,P74),"—")</f>
        <v/>
      </c>
      <c r="V74" s="15">
        <f>IFERROR(AVERAGEIFS($K$5:$K$309,$A$5:$A$309,O74,$C$5:$C$309,P74),"—")</f>
        <v/>
      </c>
      <c r="W74" s="20" t="n">
        <v>2</v>
      </c>
      <c r="X74" s="4">
        <f>IF(R74=0,"NOT LISTED on Bridg",IF(NOT(ISNUMBER(V74)),"No direct quote",IF(ABS(V74)&lt;=W74,"Match (net of Bridg fee)",IF(ABS(U74)&lt;=W74,"Match (Bridg fee not applied)",IF(V74&lt;0,"Bridg LOWER than venue","Bridg HIGHER than venue")))))</f>
        <v/>
      </c>
    </row>
    <row r="75">
      <c r="A75" s="4" t="inlineStr">
        <is>
          <t>ETH → SOL</t>
        </is>
      </c>
      <c r="B75" s="4" t="n">
        <v>2</v>
      </c>
      <c r="C75" s="4" t="inlineStr">
        <is>
          <t>LI.FI (Jumper)</t>
        </is>
      </c>
      <c r="D75" s="18" t="n">
        <v>98.983677</v>
      </c>
      <c r="E75" s="4" t="inlineStr"/>
      <c r="F75" s="18" t="n">
        <v>99.945582</v>
      </c>
      <c r="G75" s="18" t="n"/>
      <c r="H75" s="16">
        <f>IF(ISNUMBER(F75),F75-N(G75),"")</f>
        <v/>
      </c>
      <c r="I75" s="15">
        <f>IF(AND(ISNUMBER(D75),ISNUMBER(H75)),(D75-H75)/100*10000,"")</f>
        <v/>
      </c>
      <c r="J75" s="18" t="n">
        <v>0</v>
      </c>
      <c r="K75" s="15">
        <f>IF(ISNUMBER(I75),I75+N(J75)/100*10000,"")</f>
        <v/>
      </c>
      <c r="L75" s="19" t="n">
        <v>1.73</v>
      </c>
      <c r="M75" s="4" t="inlineStr">
        <is>
          <t>Jumper Best Return via Relay; max route 100.0</t>
        </is>
      </c>
    </row>
    <row r="76">
      <c r="A76" s="4" t="inlineStr">
        <is>
          <t>ETH → SOL</t>
        </is>
      </c>
      <c r="B76" s="4" t="n">
        <v>2</v>
      </c>
      <c r="C76" s="4" t="inlineStr">
        <is>
          <t>LI.FI (Jumper)</t>
        </is>
      </c>
      <c r="D76" s="18" t="n">
        <v>98.98303</v>
      </c>
      <c r="E76" s="4" t="inlineStr"/>
      <c r="F76" s="18" t="n">
        <v>99.94557399999999</v>
      </c>
      <c r="G76" s="18" t="n"/>
      <c r="H76" s="16">
        <f>IF(ISNUMBER(F76),F76-N(G76),"")</f>
        <v/>
      </c>
      <c r="I76" s="15">
        <f>IF(AND(ISNUMBER(D76),ISNUMBER(H76)),(D76-H76)/100*10000,"")</f>
        <v/>
      </c>
      <c r="J76" s="18" t="n">
        <v>0.05</v>
      </c>
      <c r="K76" s="15">
        <f>IF(ISNUMBER(I76),I76+N(J76)/100*10000,"")</f>
        <v/>
      </c>
      <c r="L76" s="19" t="n">
        <v>1.014</v>
      </c>
      <c r="M76" s="4" t="inlineStr">
        <is>
          <t>Jumper Best Return via Relay; max route 100.0</t>
        </is>
      </c>
      <c r="O76" s="2" t="inlineStr">
        <is>
          <t>Tolerance: ±2 bps (±4 for Mayan: Dutch-auction pricing and 2–4 dp display). Assumption set by the analyst.</t>
        </is>
      </c>
    </row>
    <row r="77">
      <c r="A77" s="4" t="inlineStr">
        <is>
          <t>ETH → SOL</t>
        </is>
      </c>
      <c r="B77" s="4" t="n">
        <v>3</v>
      </c>
      <c r="C77" s="4" t="inlineStr">
        <is>
          <t>LI.FI (Jumper)</t>
        </is>
      </c>
      <c r="D77" s="18" t="n">
        <v>98.983335</v>
      </c>
      <c r="E77" s="4" t="inlineStr"/>
      <c r="F77" s="18" t="n">
        <v>99.94557500000001</v>
      </c>
      <c r="G77" s="18" t="n"/>
      <c r="H77" s="16">
        <f>IF(ISNUMBER(F77),F77-N(G77),"")</f>
        <v/>
      </c>
      <c r="I77" s="15">
        <f>IF(AND(ISNUMBER(D77),ISNUMBER(H77)),(D77-H77)/100*10000,"")</f>
        <v/>
      </c>
      <c r="J77" s="18" t="n">
        <v>0.05</v>
      </c>
      <c r="K77" s="15">
        <f>IF(ISNUMBER(I77),I77+N(J77)/100*10000,"")</f>
        <v/>
      </c>
      <c r="L77" s="19" t="n">
        <v>1.301</v>
      </c>
      <c r="M77" s="4" t="inlineStr">
        <is>
          <t>Jumper Best Return via Relay; max route 100.0</t>
        </is>
      </c>
    </row>
    <row r="78">
      <c r="A78" s="4" t="inlineStr">
        <is>
          <t>ETH → SOL</t>
        </is>
      </c>
      <c r="B78" s="4" t="n">
        <v>3</v>
      </c>
      <c r="C78" s="4" t="inlineStr">
        <is>
          <t>LI.FI (Jumper)</t>
        </is>
      </c>
      <c r="D78" s="18" t="n">
        <v>98.983074</v>
      </c>
      <c r="E78" s="4" t="inlineStr"/>
      <c r="F78" s="18" t="n">
        <v>99.945573</v>
      </c>
      <c r="G78" s="18" t="n"/>
      <c r="H78" s="16">
        <f>IF(ISNUMBER(F78),F78-N(G78),"")</f>
        <v/>
      </c>
      <c r="I78" s="15">
        <f>IF(AND(ISNUMBER(D78),ISNUMBER(H78)),(D78-H78)/100*10000,"")</f>
        <v/>
      </c>
      <c r="J78" s="18" t="n">
        <v>0.05</v>
      </c>
      <c r="K78" s="15">
        <f>IF(ISNUMBER(I78),I78+N(J78)/100*10000,"")</f>
        <v/>
      </c>
      <c r="L78" s="19" t="n">
        <v>1.313</v>
      </c>
      <c r="M78" s="4" t="inlineStr">
        <is>
          <t>Jumper Best Return via Relay; max route 100.0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Across</t>
        </is>
      </c>
      <c r="D79" s="18" t="inlineStr">
        <is>
          <t>not listed</t>
        </is>
      </c>
      <c r="E79" s="4" t="inlineStr"/>
      <c r="F79" s="18" t="n">
        <v>99.98999999999999</v>
      </c>
      <c r="G79" s="18" t="n"/>
      <c r="H79" s="16">
        <f>IF(ISNUMBER(F79),F79-N(G79),"")</f>
        <v/>
      </c>
      <c r="I79" s="15">
        <f>IF(AND(ISNUMBER(D79),ISNUMBER(H79)),(D79-H79)/100*10000,"")</f>
        <v/>
      </c>
      <c r="J79" s="18" t="n">
        <v>0.05</v>
      </c>
      <c r="K79" s="15">
        <f>IF(ISNUMBER(I79),I79+N(J79)/100*10000,"")</f>
        <v/>
      </c>
      <c r="L79" s="19" t="n">
        <v>0.075</v>
      </c>
      <c r="M79" s="4" t="inlineStr"/>
    </row>
    <row r="80">
      <c r="A80" s="4" t="inlineStr">
        <is>
          <t>ETH → SOL</t>
        </is>
      </c>
      <c r="B80" s="4" t="n">
        <v>1</v>
      </c>
      <c r="C80" s="4" t="inlineStr">
        <is>
          <t>Across</t>
        </is>
      </c>
      <c r="D80" s="18" t="inlineStr">
        <is>
          <t>not listed</t>
        </is>
      </c>
      <c r="E80" s="4" t="inlineStr"/>
      <c r="F80" s="18" t="n">
        <v>99.98999999999999</v>
      </c>
      <c r="G80" s="18" t="n"/>
      <c r="H80" s="16">
        <f>IF(ISNUMBER(F80),F80-N(G80),"")</f>
        <v/>
      </c>
      <c r="I80" s="15">
        <f>IF(AND(ISNUMBER(D80),ISNUMBER(H80)),(D80-H80)/100*10000,"")</f>
        <v/>
      </c>
      <c r="J80" s="18" t="n">
        <v>0.05</v>
      </c>
      <c r="K80" s="15">
        <f>IF(ISNUMBER(I80),I80+N(J80)/100*10000,"")</f>
        <v/>
      </c>
      <c r="L80" s="19" t="n">
        <v>0.002</v>
      </c>
      <c r="M80" s="4" t="inlineStr"/>
    </row>
    <row r="81">
      <c r="A81" s="4" t="inlineStr">
        <is>
          <t>ETH → SOL</t>
        </is>
      </c>
      <c r="B81" s="4" t="n">
        <v>2</v>
      </c>
      <c r="C81" s="4" t="inlineStr">
        <is>
          <t>Across</t>
        </is>
      </c>
      <c r="D81" s="18" t="inlineStr">
        <is>
          <t>not listed</t>
        </is>
      </c>
      <c r="E81" s="4" t="inlineStr"/>
      <c r="F81" s="18" t="n">
        <v>99.98999999999999</v>
      </c>
      <c r="G81" s="18" t="n"/>
      <c r="H81" s="16">
        <f>IF(ISNUMBER(F81),F81-N(G81),"")</f>
        <v/>
      </c>
      <c r="I81" s="15">
        <f>IF(AND(ISNUMBER(D81),ISNUMBER(H81)),(D81-H81)/100*10000,"")</f>
        <v/>
      </c>
      <c r="J81" s="18" t="n">
        <v>0.05</v>
      </c>
      <c r="K81" s="15">
        <f>IF(ISNUMBER(I81),I81+N(J81)/100*10000,"")</f>
        <v/>
      </c>
      <c r="L81" s="19" t="n">
        <v>0.062</v>
      </c>
      <c r="M81" s="4" t="inlineStr"/>
    </row>
    <row r="82">
      <c r="A82" s="4" t="inlineStr">
        <is>
          <t>ETH → SOL</t>
        </is>
      </c>
      <c r="B82" s="4" t="n">
        <v>2</v>
      </c>
      <c r="C82" s="4" t="inlineStr">
        <is>
          <t>Across</t>
        </is>
      </c>
      <c r="D82" s="18" t="inlineStr">
        <is>
          <t>not listed</t>
        </is>
      </c>
      <c r="E82" s="4" t="inlineStr"/>
      <c r="F82" s="18" t="n">
        <v>99.98999999999999</v>
      </c>
      <c r="G82" s="18" t="n"/>
      <c r="H82" s="16">
        <f>IF(ISNUMBER(F82),F82-N(G82),"")</f>
        <v/>
      </c>
      <c r="I82" s="15">
        <f>IF(AND(ISNUMBER(D82),ISNUMBER(H82)),(D82-H82)/100*10000,"")</f>
        <v/>
      </c>
      <c r="J82" s="18" t="n">
        <v>0.05</v>
      </c>
      <c r="K82" s="15">
        <f>IF(ISNUMBER(I82),I82+N(J82)/100*10000,"")</f>
        <v/>
      </c>
      <c r="L82" s="19" t="n">
        <v>0.034</v>
      </c>
      <c r="M82" s="4" t="inlineStr"/>
    </row>
    <row r="83">
      <c r="A83" s="4" t="inlineStr">
        <is>
          <t>ETH → SOL</t>
        </is>
      </c>
      <c r="B83" s="4" t="n">
        <v>3</v>
      </c>
      <c r="C83" s="4" t="inlineStr">
        <is>
          <t>Across</t>
        </is>
      </c>
      <c r="D83" s="18" t="inlineStr">
        <is>
          <t>not listed</t>
        </is>
      </c>
      <c r="E83" s="4" t="inlineStr"/>
      <c r="F83" s="18" t="n">
        <v>99.98999999999999</v>
      </c>
      <c r="G83" s="18" t="n"/>
      <c r="H83" s="16">
        <f>IF(ISNUMBER(F83),F83-N(G83),"")</f>
        <v/>
      </c>
      <c r="I83" s="15">
        <f>IF(AND(ISNUMBER(D83),ISNUMBER(H83)),(D83-H83)/100*10000,"")</f>
        <v/>
      </c>
      <c r="J83" s="18" t="n">
        <v>0.05</v>
      </c>
      <c r="K83" s="15">
        <f>IF(ISNUMBER(I83),I83+N(J83)/100*10000,"")</f>
        <v/>
      </c>
      <c r="L83" s="19" t="n">
        <v>0.313</v>
      </c>
      <c r="M83" s="4" t="inlineStr"/>
    </row>
    <row r="84">
      <c r="A84" s="4" t="inlineStr">
        <is>
          <t>ETH → SOL</t>
        </is>
      </c>
      <c r="B84" s="4" t="n">
        <v>3</v>
      </c>
      <c r="C84" s="4" t="inlineStr">
        <is>
          <t>Across</t>
        </is>
      </c>
      <c r="D84" s="18" t="inlineStr">
        <is>
          <t>not listed</t>
        </is>
      </c>
      <c r="E84" s="4" t="inlineStr"/>
      <c r="F84" s="18" t="n">
        <v>99.98999999999999</v>
      </c>
      <c r="G84" s="18" t="n"/>
      <c r="H84" s="16">
        <f>IF(ISNUMBER(F84),F84-N(G84),"")</f>
        <v/>
      </c>
      <c r="I84" s="15">
        <f>IF(AND(ISNUMBER(D84),ISNUMBER(H84)),(D84-H84)/100*10000,"")</f>
        <v/>
      </c>
      <c r="J84" s="18" t="n">
        <v>0.05</v>
      </c>
      <c r="K84" s="15">
        <f>IF(ISNUMBER(I84),I84+N(J84)/100*10000,"")</f>
        <v/>
      </c>
      <c r="L84" s="19" t="n">
        <v>0.106</v>
      </c>
      <c r="M84" s="4" t="inlineStr"/>
    </row>
    <row r="85">
      <c r="A85" s="4" t="inlineStr">
        <is>
          <t>ETH → SOL</t>
        </is>
      </c>
      <c r="B85" s="4" t="n">
        <v>1</v>
      </c>
      <c r="C85" s="4" t="inlineStr">
        <is>
          <t>Mayan</t>
        </is>
      </c>
      <c r="D85" s="18" t="n">
        <v>99.469758</v>
      </c>
      <c r="E85" s="4" t="inlineStr"/>
      <c r="F85" s="18" t="n">
        <v>99.51900000000001</v>
      </c>
      <c r="G85" s="18" t="n"/>
      <c r="H85" s="16">
        <f>IF(ISNUMBER(F85),F85-N(G85),"")</f>
        <v/>
      </c>
      <c r="I85" s="15">
        <f>IF(AND(ISNUMBER(D85),ISNUMBER(H85)),(D85-H85)/100*10000,"")</f>
        <v/>
      </c>
      <c r="J85" s="18" t="n">
        <v>0.05</v>
      </c>
      <c r="K85" s="15">
        <f>IF(ISNUMBER(I85),I85+N(J85)/100*10000,"")</f>
        <v/>
      </c>
      <c r="L85" s="19" t="n">
        <v>0.251</v>
      </c>
      <c r="M85" s="4" t="inlineStr">
        <is>
          <t>Swift v2; UI shows 3 dp</t>
        </is>
      </c>
    </row>
    <row r="86">
      <c r="A86" s="4" t="inlineStr">
        <is>
          <t>ETH → SOL</t>
        </is>
      </c>
      <c r="B86" s="4" t="n">
        <v>1</v>
      </c>
      <c r="C86" s="4" t="inlineStr">
        <is>
          <t>Mayan</t>
        </is>
      </c>
      <c r="D86" s="18" t="n">
        <v>99.490132</v>
      </c>
      <c r="E86" s="4" t="inlineStr"/>
      <c r="F86" s="18" t="n">
        <v>99.539</v>
      </c>
      <c r="G86" s="18" t="n"/>
      <c r="H86" s="16">
        <f>IF(ISNUMBER(F86),F86-N(G86),"")</f>
        <v/>
      </c>
      <c r="I86" s="15">
        <f>IF(AND(ISNUMBER(D86),ISNUMBER(H86)),(D86-H86)/100*10000,"")</f>
        <v/>
      </c>
      <c r="J86" s="18" t="n">
        <v>0.05</v>
      </c>
      <c r="K86" s="15">
        <f>IF(ISNUMBER(I86),I86+N(J86)/100*10000,"")</f>
        <v/>
      </c>
      <c r="L86" s="19" t="n">
        <v>0.097</v>
      </c>
      <c r="M86" s="4" t="inlineStr">
        <is>
          <t>Swift v2; UI shows 3 dp</t>
        </is>
      </c>
    </row>
    <row r="87">
      <c r="A87" s="4" t="inlineStr">
        <is>
          <t>ETH → SOL</t>
        </is>
      </c>
      <c r="B87" s="4" t="n">
        <v>2</v>
      </c>
      <c r="C87" s="4" t="inlineStr">
        <is>
          <t>Mayan</t>
        </is>
      </c>
      <c r="D87" s="18" t="n">
        <v>99.48384299999999</v>
      </c>
      <c r="E87" s="4" t="inlineStr"/>
      <c r="F87" s="18" t="n">
        <v>99.47880000000001</v>
      </c>
      <c r="G87" s="18" t="n"/>
      <c r="H87" s="16">
        <f>IF(ISNUMBER(F87),F87-N(G87),"")</f>
        <v/>
      </c>
      <c r="I87" s="15">
        <f>IF(AND(ISNUMBER(D87),ISNUMBER(H87)),(D87-H87)/100*10000,"")</f>
        <v/>
      </c>
      <c r="J87" s="18" t="n">
        <v>0.05</v>
      </c>
      <c r="K87" s="15">
        <f>IF(ISNUMBER(I87),I87+N(J87)/100*10000,"")</f>
        <v/>
      </c>
      <c r="L87" s="19" t="n">
        <v>0.251</v>
      </c>
      <c r="M87" s="4" t="inlineStr">
        <is>
          <t>Swift v2; UI shows 4 dp</t>
        </is>
      </c>
    </row>
    <row r="88">
      <c r="A88" s="4" t="inlineStr">
        <is>
          <t>ETH → SOL</t>
        </is>
      </c>
      <c r="B88" s="4" t="n">
        <v>2</v>
      </c>
      <c r="C88" s="4" t="inlineStr">
        <is>
          <t>Mayan</t>
        </is>
      </c>
      <c r="D88" s="18" t="n">
        <v>99.496241</v>
      </c>
      <c r="E88" s="4" t="inlineStr"/>
      <c r="F88" s="18" t="n">
        <v>99.54600000000001</v>
      </c>
      <c r="G88" s="18" t="n"/>
      <c r="H88" s="16">
        <f>IF(ISNUMBER(F88),F88-N(G88),"")</f>
        <v/>
      </c>
      <c r="I88" s="15">
        <f>IF(AND(ISNUMBER(D88),ISNUMBER(H88)),(D88-H88)/100*10000,"")</f>
        <v/>
      </c>
      <c r="J88" s="18" t="n">
        <v>0.05</v>
      </c>
      <c r="K88" s="15">
        <f>IF(ISNUMBER(I88),I88+N(J88)/100*10000,"")</f>
        <v/>
      </c>
      <c r="L88" s="19" t="n">
        <v>0.178</v>
      </c>
      <c r="M88" s="4" t="inlineStr">
        <is>
          <t>Swift v2; UI shows 3 dp</t>
        </is>
      </c>
    </row>
    <row r="89">
      <c r="A89" s="4" t="inlineStr">
        <is>
          <t>ETH → SOL</t>
        </is>
      </c>
      <c r="B89" s="4" t="n">
        <v>3</v>
      </c>
      <c r="C89" s="4" t="inlineStr">
        <is>
          <t>Mayan</t>
        </is>
      </c>
      <c r="D89" s="18" t="n">
        <v>99.432661</v>
      </c>
      <c r="E89" s="4" t="inlineStr"/>
      <c r="F89" s="18" t="n">
        <v>99.4311</v>
      </c>
      <c r="G89" s="18" t="n"/>
      <c r="H89" s="16">
        <f>IF(ISNUMBER(F89),F89-N(G89),"")</f>
        <v/>
      </c>
      <c r="I89" s="15">
        <f>IF(AND(ISNUMBER(D89),ISNUMBER(H89)),(D89-H89)/100*10000,"")</f>
        <v/>
      </c>
      <c r="J89" s="18" t="n">
        <v>0.05</v>
      </c>
      <c r="K89" s="15">
        <f>IF(ISNUMBER(I89),I89+N(J89)/100*10000,"")</f>
        <v/>
      </c>
      <c r="L89" s="19" t="n">
        <v>0.249</v>
      </c>
      <c r="M89" s="4" t="inlineStr">
        <is>
          <t>Swift v2; UI shows 4 dp</t>
        </is>
      </c>
    </row>
    <row r="90">
      <c r="A90" s="4" t="inlineStr">
        <is>
          <t>ETH → SOL</t>
        </is>
      </c>
      <c r="B90" s="4" t="n">
        <v>3</v>
      </c>
      <c r="C90" s="4" t="inlineStr">
        <is>
          <t>Mayan</t>
        </is>
      </c>
      <c r="D90" s="18" t="n">
        <v>99.45023999999999</v>
      </c>
      <c r="E90" s="4" t="inlineStr"/>
      <c r="F90" s="18" t="n">
        <v>99.4999</v>
      </c>
      <c r="G90" s="18" t="n"/>
      <c r="H90" s="16">
        <f>IF(ISNUMBER(F90),F90-N(G90),"")</f>
        <v/>
      </c>
      <c r="I90" s="15">
        <f>IF(AND(ISNUMBER(D90),ISNUMBER(H90)),(D90-H90)/100*10000,"")</f>
        <v/>
      </c>
      <c r="J90" s="18" t="n">
        <v>0.05</v>
      </c>
      <c r="K90" s="15">
        <f>IF(ISNUMBER(I90),I90+N(J90)/100*10000,"")</f>
        <v/>
      </c>
      <c r="L90" s="19" t="n">
        <v>0.209</v>
      </c>
      <c r="M90" s="4" t="inlineStr">
        <is>
          <t>Swift v2; UI shows 4 dp</t>
        </is>
      </c>
    </row>
    <row r="91">
      <c r="A91" s="4" t="inlineStr">
        <is>
          <t>ETH → SOL</t>
        </is>
      </c>
      <c r="B91" s="4" t="n">
        <v>1</v>
      </c>
      <c r="C91" s="4" t="inlineStr">
        <is>
          <t>Allbridge Core</t>
        </is>
      </c>
      <c r="D91" s="18" t="n">
        <v>99.85005</v>
      </c>
      <c r="E91" s="4" t="inlineStr"/>
      <c r="F91" s="18" t="n">
        <v>99.90000000000001</v>
      </c>
      <c r="G91" s="18" t="n"/>
      <c r="H91" s="16">
        <f>IF(ISNUMBER(F91),F91-N(G91),"")</f>
        <v/>
      </c>
      <c r="I91" s="15">
        <f>IF(AND(ISNUMBER(D91),ISNUMBER(H91)),(D91-H91)/100*10000,"")</f>
        <v/>
      </c>
      <c r="J91" s="18" t="n">
        <v>0.05</v>
      </c>
      <c r="K91" s="15">
        <f>IF(ISNUMBER(I91),I91+N(J91)/100*10000,"")</f>
        <v/>
      </c>
      <c r="L91" s="19" t="n">
        <v>0.022</v>
      </c>
      <c r="M91" s="4" t="inlineStr">
        <is>
          <t>+0.000137 ETH (relayer fee, fee=native) charged on top of 100 input (not converted)</t>
        </is>
      </c>
    </row>
    <row r="92">
      <c r="A92" s="4" t="inlineStr">
        <is>
          <t>ETH → SOL</t>
        </is>
      </c>
      <c r="B92" s="4" t="n">
        <v>2</v>
      </c>
      <c r="C92" s="4" t="inlineStr">
        <is>
          <t>Allbridge Core</t>
        </is>
      </c>
      <c r="D92" s="18" t="n">
        <v>99.85005</v>
      </c>
      <c r="E92" s="4" t="inlineStr"/>
      <c r="F92" s="18" t="n">
        <v>99.90000000000001</v>
      </c>
      <c r="G92" s="18" t="n"/>
      <c r="H92" s="16">
        <f>IF(ISNUMBER(F92),F92-N(G92),"")</f>
        <v/>
      </c>
      <c r="I92" s="15">
        <f>IF(AND(ISNUMBER(D92),ISNUMBER(H92)),(D92-H92)/100*10000,"")</f>
        <v/>
      </c>
      <c r="J92" s="18" t="n">
        <v>0.05</v>
      </c>
      <c r="K92" s="15">
        <f>IF(ISNUMBER(I92),I92+N(J92)/100*10000,"")</f>
        <v/>
      </c>
      <c r="L92" s="19" t="n">
        <v>0.068</v>
      </c>
      <c r="M92" s="4" t="inlineStr">
        <is>
          <t>+0.000137 ETH (relayer fee, fee=native) charged on top of 100 input (not converted)</t>
        </is>
      </c>
    </row>
    <row r="93">
      <c r="A93" s="4" t="inlineStr">
        <is>
          <t>ETH → SOL</t>
        </is>
      </c>
      <c r="B93" s="4" t="n">
        <v>3</v>
      </c>
      <c r="C93" s="4" t="inlineStr">
        <is>
          <t>Allbridge Core</t>
        </is>
      </c>
      <c r="D93" s="18" t="n">
        <v>99.85005</v>
      </c>
      <c r="E93" s="4" t="inlineStr"/>
      <c r="F93" s="18" t="n">
        <v>99.90000000000001</v>
      </c>
      <c r="G93" s="18" t="n"/>
      <c r="H93" s="16">
        <f>IF(ISNUMBER(F93),F93-N(G93),"")</f>
        <v/>
      </c>
      <c r="I93" s="15">
        <f>IF(AND(ISNUMBER(D93),ISNUMBER(H93)),(D93-H93)/100*10000,"")</f>
        <v/>
      </c>
      <c r="J93" s="18" t="n">
        <v>0.05</v>
      </c>
      <c r="K93" s="15">
        <f>IF(ISNUMBER(I93),I93+N(J93)/100*10000,"")</f>
        <v/>
      </c>
      <c r="L93" s="19" t="n">
        <v>0.159</v>
      </c>
      <c r="M93" s="4" t="inlineStr">
        <is>
          <t>+0.000137 ETH (relayer fee, fee=native) charged on top of 100 input (not converted)</t>
        </is>
      </c>
    </row>
    <row r="94">
      <c r="A94" s="4" t="inlineStr">
        <is>
          <t>ETH → SOL</t>
        </is>
      </c>
      <c r="B94" s="4" t="n">
        <v>1</v>
      </c>
      <c r="C94" s="4" t="inlineStr">
        <is>
          <t>CCTP (via Portal)</t>
        </is>
      </c>
      <c r="D94" s="18" t="n">
        <v>99.79014100000001</v>
      </c>
      <c r="E94" s="4" t="inlineStr"/>
      <c r="F94" s="18" t="n">
        <v>99.980001</v>
      </c>
      <c r="G94" s="18" t="n"/>
      <c r="H94" s="16">
        <f>IF(ISNUMBER(F94),F94-N(G94),"")</f>
        <v/>
      </c>
      <c r="I94" s="15">
        <f>IF(AND(ISNUMBER(D94),ISNUMBER(H94)),(D94-H94)/100*10000,"")</f>
        <v/>
      </c>
      <c r="J94" s="18" t="n">
        <v>0.05</v>
      </c>
      <c r="K94" s="15">
        <f>IF(ISNUMBER(I94),I94+N(J94)/100*10000,"")</f>
        <v/>
      </c>
      <c r="L94" s="19" t="n">
        <v>2.271</v>
      </c>
      <c r="M94" s="4" t="inlineStr">
        <is>
          <t>via Portal (CCTPv2FastExecutorRoute); executor fee hidden until wallet connect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CCTP (via Portal)</t>
        </is>
      </c>
      <c r="D95" s="18" t="n">
        <v>99.79014100000001</v>
      </c>
      <c r="E95" s="4" t="inlineStr"/>
      <c r="F95" s="18" t="n">
        <v>99.980001</v>
      </c>
      <c r="G95" s="18" t="n"/>
      <c r="H95" s="16">
        <f>IF(ISNUMBER(F95),F95-N(G95),"")</f>
        <v/>
      </c>
      <c r="I95" s="15">
        <f>IF(AND(ISNUMBER(D95),ISNUMBER(H95)),(D95-H95)/100*10000,"")</f>
        <v/>
      </c>
      <c r="J95" s="18" t="n">
        <v>0.05</v>
      </c>
      <c r="K95" s="15">
        <f>IF(ISNUMBER(I95),I95+N(J95)/100*10000,"")</f>
        <v/>
      </c>
      <c r="L95" s="19" t="n">
        <v>3.418</v>
      </c>
      <c r="M95" s="4" t="inlineStr">
        <is>
          <t>via Portal (CCTPv2FastExecutorRoute); executor fee hidden until wallet connect</t>
        </is>
      </c>
    </row>
    <row r="96">
      <c r="A96" s="4" t="inlineStr">
        <is>
          <t>ETH → SOL</t>
        </is>
      </c>
      <c r="B96" s="4" t="n">
        <v>3</v>
      </c>
      <c r="C96" s="4" t="inlineStr">
        <is>
          <t>CCTP (via Portal)</t>
        </is>
      </c>
      <c r="D96" s="18" t="n">
        <v>99.800658</v>
      </c>
      <c r="E96" s="4" t="inlineStr"/>
      <c r="F96" s="18" t="n">
        <v>99.980001</v>
      </c>
      <c r="G96" s="18" t="n"/>
      <c r="H96" s="16">
        <f>IF(ISNUMBER(F96),F96-N(G96),"")</f>
        <v/>
      </c>
      <c r="I96" s="15">
        <f>IF(AND(ISNUMBER(D96),ISNUMBER(H96)),(D96-H96)/100*10000,"")</f>
        <v/>
      </c>
      <c r="J96" s="18" t="n">
        <v>0.05</v>
      </c>
      <c r="K96" s="15">
        <f>IF(ISNUMBER(I96),I96+N(J96)/100*10000,"")</f>
        <v/>
      </c>
      <c r="L96" s="19" t="n">
        <v>2.482</v>
      </c>
      <c r="M96" s="4" t="inlineStr">
        <is>
          <t>via Portal (CCTPv2FastExecutorRoute); executor fee hidden until wallet connect</t>
        </is>
      </c>
    </row>
    <row r="97">
      <c r="A97" s="4" t="inlineStr">
        <is>
          <t>ETH → SOL</t>
        </is>
      </c>
      <c r="B97" s="4" t="n">
        <v>1</v>
      </c>
      <c r="C97" s="4" t="inlineStr">
        <is>
          <t>Husher</t>
        </is>
      </c>
      <c r="D97" s="18" t="n">
        <v>99.45025</v>
      </c>
      <c r="E97" s="4" t="inlineStr"/>
      <c r="F97" s="18" t="n">
        <v>99.34999999999999</v>
      </c>
      <c r="G97" s="18" t="n"/>
      <c r="H97" s="16">
        <f>IF(ISNUMBER(F97),F97-N(G97),"")</f>
        <v/>
      </c>
      <c r="I97" s="15">
        <f>IF(AND(ISNUMBER(D97),ISNUMBER(H97)),(D97-H97)/100*10000,"")</f>
        <v/>
      </c>
      <c r="J97" s="18" t="n">
        <v>0.05</v>
      </c>
      <c r="K97" s="15">
        <f>IF(ISNUMBER(I97),I97+N(J97)/100*10000,"")</f>
        <v/>
      </c>
      <c r="L97" s="19" t="n">
        <v>0.162</v>
      </c>
      <c r="M97" s="4" t="inlineStr"/>
    </row>
    <row r="98">
      <c r="A98" s="4" t="inlineStr">
        <is>
          <t>ETH → SOL</t>
        </is>
      </c>
      <c r="B98" s="4" t="n">
        <v>2</v>
      </c>
      <c r="C98" s="4" t="inlineStr">
        <is>
          <t>Husher</t>
        </is>
      </c>
      <c r="D98" s="18" t="n">
        <v>99.45025</v>
      </c>
      <c r="E98" s="4" t="inlineStr"/>
      <c r="F98" s="18" t="n">
        <v>99.34999999999999</v>
      </c>
      <c r="G98" s="18" t="n"/>
      <c r="H98" s="16">
        <f>IF(ISNUMBER(F98),F98-N(G98),"")</f>
        <v/>
      </c>
      <c r="I98" s="15">
        <f>IF(AND(ISNUMBER(D98),ISNUMBER(H98)),(D98-H98)/100*10000,"")</f>
        <v/>
      </c>
      <c r="J98" s="18" t="n">
        <v>0.05</v>
      </c>
      <c r="K98" s="15">
        <f>IF(ISNUMBER(I98),I98+N(J98)/100*10000,"")</f>
        <v/>
      </c>
      <c r="L98" s="19" t="n">
        <v>0.202</v>
      </c>
      <c r="M98" s="4" t="inlineStr"/>
    </row>
    <row r="99">
      <c r="A99" s="4" t="inlineStr">
        <is>
          <t>ETH → SOL</t>
        </is>
      </c>
      <c r="B99" s="4" t="n">
        <v>3</v>
      </c>
      <c r="C99" s="4" t="inlineStr">
        <is>
          <t>Husher</t>
        </is>
      </c>
      <c r="D99" s="18" t="n">
        <v>99.45025</v>
      </c>
      <c r="E99" s="4" t="inlineStr"/>
      <c r="F99" s="18" t="n">
        <v>99.34999999999999</v>
      </c>
      <c r="G99" s="18" t="n"/>
      <c r="H99" s="16">
        <f>IF(ISNUMBER(F99),F99-N(G99),"")</f>
        <v/>
      </c>
      <c r="I99" s="15">
        <f>IF(AND(ISNUMBER(D99),ISNUMBER(H99)),(D99-H99)/100*10000,"")</f>
        <v/>
      </c>
      <c r="J99" s="18" t="n">
        <v>0.05</v>
      </c>
      <c r="K99" s="15">
        <f>IF(ISNUMBER(I99),I99+N(J99)/100*10000,"")</f>
        <v/>
      </c>
      <c r="L99" s="19" t="n">
        <v>0.532</v>
      </c>
      <c r="M99" s="4" t="inlineStr"/>
    </row>
    <row r="100">
      <c r="A100" s="4" t="inlineStr">
        <is>
          <t>ETH → SOL</t>
        </is>
      </c>
      <c r="B100" s="4" t="n">
        <v>1</v>
      </c>
      <c r="C100" s="4" t="inlineStr">
        <is>
          <t>Layerswap</t>
        </is>
      </c>
      <c r="D100" s="18" t="n">
        <v>99.591797</v>
      </c>
      <c r="E100" s="4" t="inlineStr"/>
      <c r="F100" s="18" t="n">
        <v>99.67344799999999</v>
      </c>
      <c r="G100" s="18" t="n"/>
      <c r="H100" s="16">
        <f>IF(ISNUMBER(F100),F100-N(G100),"")</f>
        <v/>
      </c>
      <c r="I100" s="15">
        <f>IF(AND(ISNUMBER(D100),ISNUMBER(H100)),(D100-H100)/100*10000,"")</f>
        <v/>
      </c>
      <c r="J100" s="18" t="n">
        <v>0.05</v>
      </c>
      <c r="K100" s="15">
        <f>IF(ISNUMBER(I100),I100+N(J100)/100*10000,"")</f>
        <v/>
      </c>
      <c r="L100" s="19" t="n">
        <v>0.971</v>
      </c>
      <c r="M100" s="4" t="inlineStr"/>
    </row>
    <row r="101">
      <c r="A101" s="4" t="inlineStr">
        <is>
          <t>ETH → SOL</t>
        </is>
      </c>
      <c r="B101" s="4" t="n">
        <v>2</v>
      </c>
      <c r="C101" s="4" t="inlineStr">
        <is>
          <t>Layerswap</t>
        </is>
      </c>
      <c r="D101" s="18" t="n">
        <v>99.591932</v>
      </c>
      <c r="E101" s="4" t="inlineStr"/>
      <c r="F101" s="18" t="n">
        <v>99.67358299999999</v>
      </c>
      <c r="G101" s="18" t="n"/>
      <c r="H101" s="16">
        <f>IF(ISNUMBER(F101),F101-N(G101),"")</f>
        <v/>
      </c>
      <c r="I101" s="15">
        <f>IF(AND(ISNUMBER(D101),ISNUMBER(H101)),(D101-H101)/100*10000,"")</f>
        <v/>
      </c>
      <c r="J101" s="18" t="n">
        <v>0.05</v>
      </c>
      <c r="K101" s="15">
        <f>IF(ISNUMBER(I101),I101+N(J101)/100*10000,"")</f>
        <v/>
      </c>
      <c r="L101" s="19" t="n">
        <v>1.185</v>
      </c>
      <c r="M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Layerswap</t>
        </is>
      </c>
      <c r="D102" s="18" t="n">
        <v>99.591815</v>
      </c>
      <c r="E102" s="4" t="inlineStr"/>
      <c r="F102" s="18" t="n">
        <v>99.67346499999999</v>
      </c>
      <c r="G102" s="18" t="n"/>
      <c r="H102" s="16">
        <f>IF(ISNUMBER(F102),F102-N(G102),"")</f>
        <v/>
      </c>
      <c r="I102" s="15">
        <f>IF(AND(ISNUMBER(D102),ISNUMBER(H102)),(D102-H102)/100*10000,"")</f>
        <v/>
      </c>
      <c r="J102" s="18" t="n">
        <v>0.05</v>
      </c>
      <c r="K102" s="15">
        <f>IF(ISNUMBER(I102),I102+N(J102)/100*10000,"")</f>
        <v/>
      </c>
      <c r="L102" s="19" t="n">
        <v>1.182</v>
      </c>
      <c r="M102" s="4" t="inlineStr"/>
    </row>
    <row r="103">
      <c r="A103" s="4" t="inlineStr">
        <is>
          <t>ETH → SOL</t>
        </is>
      </c>
      <c r="B103" s="4" t="n">
        <v>1</v>
      </c>
      <c r="C103" s="4" t="inlineStr">
        <is>
          <t>Meson</t>
        </is>
      </c>
      <c r="D103" s="18" t="n">
        <v>99.45025</v>
      </c>
      <c r="E103" s="4" t="inlineStr"/>
      <c r="F103" s="18" t="n">
        <v>99.09999999999999</v>
      </c>
      <c r="G103" s="18" t="n"/>
      <c r="H103" s="16">
        <f>IF(ISNUMBER(F103),F103-N(G103),"")</f>
        <v/>
      </c>
      <c r="I103" s="15">
        <f>IF(AND(ISNUMBER(D103),ISNUMBER(H103)),(D103-H103)/100*10000,"")</f>
        <v/>
      </c>
      <c r="J103" s="18" t="n">
        <v>0.05</v>
      </c>
      <c r="K103" s="15">
        <f>IF(ISNUMBER(I103),I103+N(J103)/100*10000,"")</f>
        <v/>
      </c>
      <c r="L103" s="19" t="n">
        <v>0.844</v>
      </c>
      <c r="M103" s="4" t="inlineStr"/>
    </row>
    <row r="104">
      <c r="A104" s="4" t="inlineStr">
        <is>
          <t>ETH → SOL</t>
        </is>
      </c>
      <c r="B104" s="4" t="n">
        <v>2</v>
      </c>
      <c r="C104" s="4" t="inlineStr">
        <is>
          <t>Meson</t>
        </is>
      </c>
      <c r="D104" s="18" t="n">
        <v>99.45025</v>
      </c>
      <c r="E104" s="4" t="inlineStr"/>
      <c r="F104" s="18" t="n">
        <v>99.09999999999999</v>
      </c>
      <c r="G104" s="18" t="n"/>
      <c r="H104" s="16">
        <f>IF(ISNUMBER(F104),F104-N(G104),"")</f>
        <v/>
      </c>
      <c r="I104" s="15">
        <f>IF(AND(ISNUMBER(D104),ISNUMBER(H104)),(D104-H104)/100*10000,"")</f>
        <v/>
      </c>
      <c r="J104" s="18" t="n">
        <v>0.05</v>
      </c>
      <c r="K104" s="15">
        <f>IF(ISNUMBER(I104),I104+N(J104)/100*10000,"")</f>
        <v/>
      </c>
      <c r="L104" s="19" t="n">
        <v>0.747</v>
      </c>
      <c r="M104" s="4" t="inlineStr"/>
    </row>
    <row r="105">
      <c r="A105" s="4" t="inlineStr">
        <is>
          <t>ETH → SOL</t>
        </is>
      </c>
      <c r="B105" s="4" t="n">
        <v>3</v>
      </c>
      <c r="C105" s="4" t="inlineStr">
        <is>
          <t>Meson</t>
        </is>
      </c>
      <c r="D105" s="18" t="n">
        <v>99.45025</v>
      </c>
      <c r="E105" s="4" t="inlineStr"/>
      <c r="F105" s="18" t="n">
        <v>99.09999999999999</v>
      </c>
      <c r="G105" s="18" t="n"/>
      <c r="H105" s="16">
        <f>IF(ISNUMBER(F105),F105-N(G105),"")</f>
        <v/>
      </c>
      <c r="I105" s="15">
        <f>IF(AND(ISNUMBER(D105),ISNUMBER(H105)),(D105-H105)/100*10000,"")</f>
        <v/>
      </c>
      <c r="J105" s="18" t="n">
        <v>0.05</v>
      </c>
      <c r="K105" s="15">
        <f>IF(ISNUMBER(I105),I105+N(J105)/100*10000,"")</f>
        <v/>
      </c>
      <c r="L105" s="19" t="n">
        <v>0.745</v>
      </c>
      <c r="M105" s="4" t="inlineStr"/>
    </row>
    <row r="106">
      <c r="A106" s="4" t="inlineStr">
        <is>
          <t>ETH → SOL</t>
        </is>
      </c>
      <c r="B106" s="4" t="n">
        <v>1</v>
      </c>
      <c r="C106" s="4" t="inlineStr">
        <is>
          <t>SimpleSwap</t>
        </is>
      </c>
      <c r="D106" s="18" t="n">
        <v>97.141702</v>
      </c>
      <c r="E106" s="4" t="inlineStr"/>
      <c r="F106" s="18" t="n"/>
      <c r="G106" s="18" t="n"/>
      <c r="H106" s="16">
        <f>IF(ISNUMBER(F106),F106-N(G106),"")</f>
        <v/>
      </c>
      <c r="I106" s="15">
        <f>IF(AND(ISNUMBER(D106),ISNUMBER(H106)),(D106-H106)/100*10000,"")</f>
        <v/>
      </c>
      <c r="J106" s="18" t="n">
        <v>0.05</v>
      </c>
      <c r="K106" s="15">
        <f>IF(ISNUMBER(I106),I106+N(J106)/100*10000,"")</f>
        <v/>
      </c>
      <c r="L106" s="19" t="n"/>
      <c r="M106" s="4" t="inlineStr">
        <is>
          <t>selected card: None; best card None</t>
        </is>
      </c>
    </row>
    <row r="107">
      <c r="A107" s="4" t="inlineStr">
        <is>
          <t>ETH → SOL</t>
        </is>
      </c>
      <c r="B107" s="4" t="n">
        <v>2</v>
      </c>
      <c r="C107" s="4" t="inlineStr">
        <is>
          <t>SimpleSwap</t>
        </is>
      </c>
      <c r="D107" s="18" t="n">
        <v>97.142814</v>
      </c>
      <c r="E107" s="4" t="inlineStr"/>
      <c r="F107" s="18" t="n">
        <v>98.485659</v>
      </c>
      <c r="G107" s="18" t="n"/>
      <c r="H107" s="16">
        <f>IF(ISNUMBER(F107),F107-N(G107),"")</f>
        <v/>
      </c>
      <c r="I107" s="15">
        <f>IF(AND(ISNUMBER(D107),ISNUMBER(H107)),(D107-H107)/100*10000,"")</f>
        <v/>
      </c>
      <c r="J107" s="18" t="n">
        <v>0.05</v>
      </c>
      <c r="K107" s="15">
        <f>IF(ISNUMBER(I107),I107+N(J107)/100*10000,"")</f>
        <v/>
      </c>
      <c r="L107" s="19" t="n">
        <v>1.825</v>
      </c>
      <c r="M107" s="4" t="inlineStr">
        <is>
          <t>selected card: Best rate / Decentralized; best card 98.485659</t>
        </is>
      </c>
    </row>
    <row r="108">
      <c r="A108" s="4" t="inlineStr">
        <is>
          <t>ETH → SOL</t>
        </is>
      </c>
      <c r="B108" s="4" t="n">
        <v>3</v>
      </c>
      <c r="C108" s="4" t="inlineStr">
        <is>
          <t>SimpleSwap</t>
        </is>
      </c>
      <c r="D108" s="18" t="n">
        <v>97.119404</v>
      </c>
      <c r="E108" s="4" t="inlineStr"/>
      <c r="F108" s="18" t="n">
        <v>98.485152</v>
      </c>
      <c r="G108" s="18" t="n"/>
      <c r="H108" s="16">
        <f>IF(ISNUMBER(F108),F108-N(G108),"")</f>
        <v/>
      </c>
      <c r="I108" s="15">
        <f>IF(AND(ISNUMBER(D108),ISNUMBER(H108)),(D108-H108)/100*10000,"")</f>
        <v/>
      </c>
      <c r="J108" s="18" t="n">
        <v>0.05</v>
      </c>
      <c r="K108" s="15">
        <f>IF(ISNUMBER(I108),I108+N(J108)/100*10000,"")</f>
        <v/>
      </c>
      <c r="L108" s="19" t="n">
        <v>1.819</v>
      </c>
      <c r="M108" s="4" t="inlineStr">
        <is>
          <t>selected card: Best rate / Decentralized; best card 98.485152</t>
        </is>
      </c>
    </row>
    <row r="109">
      <c r="A109" s="4" t="inlineStr">
        <is>
          <t>ETH → SOL</t>
        </is>
      </c>
      <c r="B109" s="4" t="n">
        <v>1</v>
      </c>
      <c r="C109" s="4" t="inlineStr">
        <is>
          <t>Skip Go</t>
        </is>
      </c>
      <c r="D109" s="18" t="n">
        <v>99.681442</v>
      </c>
      <c r="E109" s="4" t="inlineStr"/>
      <c r="F109" s="18" t="n">
        <v>99.71930999999999</v>
      </c>
      <c r="G109" s="18" t="n"/>
      <c r="H109" s="16">
        <f>IF(ISNUMBER(F109),F109-N(G109),"")</f>
        <v/>
      </c>
      <c r="I109" s="15">
        <f>IF(AND(ISNUMBER(D109),ISNUMBER(H109)),(D109-H109)/100*10000,"")</f>
        <v/>
      </c>
      <c r="J109" s="18" t="n">
        <v>0.05</v>
      </c>
      <c r="K109" s="15">
        <f>IF(ISNUMBER(I109),I109+N(J109)/100*10000,"")</f>
        <v/>
      </c>
      <c r="L109" s="19" t="n">
        <v>1.374</v>
      </c>
      <c r="M109" s="4" t="inlineStr"/>
    </row>
    <row r="110">
      <c r="A110" s="4" t="inlineStr">
        <is>
          <t>ETH → SOL</t>
        </is>
      </c>
      <c r="B110" s="4" t="n">
        <v>2</v>
      </c>
      <c r="C110" s="4" t="inlineStr">
        <is>
          <t>Skip Go</t>
        </is>
      </c>
      <c r="D110" s="18" t="n">
        <v>99.681442</v>
      </c>
      <c r="E110" s="4" t="inlineStr"/>
      <c r="F110" s="18" t="n">
        <v>99.71930999999999</v>
      </c>
      <c r="G110" s="18" t="n"/>
      <c r="H110" s="16">
        <f>IF(ISNUMBER(F110),F110-N(G110),"")</f>
        <v/>
      </c>
      <c r="I110" s="15">
        <f>IF(AND(ISNUMBER(D110),ISNUMBER(H110)),(D110-H110)/100*10000,"")</f>
        <v/>
      </c>
      <c r="J110" s="18" t="n">
        <v>0.05</v>
      </c>
      <c r="K110" s="15">
        <f>IF(ISNUMBER(I110),I110+N(J110)/100*10000,"")</f>
        <v/>
      </c>
      <c r="L110" s="19" t="n">
        <v>1.276</v>
      </c>
      <c r="M110" s="4" t="inlineStr"/>
    </row>
    <row r="111">
      <c r="A111" s="4" t="inlineStr">
        <is>
          <t>ETH → SOL</t>
        </is>
      </c>
      <c r="B111" s="4" t="n">
        <v>3</v>
      </c>
      <c r="C111" s="4" t="inlineStr">
        <is>
          <t>Skip Go</t>
        </is>
      </c>
      <c r="D111" s="18" t="n">
        <v>99.681579</v>
      </c>
      <c r="E111" s="4" t="inlineStr"/>
      <c r="F111" s="18" t="n">
        <v>99.71944999999999</v>
      </c>
      <c r="G111" s="18" t="n"/>
      <c r="H111" s="16">
        <f>IF(ISNUMBER(F111),F111-N(G111),"")</f>
        <v/>
      </c>
      <c r="I111" s="15">
        <f>IF(AND(ISNUMBER(D111),ISNUMBER(H111)),(D111-H111)/100*10000,"")</f>
        <v/>
      </c>
      <c r="J111" s="18" t="n">
        <v>0.05</v>
      </c>
      <c r="K111" s="15">
        <f>IF(ISNUMBER(I111),I111+N(J111)/100*10000,"")</f>
        <v/>
      </c>
      <c r="L111" s="19" t="n">
        <v>1.399</v>
      </c>
      <c r="M111" s="4" t="inlineStr"/>
    </row>
    <row r="112">
      <c r="A112" s="4" t="inlineStr">
        <is>
          <t>ETH → SOL</t>
        </is>
      </c>
      <c r="B112" s="4" t="n">
        <v>1</v>
      </c>
      <c r="C112" s="4" t="inlineStr">
        <is>
          <t>Symbiosis</t>
        </is>
      </c>
      <c r="D112" s="18" t="n">
        <v>98.94045699999999</v>
      </c>
      <c r="E112" s="4" t="inlineStr"/>
      <c r="F112" s="18" t="n">
        <v>98.94045699999999</v>
      </c>
      <c r="G112" s="18" t="n"/>
      <c r="H112" s="16">
        <f>IF(ISNUMBER(F112),F112-N(G112),"")</f>
        <v/>
      </c>
      <c r="I112" s="15">
        <f>IF(AND(ISNUMBER(D112),ISNUMBER(H112)),(D112-H112)/100*10000,"")</f>
        <v/>
      </c>
      <c r="J112" s="18" t="n">
        <v>0.05</v>
      </c>
      <c r="K112" s="15">
        <f>IF(ISNUMBER(I112),I112+N(J112)/100*10000,"")</f>
        <v/>
      </c>
      <c r="L112" s="19" t="n">
        <v>1.419</v>
      </c>
      <c r="M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Symbiosis</t>
        </is>
      </c>
      <c r="D113" s="18" t="n">
        <v>98.94086299999999</v>
      </c>
      <c r="E113" s="4" t="inlineStr"/>
      <c r="F113" s="18" t="n">
        <v>98.960719</v>
      </c>
      <c r="G113" s="18" t="n"/>
      <c r="H113" s="16">
        <f>IF(ISNUMBER(F113),F113-N(G113),"")</f>
        <v/>
      </c>
      <c r="I113" s="15">
        <f>IF(AND(ISNUMBER(D113),ISNUMBER(H113)),(D113-H113)/100*10000,"")</f>
        <v/>
      </c>
      <c r="J113" s="18" t="n">
        <v>0.05</v>
      </c>
      <c r="K113" s="15">
        <f>IF(ISNUMBER(I113),I113+N(J113)/100*10000,"")</f>
        <v/>
      </c>
      <c r="L113" s="19" t="n">
        <v>1.374</v>
      </c>
      <c r="M113" s="4" t="inlineStr"/>
    </row>
    <row r="114">
      <c r="A114" s="4" t="inlineStr">
        <is>
          <t>ETH → SOL</t>
        </is>
      </c>
      <c r="B114" s="4" t="n">
        <v>3</v>
      </c>
      <c r="C114" s="4" t="inlineStr">
        <is>
          <t>Symbiosis</t>
        </is>
      </c>
      <c r="D114" s="18" t="n">
        <v>98.94086299999999</v>
      </c>
      <c r="E114" s="4" t="inlineStr"/>
      <c r="F114" s="18" t="n">
        <v>98.94086299999999</v>
      </c>
      <c r="G114" s="18" t="n"/>
      <c r="H114" s="16">
        <f>IF(ISNUMBER(F114),F114-N(G114),"")</f>
        <v/>
      </c>
      <c r="I114" s="15">
        <f>IF(AND(ISNUMBER(D114),ISNUMBER(H114)),(D114-H114)/100*10000,"")</f>
        <v/>
      </c>
      <c r="J114" s="18" t="n">
        <v>0.05</v>
      </c>
      <c r="K114" s="15">
        <f>IF(ISNUMBER(I114),I114+N(J114)/100*10000,"")</f>
        <v/>
      </c>
      <c r="L114" s="19" t="n">
        <v>1.47</v>
      </c>
      <c r="M114" s="4" t="inlineStr"/>
    </row>
    <row r="115">
      <c r="A115" s="4" t="inlineStr">
        <is>
          <t>SOL → BSC</t>
        </is>
      </c>
      <c r="B115" s="4" t="n">
        <v>1</v>
      </c>
      <c r="C115" s="4" t="inlineStr">
        <is>
          <t>Relay</t>
        </is>
      </c>
      <c r="D115" s="18" t="n">
        <v>99.598111</v>
      </c>
      <c r="E115" s="4" t="inlineStr"/>
      <c r="F115" s="18" t="n">
        <v>99.64353699999999</v>
      </c>
      <c r="G115" s="18" t="n"/>
      <c r="H115" s="16">
        <f>IF(ISNUMBER(F115),F115-N(G115),"")</f>
        <v/>
      </c>
      <c r="I115" s="15">
        <f>IF(AND(ISNUMBER(D115),ISNUMBER(H115)),(D115-H115)/100*10000,"")</f>
        <v/>
      </c>
      <c r="J115" s="18" t="n">
        <v>0.05</v>
      </c>
      <c r="K115" s="15">
        <f>IF(ISNUMBER(I115),I115+N(J115)/100*10000,"")</f>
        <v/>
      </c>
      <c r="L115" s="19" t="n">
        <v>0.537</v>
      </c>
      <c r="M115" s="4" t="inlineStr"/>
    </row>
    <row r="116">
      <c r="A116" s="4" t="inlineStr">
        <is>
          <t>SOL → BSC</t>
        </is>
      </c>
      <c r="B116" s="4" t="n">
        <v>1</v>
      </c>
      <c r="C116" s="4" t="inlineStr">
        <is>
          <t>Relay</t>
        </is>
      </c>
      <c r="D116" s="18" t="n">
        <v>99.599237</v>
      </c>
      <c r="E116" s="4" t="inlineStr"/>
      <c r="F116" s="18" t="n">
        <v>99.651251</v>
      </c>
      <c r="G116" s="18" t="n"/>
      <c r="H116" s="16">
        <f>IF(ISNUMBER(F116),F116-N(G116),"")</f>
        <v/>
      </c>
      <c r="I116" s="15">
        <f>IF(AND(ISNUMBER(D116),ISNUMBER(H116)),(D116-H116)/100*10000,"")</f>
        <v/>
      </c>
      <c r="J116" s="18" t="n">
        <v>0.05</v>
      </c>
      <c r="K116" s="15">
        <f>IF(ISNUMBER(I116),I116+N(J116)/100*10000,"")</f>
        <v/>
      </c>
      <c r="L116" s="19" t="n">
        <v>0.548</v>
      </c>
      <c r="M116" s="4" t="inlineStr"/>
    </row>
    <row r="117">
      <c r="A117" s="4" t="inlineStr">
        <is>
          <t>SOL → BSC</t>
        </is>
      </c>
      <c r="B117" s="4" t="n">
        <v>2</v>
      </c>
      <c r="C117" s="4" t="inlineStr">
        <is>
          <t>Relay</t>
        </is>
      </c>
      <c r="D117" s="18" t="n">
        <v>99.600022</v>
      </c>
      <c r="E117" s="4" t="inlineStr"/>
      <c r="F117" s="18" t="n">
        <v>99.650424</v>
      </c>
      <c r="G117" s="18" t="n"/>
      <c r="H117" s="16">
        <f>IF(ISNUMBER(F117),F117-N(G117),"")</f>
        <v/>
      </c>
      <c r="I117" s="15">
        <f>IF(AND(ISNUMBER(D117),ISNUMBER(H117)),(D117-H117)/100*10000,"")</f>
        <v/>
      </c>
      <c r="J117" s="18" t="n">
        <v>0.1</v>
      </c>
      <c r="K117" s="15">
        <f>IF(ISNUMBER(I117),I117+N(J117)/100*10000,"")</f>
        <v/>
      </c>
      <c r="L117" s="19" t="n">
        <v>0.8070000000000001</v>
      </c>
      <c r="M117" s="4" t="inlineStr"/>
    </row>
    <row r="118">
      <c r="A118" s="4" t="inlineStr">
        <is>
          <t>SOL → BSC</t>
        </is>
      </c>
      <c r="B118" s="4" t="n">
        <v>2</v>
      </c>
      <c r="C118" s="4" t="inlineStr">
        <is>
          <t>Relay</t>
        </is>
      </c>
      <c r="D118" s="18" t="n">
        <v>99.594931</v>
      </c>
      <c r="E118" s="4" t="inlineStr"/>
      <c r="F118" s="18" t="n">
        <v>99.64806</v>
      </c>
      <c r="G118" s="18" t="n"/>
      <c r="H118" s="16">
        <f>IF(ISNUMBER(F118),F118-N(G118),"")</f>
        <v/>
      </c>
      <c r="I118" s="15">
        <f>IF(AND(ISNUMBER(D118),ISNUMBER(H118)),(D118-H118)/100*10000,"")</f>
        <v/>
      </c>
      <c r="J118" s="18" t="n">
        <v>0.05</v>
      </c>
      <c r="K118" s="15">
        <f>IF(ISNUMBER(I118),I118+N(J118)/100*10000,"")</f>
        <v/>
      </c>
      <c r="L118" s="19" t="n">
        <v>0.778</v>
      </c>
      <c r="M118" s="4" t="inlineStr"/>
    </row>
    <row r="119">
      <c r="A119" s="4" t="inlineStr">
        <is>
          <t>SOL → BSC</t>
        </is>
      </c>
      <c r="B119" s="4" t="n">
        <v>3</v>
      </c>
      <c r="C119" s="4" t="inlineStr">
        <is>
          <t>Relay</t>
        </is>
      </c>
      <c r="D119" s="18" t="n">
        <v>99.57404699999999</v>
      </c>
      <c r="E119" s="4" t="inlineStr"/>
      <c r="F119" s="18" t="n">
        <v>99.632586</v>
      </c>
      <c r="G119" s="18" t="n"/>
      <c r="H119" s="16">
        <f>IF(ISNUMBER(F119),F119-N(G119),"")</f>
        <v/>
      </c>
      <c r="I119" s="15">
        <f>IF(AND(ISNUMBER(D119),ISNUMBER(H119)),(D119-H119)/100*10000,"")</f>
        <v/>
      </c>
      <c r="J119" s="18" t="n">
        <v>0.05</v>
      </c>
      <c r="K119" s="15">
        <f>IF(ISNUMBER(I119),I119+N(J119)/100*10000,"")</f>
        <v/>
      </c>
      <c r="L119" s="19" t="n">
        <v>0.5590000000000001</v>
      </c>
      <c r="M119" s="4" t="inlineStr"/>
    </row>
    <row r="120">
      <c r="A120" s="4" t="inlineStr">
        <is>
          <t>SOL → BSC</t>
        </is>
      </c>
      <c r="B120" s="4" t="n">
        <v>3</v>
      </c>
      <c r="C120" s="4" t="inlineStr">
        <is>
          <t>Relay</t>
        </is>
      </c>
      <c r="D120" s="18" t="n">
        <v>99.59385</v>
      </c>
      <c r="E120" s="4" t="inlineStr"/>
      <c r="F120" s="18" t="n">
        <v>99.644547</v>
      </c>
      <c r="G120" s="18" t="n"/>
      <c r="H120" s="16">
        <f>IF(ISNUMBER(F120),F120-N(G120),"")</f>
        <v/>
      </c>
      <c r="I120" s="15">
        <f>IF(AND(ISNUMBER(D120),ISNUMBER(H120)),(D120-H120)/100*10000,"")</f>
        <v/>
      </c>
      <c r="J120" s="18" t="n">
        <v>0.1</v>
      </c>
      <c r="K120" s="15">
        <f>IF(ISNUMBER(I120),I120+N(J120)/100*10000,"")</f>
        <v/>
      </c>
      <c r="L120" s="19" t="n">
        <v>1.068</v>
      </c>
      <c r="M120" s="4" t="inlineStr"/>
    </row>
    <row r="121">
      <c r="A121" s="4" t="inlineStr">
        <is>
          <t>SOL → BSC</t>
        </is>
      </c>
      <c r="B121" s="4" t="n">
        <v>1</v>
      </c>
      <c r="C121" s="4" t="inlineStr">
        <is>
          <t>deBridge</t>
        </is>
      </c>
      <c r="D121" s="18" t="n">
        <v>98.64429199999999</v>
      </c>
      <c r="E121" s="4" t="inlineStr"/>
      <c r="F121" s="18" t="n">
        <v>99.920016</v>
      </c>
      <c r="G121" s="18" t="n">
        <v>1.2767</v>
      </c>
      <c r="H121" s="16">
        <f>IF(ISNUMBER(F121),F121-N(G121),"")</f>
        <v/>
      </c>
      <c r="I121" s="15">
        <f>IF(AND(ISNUMBER(D121),ISNUMBER(H121)),(D121-H121)/100*10000,"")</f>
        <v/>
      </c>
      <c r="J121" s="18" t="n">
        <v>0.05</v>
      </c>
      <c r="K121" s="15">
        <f>IF(ISNUMBER(I121),I121+N(J121)/100*10000,"")</f>
        <v/>
      </c>
      <c r="L121" s="19" t="n">
        <v>0.554</v>
      </c>
      <c r="M121" s="4" t="inlineStr">
        <is>
          <t>+1.2767 USDC charged on top of 100 input (subtracted)</t>
        </is>
      </c>
    </row>
    <row r="122">
      <c r="A122" s="4" t="inlineStr">
        <is>
          <t>SOL → BSC</t>
        </is>
      </c>
      <c r="B122" s="4" t="n">
        <v>1</v>
      </c>
      <c r="C122" s="4" t="inlineStr">
        <is>
          <t>deBridge</t>
        </is>
      </c>
      <c r="D122" s="18" t="n">
        <v>98.647248</v>
      </c>
      <c r="E122" s="4" t="inlineStr"/>
      <c r="F122" s="18" t="n">
        <v>99.920016</v>
      </c>
      <c r="G122" s="18" t="n">
        <v>1.2738</v>
      </c>
      <c r="H122" s="16">
        <f>IF(ISNUMBER(F122),F122-N(G122),"")</f>
        <v/>
      </c>
      <c r="I122" s="15">
        <f>IF(AND(ISNUMBER(D122),ISNUMBER(H122)),(D122-H122)/100*10000,"")</f>
        <v/>
      </c>
      <c r="J122" s="18" t="n">
        <v>0.05</v>
      </c>
      <c r="K122" s="15">
        <f>IF(ISNUMBER(I122),I122+N(J122)/100*10000,"")</f>
        <v/>
      </c>
      <c r="L122" s="19" t="n">
        <v>0.633</v>
      </c>
      <c r="M122" s="4" t="inlineStr">
        <is>
          <t>+1.2738 USDC charged on top of 100 input (subtracted)</t>
        </is>
      </c>
    </row>
    <row r="123">
      <c r="A123" s="4" t="inlineStr">
        <is>
          <t>SOL → BSC</t>
        </is>
      </c>
      <c r="B123" s="4" t="n">
        <v>2</v>
      </c>
      <c r="C123" s="4" t="inlineStr">
        <is>
          <t>deBridge</t>
        </is>
      </c>
      <c r="D123" s="18" t="n">
        <v>98.648703</v>
      </c>
      <c r="E123" s="4" t="inlineStr"/>
      <c r="F123" s="18" t="n">
        <v>99.92001500000001</v>
      </c>
      <c r="G123" s="18" t="n">
        <v>1.2723</v>
      </c>
      <c r="H123" s="16">
        <f>IF(ISNUMBER(F123),F123-N(G123),"")</f>
        <v/>
      </c>
      <c r="I123" s="15">
        <f>IF(AND(ISNUMBER(D123),ISNUMBER(H123)),(D123-H123)/100*10000,"")</f>
        <v/>
      </c>
      <c r="J123" s="18" t="n">
        <v>0.1</v>
      </c>
      <c r="K123" s="15">
        <f>IF(ISNUMBER(I123),I123+N(J123)/100*10000,"")</f>
        <v/>
      </c>
      <c r="L123" s="19" t="n">
        <v>0.555</v>
      </c>
      <c r="M123" s="4" t="inlineStr">
        <is>
          <t>+1.2723 USDC charged on top of 100 input (subtracted)</t>
        </is>
      </c>
    </row>
    <row r="124">
      <c r="A124" s="4" t="inlineStr">
        <is>
          <t>SOL → BSC</t>
        </is>
      </c>
      <c r="B124" s="4" t="n">
        <v>2</v>
      </c>
      <c r="C124" s="4" t="inlineStr">
        <is>
          <t>deBridge</t>
        </is>
      </c>
      <c r="D124" s="18" t="n">
        <v>98.64559300000001</v>
      </c>
      <c r="E124" s="4" t="inlineStr"/>
      <c r="F124" s="18" t="n">
        <v>99.92001500000001</v>
      </c>
      <c r="G124" s="18" t="n">
        <v>1.2754</v>
      </c>
      <c r="H124" s="16">
        <f>IF(ISNUMBER(F124),F124-N(G124),"")</f>
        <v/>
      </c>
      <c r="I124" s="15">
        <f>IF(AND(ISNUMBER(D124),ISNUMBER(H124)),(D124-H124)/100*10000,"")</f>
        <v/>
      </c>
      <c r="J124" s="18" t="n">
        <v>0.05</v>
      </c>
      <c r="K124" s="15">
        <f>IF(ISNUMBER(I124),I124+N(J124)/100*10000,"")</f>
        <v/>
      </c>
      <c r="L124" s="19" t="n">
        <v>0.785</v>
      </c>
      <c r="M124" s="4" t="inlineStr">
        <is>
          <t>+1.2754 USDC charged on top of 100 input (subtracted)</t>
        </is>
      </c>
    </row>
    <row r="125">
      <c r="A125" s="4" t="inlineStr">
        <is>
          <t>SOL → BSC</t>
        </is>
      </c>
      <c r="B125" s="4" t="n">
        <v>3</v>
      </c>
      <c r="C125" s="4" t="inlineStr">
        <is>
          <t>deBridge</t>
        </is>
      </c>
      <c r="D125" s="18" t="n">
        <v>98.64704500000001</v>
      </c>
      <c r="E125" s="4" t="inlineStr"/>
      <c r="F125" s="18" t="n">
        <v>99.880031</v>
      </c>
      <c r="G125" s="18" t="n">
        <v>1.7766</v>
      </c>
      <c r="H125" s="16">
        <f>IF(ISNUMBER(F125),F125-N(G125),"")</f>
        <v/>
      </c>
      <c r="I125" s="15">
        <f>IF(AND(ISNUMBER(D125),ISNUMBER(H125)),(D125-H125)/100*10000,"")</f>
        <v/>
      </c>
      <c r="J125" s="18" t="n">
        <v>0.05</v>
      </c>
      <c r="K125" s="15">
        <f>IF(ISNUMBER(I125),I125+N(J125)/100*10000,"")</f>
        <v/>
      </c>
      <c r="L125" s="19" t="n">
        <v>1.571</v>
      </c>
      <c r="M125" s="4" t="inlineStr">
        <is>
          <t>+1.7766 USDC charged on top of 100 input (subtracted)</t>
        </is>
      </c>
    </row>
    <row r="126">
      <c r="A126" s="4" t="inlineStr">
        <is>
          <t>SOL → BSC</t>
        </is>
      </c>
      <c r="B126" s="4" t="n">
        <v>3</v>
      </c>
      <c r="C126" s="4" t="inlineStr">
        <is>
          <t>deBridge</t>
        </is>
      </c>
      <c r="D126" s="18" t="n">
        <v>98.646816</v>
      </c>
      <c r="E126" s="4" t="inlineStr"/>
      <c r="F126" s="18" t="n">
        <v>99.880032</v>
      </c>
      <c r="G126" s="18" t="n">
        <v>1.7779</v>
      </c>
      <c r="H126" s="16">
        <f>IF(ISNUMBER(F126),F126-N(G126),"")</f>
        <v/>
      </c>
      <c r="I126" s="15">
        <f>IF(AND(ISNUMBER(D126),ISNUMBER(H126)),(D126-H126)/100*10000,"")</f>
        <v/>
      </c>
      <c r="J126" s="18" t="n">
        <v>0.1</v>
      </c>
      <c r="K126" s="15">
        <f>IF(ISNUMBER(I126),I126+N(J126)/100*10000,"")</f>
        <v/>
      </c>
      <c r="L126" s="19" t="n">
        <v>1.069</v>
      </c>
      <c r="M126" s="4" t="inlineStr">
        <is>
          <t>+1.7779 USDC charged on top of 100 input (subtracted)</t>
        </is>
      </c>
    </row>
    <row r="127">
      <c r="A127" s="4" t="inlineStr">
        <is>
          <t>SOL → BSC</t>
        </is>
      </c>
      <c r="B127" s="4" t="n">
        <v>1</v>
      </c>
      <c r="C127" s="4" t="inlineStr">
        <is>
          <t>LI.FI (Jumper)</t>
        </is>
      </c>
      <c r="D127" s="18" t="n">
        <v>99.228004</v>
      </c>
      <c r="E127" s="4" t="inlineStr"/>
      <c r="F127" s="18" t="n">
        <v>99.930539</v>
      </c>
      <c r="G127" s="18" t="n"/>
      <c r="H127" s="16">
        <f>IF(ISNUMBER(F127),F127-N(G127),"")</f>
        <v/>
      </c>
      <c r="I127" s="15">
        <f>IF(AND(ISNUMBER(D127),ISNUMBER(H127)),(D127-H127)/100*10000,"")</f>
        <v/>
      </c>
      <c r="J127" s="18" t="n">
        <v>0.05</v>
      </c>
      <c r="K127" s="15">
        <f>IF(ISNUMBER(I127),I127+N(J127)/100*10000,"")</f>
        <v/>
      </c>
      <c r="L127" s="19" t="n">
        <v>0.72</v>
      </c>
      <c r="M127" s="4" t="inlineStr">
        <is>
          <t>Jumper Best Return via Mayan (Swift); max route 99.930539</t>
        </is>
      </c>
    </row>
    <row r="128">
      <c r="A128" s="4" t="inlineStr">
        <is>
          <t>SOL → BSC</t>
        </is>
      </c>
      <c r="B128" s="4" t="n">
        <v>1</v>
      </c>
      <c r="C128" s="4" t="inlineStr">
        <is>
          <t>LI.FI (Jumper)</t>
        </is>
      </c>
      <c r="D128" s="18" t="n">
        <v>99.228016</v>
      </c>
      <c r="E128" s="4" t="inlineStr"/>
      <c r="F128" s="18" t="n">
        <v>99.930623</v>
      </c>
      <c r="G128" s="18" t="n"/>
      <c r="H128" s="16">
        <f>IF(ISNUMBER(F128),F128-N(G128),"")</f>
        <v/>
      </c>
      <c r="I128" s="15">
        <f>IF(AND(ISNUMBER(D128),ISNUMBER(H128)),(D128-H128)/100*10000,"")</f>
        <v/>
      </c>
      <c r="J128" s="18" t="n">
        <v>0.05</v>
      </c>
      <c r="K128" s="15">
        <f>IF(ISNUMBER(I128),I128+N(J128)/100*10000,"")</f>
        <v/>
      </c>
      <c r="L128" s="19" t="n">
        <v>1.052</v>
      </c>
      <c r="M128" s="4" t="inlineStr">
        <is>
          <t>Jumper Best Return via Mayan (Swift); max route 99.930623</t>
        </is>
      </c>
    </row>
    <row r="129">
      <c r="A129" s="4" t="inlineStr">
        <is>
          <t>SOL → BSC</t>
        </is>
      </c>
      <c r="B129" s="4" t="n">
        <v>2</v>
      </c>
      <c r="C129" s="4" t="inlineStr">
        <is>
          <t>LI.FI (Jumper)</t>
        </is>
      </c>
      <c r="D129" s="18" t="n">
        <v>99.178404</v>
      </c>
      <c r="E129" s="4" t="inlineStr"/>
      <c r="F129" s="18" t="n">
        <v>99.930539</v>
      </c>
      <c r="G129" s="18" t="n"/>
      <c r="H129" s="16">
        <f>IF(ISNUMBER(F129),F129-N(G129),"")</f>
        <v/>
      </c>
      <c r="I129" s="15">
        <f>IF(AND(ISNUMBER(D129),ISNUMBER(H129)),(D129-H129)/100*10000,"")</f>
        <v/>
      </c>
      <c r="J129" s="18" t="n">
        <v>0.1</v>
      </c>
      <c r="K129" s="15">
        <f>IF(ISNUMBER(I129),I129+N(J129)/100*10000,"")</f>
        <v/>
      </c>
      <c r="L129" s="19" t="n">
        <v>1.657</v>
      </c>
      <c r="M129" s="4" t="inlineStr">
        <is>
          <t>Jumper Best Return via Mayan (Swift); max route 99.930539</t>
        </is>
      </c>
    </row>
    <row r="130">
      <c r="A130" s="4" t="inlineStr">
        <is>
          <t>SOL → BSC</t>
        </is>
      </c>
      <c r="B130" s="4" t="n">
        <v>2</v>
      </c>
      <c r="C130" s="4" t="inlineStr">
        <is>
          <t>LI.FI (Jumper)</t>
        </is>
      </c>
      <c r="D130" s="18" t="n">
        <v>99.228026</v>
      </c>
      <c r="E130" s="4" t="inlineStr"/>
      <c r="F130" s="18" t="n">
        <v>99.930665</v>
      </c>
      <c r="G130" s="18" t="n"/>
      <c r="H130" s="16">
        <f>IF(ISNUMBER(F130),F130-N(G130),"")</f>
        <v/>
      </c>
      <c r="I130" s="15">
        <f>IF(AND(ISNUMBER(D130),ISNUMBER(H130)),(D130-H130)/100*10000,"")</f>
        <v/>
      </c>
      <c r="J130" s="18" t="n">
        <v>0.05</v>
      </c>
      <c r="K130" s="15">
        <f>IF(ISNUMBER(I130),I130+N(J130)/100*10000,"")</f>
        <v/>
      </c>
      <c r="L130" s="19" t="n">
        <v>0.8159999999999999</v>
      </c>
      <c r="M130" s="4" t="inlineStr">
        <is>
          <t>Jumper Best Return via Mayan (Swift); max route 99.930665</t>
        </is>
      </c>
    </row>
    <row r="131">
      <c r="A131" s="4" t="inlineStr">
        <is>
          <t>SOL → BSC</t>
        </is>
      </c>
      <c r="B131" s="4" t="n">
        <v>3</v>
      </c>
      <c r="C131" s="4" t="inlineStr">
        <is>
          <t>LI.FI (Jumper)</t>
        </is>
      </c>
      <c r="D131" s="18" t="n">
        <v>99.178408</v>
      </c>
      <c r="E131" s="4" t="inlineStr"/>
      <c r="F131" s="18" t="n">
        <v>99.930671</v>
      </c>
      <c r="G131" s="18" t="n"/>
      <c r="H131" s="16">
        <f>IF(ISNUMBER(F131),F131-N(G131),"")</f>
        <v/>
      </c>
      <c r="I131" s="15">
        <f>IF(AND(ISNUMBER(D131),ISNUMBER(H131)),(D131-H131)/100*10000,"")</f>
        <v/>
      </c>
      <c r="J131" s="18" t="n">
        <v>0.05</v>
      </c>
      <c r="K131" s="15">
        <f>IF(ISNUMBER(I131),I131+N(J131)/100*10000,"")</f>
        <v/>
      </c>
      <c r="L131" s="19" t="n">
        <v>1.59</v>
      </c>
      <c r="M131" s="4" t="inlineStr">
        <is>
          <t>Jumper Best Return via Mayan (Swift); max route 99.930671</t>
        </is>
      </c>
    </row>
    <row r="132">
      <c r="A132" s="4" t="inlineStr">
        <is>
          <t>SOL → BSC</t>
        </is>
      </c>
      <c r="B132" s="4" t="n">
        <v>3</v>
      </c>
      <c r="C132" s="4" t="inlineStr">
        <is>
          <t>LI.FI (Jumper)</t>
        </is>
      </c>
      <c r="D132" s="18" t="n">
        <v>99.17842</v>
      </c>
      <c r="E132" s="4" t="inlineStr"/>
      <c r="F132" s="18" t="n">
        <v>99.930665</v>
      </c>
      <c r="G132" s="18" t="n"/>
      <c r="H132" s="16">
        <f>IF(ISNUMBER(F132),F132-N(G132),"")</f>
        <v/>
      </c>
      <c r="I132" s="15">
        <f>IF(AND(ISNUMBER(D132),ISNUMBER(H132)),(D132-H132)/100*10000,"")</f>
        <v/>
      </c>
      <c r="J132" s="18" t="n">
        <v>0.1</v>
      </c>
      <c r="K132" s="15">
        <f>IF(ISNUMBER(I132),I132+N(J132)/100*10000,"")</f>
        <v/>
      </c>
      <c r="L132" s="19" t="n">
        <v>0.629</v>
      </c>
      <c r="M132" s="4" t="inlineStr">
        <is>
          <t>Jumper Best Return via Mayan (Swift); max route 99.930665</t>
        </is>
      </c>
    </row>
    <row r="133">
      <c r="A133" s="4" t="inlineStr">
        <is>
          <t>SOL → BSC</t>
        </is>
      </c>
      <c r="B133" s="4" t="n">
        <v>1</v>
      </c>
      <c r="C133" s="4" t="inlineStr">
        <is>
          <t>Across</t>
        </is>
      </c>
      <c r="D133" s="18" t="inlineStr">
        <is>
          <t>not listed</t>
        </is>
      </c>
      <c r="E133" s="4" t="inlineStr"/>
      <c r="F133" s="18" t="n">
        <v>99.982012</v>
      </c>
      <c r="G133" s="18" t="n"/>
      <c r="H133" s="16">
        <f>IF(ISNUMBER(F133),F133-N(G133),"")</f>
        <v/>
      </c>
      <c r="I133" s="15">
        <f>IF(AND(ISNUMBER(D133),ISNUMBER(H133)),(D133-H133)/100*10000,"")</f>
        <v/>
      </c>
      <c r="J133" s="18" t="n">
        <v>0.05</v>
      </c>
      <c r="K133" s="15">
        <f>IF(ISNUMBER(I133),I133+N(J133)/100*10000,"")</f>
        <v/>
      </c>
      <c r="L133" s="19" t="n">
        <v>0.311</v>
      </c>
      <c r="M133" s="4" t="inlineStr"/>
    </row>
    <row r="134">
      <c r="A134" s="4" t="inlineStr">
        <is>
          <t>SOL → BSC</t>
        </is>
      </c>
      <c r="B134" s="4" t="n">
        <v>1</v>
      </c>
      <c r="C134" s="4" t="inlineStr">
        <is>
          <t>Across</t>
        </is>
      </c>
      <c r="D134" s="18" t="inlineStr">
        <is>
          <t>not listed</t>
        </is>
      </c>
      <c r="E134" s="4" t="inlineStr"/>
      <c r="F134" s="18" t="n">
        <v>99.982074</v>
      </c>
      <c r="G134" s="18" t="n"/>
      <c r="H134" s="16">
        <f>IF(ISNUMBER(F134),F134-N(G134),"")</f>
        <v/>
      </c>
      <c r="I134" s="15">
        <f>IF(AND(ISNUMBER(D134),ISNUMBER(H134)),(D134-H134)/100*10000,"")</f>
        <v/>
      </c>
      <c r="J134" s="18" t="n">
        <v>0.05</v>
      </c>
      <c r="K134" s="15">
        <f>IF(ISNUMBER(I134),I134+N(J134)/100*10000,"")</f>
        <v/>
      </c>
      <c r="L134" s="19" t="n">
        <v>0.039</v>
      </c>
      <c r="M134" s="4" t="inlineStr"/>
    </row>
    <row r="135">
      <c r="A135" s="4" t="inlineStr">
        <is>
          <t>SOL → BSC</t>
        </is>
      </c>
      <c r="B135" s="4" t="n">
        <v>2</v>
      </c>
      <c r="C135" s="4" t="inlineStr">
        <is>
          <t>Across</t>
        </is>
      </c>
      <c r="D135" s="18" t="inlineStr">
        <is>
          <t>not listed</t>
        </is>
      </c>
      <c r="E135" s="4" t="inlineStr"/>
      <c r="F135" s="18" t="n">
        <v>99.982057</v>
      </c>
      <c r="G135" s="18" t="n"/>
      <c r="H135" s="16">
        <f>IF(ISNUMBER(F135),F135-N(G135),"")</f>
        <v/>
      </c>
      <c r="I135" s="15">
        <f>IF(AND(ISNUMBER(D135),ISNUMBER(H135)),(D135-H135)/100*10000,"")</f>
        <v/>
      </c>
      <c r="J135" s="18" t="n">
        <v>0.1</v>
      </c>
      <c r="K135" s="15">
        <f>IF(ISNUMBER(I135),I135+N(J135)/100*10000,"")</f>
        <v/>
      </c>
      <c r="L135" s="19" t="n">
        <v>0.305</v>
      </c>
      <c r="M135" s="4" t="inlineStr"/>
    </row>
    <row r="136">
      <c r="A136" s="4" t="inlineStr">
        <is>
          <t>SOL → BSC</t>
        </is>
      </c>
      <c r="B136" s="4" t="n">
        <v>2</v>
      </c>
      <c r="C136" s="4" t="inlineStr">
        <is>
          <t>Across</t>
        </is>
      </c>
      <c r="D136" s="18" t="inlineStr">
        <is>
          <t>not listed</t>
        </is>
      </c>
      <c r="E136" s="4" t="inlineStr"/>
      <c r="F136" s="18" t="n"/>
      <c r="G136" s="18" t="n"/>
      <c r="H136" s="16">
        <f>IF(ISNUMBER(F136),F136-N(G136),"")</f>
        <v/>
      </c>
      <c r="I136" s="15">
        <f>IF(AND(ISNUMBER(D136),ISNUMBER(H136)),(D136-H136)/100*10000,"")</f>
        <v/>
      </c>
      <c r="J136" s="18" t="n">
        <v>0.05</v>
      </c>
      <c r="K136" s="15">
        <f>IF(ISNUMBER(I136),I136+N(J136)/100*10000,"")</f>
        <v/>
      </c>
      <c r="L136" s="19" t="n"/>
      <c r="M136" s="4" t="inlineStr"/>
    </row>
    <row r="137">
      <c r="A137" s="4" t="inlineStr">
        <is>
          <t>SOL → BSC</t>
        </is>
      </c>
      <c r="B137" s="4" t="n">
        <v>3</v>
      </c>
      <c r="C137" s="4" t="inlineStr">
        <is>
          <t>Across</t>
        </is>
      </c>
      <c r="D137" s="18" t="inlineStr">
        <is>
          <t>not listed</t>
        </is>
      </c>
      <c r="E137" s="4" t="inlineStr"/>
      <c r="F137" s="18" t="n">
        <v>99.98213199999999</v>
      </c>
      <c r="G137" s="18" t="n"/>
      <c r="H137" s="16">
        <f>IF(ISNUMBER(F137),F137-N(G137),"")</f>
        <v/>
      </c>
      <c r="I137" s="15">
        <f>IF(AND(ISNUMBER(D137),ISNUMBER(H137)),(D137-H137)/100*10000,"")</f>
        <v/>
      </c>
      <c r="J137" s="18" t="n">
        <v>0.05</v>
      </c>
      <c r="K137" s="15">
        <f>IF(ISNUMBER(I137),I137+N(J137)/100*10000,"")</f>
        <v/>
      </c>
      <c r="L137" s="19" t="n">
        <v>0.06900000000000001</v>
      </c>
      <c r="M137" s="4" t="inlineStr"/>
    </row>
    <row r="138">
      <c r="A138" s="4" t="inlineStr">
        <is>
          <t>SOL → BSC</t>
        </is>
      </c>
      <c r="B138" s="4" t="n">
        <v>3</v>
      </c>
      <c r="C138" s="4" t="inlineStr">
        <is>
          <t>Across</t>
        </is>
      </c>
      <c r="D138" s="18" t="inlineStr">
        <is>
          <t>not listed</t>
        </is>
      </c>
      <c r="E138" s="4" t="inlineStr"/>
      <c r="F138" s="18" t="n">
        <v>99.982061</v>
      </c>
      <c r="G138" s="18" t="n"/>
      <c r="H138" s="16">
        <f>IF(ISNUMBER(F138),F138-N(G138),"")</f>
        <v/>
      </c>
      <c r="I138" s="15">
        <f>IF(AND(ISNUMBER(D138),ISNUMBER(H138)),(D138-H138)/100*10000,"")</f>
        <v/>
      </c>
      <c r="J138" s="18" t="n">
        <v>0.1</v>
      </c>
      <c r="K138" s="15">
        <f>IF(ISNUMBER(I138),I138+N(J138)/100*10000,"")</f>
        <v/>
      </c>
      <c r="L138" s="19" t="n">
        <v>0.325</v>
      </c>
      <c r="M138" s="4" t="inlineStr"/>
    </row>
    <row r="139">
      <c r="A139" s="4" t="inlineStr">
        <is>
          <t>SOL → BSC</t>
        </is>
      </c>
      <c r="B139" s="4" t="n">
        <v>1</v>
      </c>
      <c r="C139" s="4" t="inlineStr">
        <is>
          <t>Mayan</t>
        </is>
      </c>
      <c r="D139" s="18" t="n">
        <v>99.88069400000001</v>
      </c>
      <c r="E139" s="4" t="inlineStr">
        <is>
          <t>yes</t>
        </is>
      </c>
      <c r="F139" s="18" t="n">
        <v>99.93000000000001</v>
      </c>
      <c r="G139" s="18" t="n"/>
      <c r="H139" s="16">
        <f>IF(ISNUMBER(F139),F139-N(G139),"")</f>
        <v/>
      </c>
      <c r="I139" s="15">
        <f>IF(AND(ISNUMBER(D139),ISNUMBER(H139)),(D139-H139)/100*10000,"")</f>
        <v/>
      </c>
      <c r="J139" s="18" t="n">
        <v>0.05</v>
      </c>
      <c r="K139" s="15">
        <f>IF(ISNUMBER(I139),I139+N(J139)/100*10000,"")</f>
        <v/>
      </c>
      <c r="L139" s="19" t="n">
        <v>0.239</v>
      </c>
      <c r="M139" s="4" t="inlineStr">
        <is>
          <t>Swift v2; UI shows 2 dp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Mayan</t>
        </is>
      </c>
      <c r="D140" s="18" t="n">
        <v>99.880695</v>
      </c>
      <c r="E140" s="4" t="inlineStr">
        <is>
          <t>yes</t>
        </is>
      </c>
      <c r="F140" s="18" t="n">
        <v>99.93000000000001</v>
      </c>
      <c r="G140" s="18" t="n"/>
      <c r="H140" s="16">
        <f>IF(ISNUMBER(F140),F140-N(G140),"")</f>
        <v/>
      </c>
      <c r="I140" s="15">
        <f>IF(AND(ISNUMBER(D140),ISNUMBER(H140)),(D140-H140)/100*10000,"")</f>
        <v/>
      </c>
      <c r="J140" s="18" t="n">
        <v>0.05</v>
      </c>
      <c r="K140" s="15">
        <f>IF(ISNUMBER(I140),I140+N(J140)/100*10000,"")</f>
        <v/>
      </c>
      <c r="L140" s="19" t="n">
        <v>0.244</v>
      </c>
      <c r="M140" s="4" t="inlineStr">
        <is>
          <t>Swift v2; UI shows 2 dp</t>
        </is>
      </c>
    </row>
    <row r="141">
      <c r="A141" s="4" t="inlineStr">
        <is>
          <t>SOL → BSC</t>
        </is>
      </c>
      <c r="B141" s="4" t="n">
        <v>2</v>
      </c>
      <c r="C141" s="4" t="inlineStr">
        <is>
          <t>Mayan</t>
        </is>
      </c>
      <c r="D141" s="18" t="n">
        <v>99.880725</v>
      </c>
      <c r="E141" s="4" t="inlineStr">
        <is>
          <t>yes</t>
        </is>
      </c>
      <c r="F141" s="18" t="n">
        <v>99.93000000000001</v>
      </c>
      <c r="G141" s="18" t="n"/>
      <c r="H141" s="16">
        <f>IF(ISNUMBER(F141),F141-N(G141),"")</f>
        <v/>
      </c>
      <c r="I141" s="15">
        <f>IF(AND(ISNUMBER(D141),ISNUMBER(H141)),(D141-H141)/100*10000,"")</f>
        <v/>
      </c>
      <c r="J141" s="18" t="n">
        <v>0.1</v>
      </c>
      <c r="K141" s="15">
        <f>IF(ISNUMBER(I141),I141+N(J141)/100*10000,"")</f>
        <v/>
      </c>
      <c r="L141" s="19" t="n">
        <v>0.25</v>
      </c>
      <c r="M141" s="4" t="inlineStr">
        <is>
          <t>Swift v2; UI shows 2 dp</t>
        </is>
      </c>
    </row>
    <row r="142">
      <c r="A142" s="4" t="inlineStr">
        <is>
          <t>SOL → BSC</t>
        </is>
      </c>
      <c r="B142" s="4" t="n">
        <v>2</v>
      </c>
      <c r="C142" s="4" t="inlineStr">
        <is>
          <t>Mayan</t>
        </is>
      </c>
      <c r="D142" s="18" t="n">
        <v>99.8807</v>
      </c>
      <c r="E142" s="4" t="inlineStr">
        <is>
          <t>yes</t>
        </is>
      </c>
      <c r="F142" s="18" t="n">
        <v>99.93000000000001</v>
      </c>
      <c r="G142" s="18" t="n"/>
      <c r="H142" s="16">
        <f>IF(ISNUMBER(F142),F142-N(G142),"")</f>
        <v/>
      </c>
      <c r="I142" s="15">
        <f>IF(AND(ISNUMBER(D142),ISNUMBER(H142)),(D142-H142)/100*10000,"")</f>
        <v/>
      </c>
      <c r="J142" s="18" t="n">
        <v>0.05</v>
      </c>
      <c r="K142" s="15">
        <f>IF(ISNUMBER(I142),I142+N(J142)/100*10000,"")</f>
        <v/>
      </c>
      <c r="L142" s="19" t="n">
        <v>0.374</v>
      </c>
      <c r="M142" s="4" t="inlineStr">
        <is>
          <t>Swift v2; UI shows 2 dp</t>
        </is>
      </c>
    </row>
    <row r="143">
      <c r="A143" s="4" t="inlineStr">
        <is>
          <t>SOL → BSC</t>
        </is>
      </c>
      <c r="B143" s="4" t="n">
        <v>3</v>
      </c>
      <c r="C143" s="4" t="inlineStr">
        <is>
          <t>Mayan</t>
        </is>
      </c>
      <c r="D143" s="18" t="n">
        <v>99.880708</v>
      </c>
      <c r="E143" s="4" t="inlineStr">
        <is>
          <t>yes</t>
        </is>
      </c>
      <c r="F143" s="18" t="n">
        <v>99.93000000000001</v>
      </c>
      <c r="G143" s="18" t="n"/>
      <c r="H143" s="16">
        <f>IF(ISNUMBER(F143),F143-N(G143),"")</f>
        <v/>
      </c>
      <c r="I143" s="15">
        <f>IF(AND(ISNUMBER(D143),ISNUMBER(H143)),(D143-H143)/100*10000,"")</f>
        <v/>
      </c>
      <c r="J143" s="18" t="n">
        <v>0.05</v>
      </c>
      <c r="K143" s="15">
        <f>IF(ISNUMBER(I143),I143+N(J143)/100*10000,"")</f>
        <v/>
      </c>
      <c r="L143" s="19" t="n">
        <v>0.25</v>
      </c>
      <c r="M143" s="4" t="inlineStr">
        <is>
          <t>Swift v2; UI shows 2 dp</t>
        </is>
      </c>
    </row>
    <row r="144">
      <c r="A144" s="4" t="inlineStr">
        <is>
          <t>SOL → BSC</t>
        </is>
      </c>
      <c r="B144" s="4" t="n">
        <v>3</v>
      </c>
      <c r="C144" s="4" t="inlineStr">
        <is>
          <t>Mayan</t>
        </is>
      </c>
      <c r="D144" s="18" t="n">
        <v>99.880715</v>
      </c>
      <c r="E144" s="4" t="inlineStr">
        <is>
          <t>yes</t>
        </is>
      </c>
      <c r="F144" s="18" t="n">
        <v>99.93000000000001</v>
      </c>
      <c r="G144" s="18" t="n"/>
      <c r="H144" s="16">
        <f>IF(ISNUMBER(F144),F144-N(G144),"")</f>
        <v/>
      </c>
      <c r="I144" s="15">
        <f>IF(AND(ISNUMBER(D144),ISNUMBER(H144)),(D144-H144)/100*10000,"")</f>
        <v/>
      </c>
      <c r="J144" s="18" t="n">
        <v>0.1</v>
      </c>
      <c r="K144" s="15">
        <f>IF(ISNUMBER(I144),I144+N(J144)/100*10000,"")</f>
        <v/>
      </c>
      <c r="L144" s="19" t="n">
        <v>0.207</v>
      </c>
      <c r="M144" s="4" t="inlineStr">
        <is>
          <t>Swift v2; UI shows 2 dp</t>
        </is>
      </c>
    </row>
    <row r="145">
      <c r="A145" s="4" t="inlineStr">
        <is>
          <t>SOL → BSC</t>
        </is>
      </c>
      <c r="B145" s="4" t="n">
        <v>1</v>
      </c>
      <c r="C145" s="4" t="inlineStr">
        <is>
          <t>Husher</t>
        </is>
      </c>
      <c r="D145" s="18" t="n">
        <v>99.7501</v>
      </c>
      <c r="E145" s="4" t="inlineStr"/>
      <c r="F145" s="18" t="n">
        <v>99.65000000000001</v>
      </c>
      <c r="G145" s="18" t="n"/>
      <c r="H145" s="16">
        <f>IF(ISNUMBER(F145),F145-N(G145),"")</f>
        <v/>
      </c>
      <c r="I145" s="15">
        <f>IF(AND(ISNUMBER(D145),ISNUMBER(H145)),(D145-H145)/100*10000,"")</f>
        <v/>
      </c>
      <c r="J145" s="18" t="n">
        <v>0.05</v>
      </c>
      <c r="K145" s="15">
        <f>IF(ISNUMBER(I145),I145+N(J145)/100*10000,"")</f>
        <v/>
      </c>
      <c r="L145" s="19" t="n">
        <v>0.168</v>
      </c>
      <c r="M145" s="4" t="inlineStr"/>
    </row>
    <row r="146">
      <c r="A146" s="4" t="inlineStr">
        <is>
          <t>SOL → BSC</t>
        </is>
      </c>
      <c r="B146" s="4" t="n">
        <v>2</v>
      </c>
      <c r="C146" s="4" t="inlineStr">
        <is>
          <t>Husher</t>
        </is>
      </c>
      <c r="D146" s="18" t="n">
        <v>99.7501</v>
      </c>
      <c r="E146" s="4" t="inlineStr"/>
      <c r="F146" s="18" t="n">
        <v>99.65000000000001</v>
      </c>
      <c r="G146" s="18" t="n"/>
      <c r="H146" s="16">
        <f>IF(ISNUMBER(F146),F146-N(G146),"")</f>
        <v/>
      </c>
      <c r="I146" s="15">
        <f>IF(AND(ISNUMBER(D146),ISNUMBER(H146)),(D146-H146)/100*10000,"")</f>
        <v/>
      </c>
      <c r="J146" s="18" t="n">
        <v>0.05</v>
      </c>
      <c r="K146" s="15">
        <f>IF(ISNUMBER(I146),I146+N(J146)/100*10000,"")</f>
        <v/>
      </c>
      <c r="L146" s="19" t="n">
        <v>0.506</v>
      </c>
      <c r="M146" s="4" t="inlineStr"/>
    </row>
    <row r="147">
      <c r="A147" s="4" t="inlineStr">
        <is>
          <t>SOL → BSC</t>
        </is>
      </c>
      <c r="B147" s="4" t="n">
        <v>3</v>
      </c>
      <c r="C147" s="4" t="inlineStr">
        <is>
          <t>Husher</t>
        </is>
      </c>
      <c r="D147" s="18" t="n">
        <v>99.7501</v>
      </c>
      <c r="E147" s="4" t="inlineStr"/>
      <c r="F147" s="18" t="n">
        <v>99.65000000000001</v>
      </c>
      <c r="G147" s="18" t="n"/>
      <c r="H147" s="16">
        <f>IF(ISNUMBER(F147),F147-N(G147),"")</f>
        <v/>
      </c>
      <c r="I147" s="15">
        <f>IF(AND(ISNUMBER(D147),ISNUMBER(H147)),(D147-H147)/100*10000,"")</f>
        <v/>
      </c>
      <c r="J147" s="18" t="n">
        <v>0.1</v>
      </c>
      <c r="K147" s="15">
        <f>IF(ISNUMBER(I147),I147+N(J147)/100*10000,"")</f>
        <v/>
      </c>
      <c r="L147" s="19" t="n">
        <v>0.315</v>
      </c>
      <c r="M147" s="4" t="inlineStr"/>
    </row>
    <row r="148">
      <c r="A148" s="4" t="inlineStr">
        <is>
          <t>SOL → BSC</t>
        </is>
      </c>
      <c r="B148" s="4" t="n">
        <v>1</v>
      </c>
      <c r="C148" s="4" t="inlineStr">
        <is>
          <t>Layerswap</t>
        </is>
      </c>
      <c r="D148" s="18" t="n">
        <v>99.678432</v>
      </c>
      <c r="E148" s="4" t="inlineStr"/>
      <c r="F148" s="18" t="n">
        <v>99.863073</v>
      </c>
      <c r="G148" s="18" t="n"/>
      <c r="H148" s="16">
        <f>IF(ISNUMBER(F148),F148-N(G148),"")</f>
        <v/>
      </c>
      <c r="I148" s="15">
        <f>IF(AND(ISNUMBER(D148),ISNUMBER(H148)),(D148-H148)/100*10000,"")</f>
        <v/>
      </c>
      <c r="J148" s="18" t="n">
        <v>0.05</v>
      </c>
      <c r="K148" s="15">
        <f>IF(ISNUMBER(I148),I148+N(J148)/100*10000,"")</f>
        <v/>
      </c>
      <c r="L148" s="19" t="n">
        <v>1.333</v>
      </c>
      <c r="M148" s="4" t="inlineStr"/>
    </row>
    <row r="149">
      <c r="A149" s="4" t="inlineStr">
        <is>
          <t>SOL → BSC</t>
        </is>
      </c>
      <c r="B149" s="4" t="n">
        <v>2</v>
      </c>
      <c r="C149" s="4" t="inlineStr">
        <is>
          <t>Layerswap</t>
        </is>
      </c>
      <c r="D149" s="18" t="n">
        <v>99.678438</v>
      </c>
      <c r="E149" s="4" t="inlineStr"/>
      <c r="F149" s="18" t="n">
        <v>99.863078</v>
      </c>
      <c r="G149" s="18" t="n"/>
      <c r="H149" s="16">
        <f>IF(ISNUMBER(F149),F149-N(G149),"")</f>
        <v/>
      </c>
      <c r="I149" s="15">
        <f>IF(AND(ISNUMBER(D149),ISNUMBER(H149)),(D149-H149)/100*10000,"")</f>
        <v/>
      </c>
      <c r="J149" s="18" t="n">
        <v>0.05</v>
      </c>
      <c r="K149" s="15">
        <f>IF(ISNUMBER(I149),I149+N(J149)/100*10000,"")</f>
        <v/>
      </c>
      <c r="L149" s="19" t="n">
        <v>1.19</v>
      </c>
      <c r="M149" s="4" t="inlineStr"/>
    </row>
    <row r="150">
      <c r="A150" s="4" t="inlineStr">
        <is>
          <t>SOL → BSC</t>
        </is>
      </c>
      <c r="B150" s="4" t="n">
        <v>3</v>
      </c>
      <c r="C150" s="4" t="inlineStr">
        <is>
          <t>Layerswap</t>
        </is>
      </c>
      <c r="D150" s="18" t="n">
        <v>99.678443</v>
      </c>
      <c r="E150" s="4" t="inlineStr"/>
      <c r="F150" s="18" t="n">
        <v>99.86308200000001</v>
      </c>
      <c r="G150" s="18" t="n"/>
      <c r="H150" s="16">
        <f>IF(ISNUMBER(F150),F150-N(G150),"")</f>
        <v/>
      </c>
      <c r="I150" s="15">
        <f>IF(AND(ISNUMBER(D150),ISNUMBER(H150)),(D150-H150)/100*10000,"")</f>
        <v/>
      </c>
      <c r="J150" s="18" t="n">
        <v>0.05</v>
      </c>
      <c r="K150" s="15">
        <f>IF(ISNUMBER(I150),I150+N(J150)/100*10000,"")</f>
        <v/>
      </c>
      <c r="L150" s="19" t="n">
        <v>0.972</v>
      </c>
      <c r="M150" s="4" t="inlineStr"/>
    </row>
    <row r="151">
      <c r="A151" s="4" t="inlineStr">
        <is>
          <t>SOL → BSC</t>
        </is>
      </c>
      <c r="B151" s="4" t="n">
        <v>1</v>
      </c>
      <c r="C151" s="4" t="inlineStr">
        <is>
          <t>Meson</t>
        </is>
      </c>
      <c r="D151" s="18" t="n">
        <v>99.85005</v>
      </c>
      <c r="E151" s="4" t="inlineStr">
        <is>
          <t>yes</t>
        </is>
      </c>
      <c r="F151" s="18" t="n">
        <v>99.88</v>
      </c>
      <c r="G151" s="18" t="n"/>
      <c r="H151" s="16">
        <f>IF(ISNUMBER(F151),F151-N(G151),"")</f>
        <v/>
      </c>
      <c r="I151" s="15">
        <f>IF(AND(ISNUMBER(D151),ISNUMBER(H151)),(D151-H151)/100*10000,"")</f>
        <v/>
      </c>
      <c r="J151" s="18" t="n">
        <v>0.05</v>
      </c>
      <c r="K151" s="15">
        <f>IF(ISNUMBER(I151),I151+N(J151)/100*10000,"")</f>
        <v/>
      </c>
      <c r="L151" s="19" t="n">
        <v>0.695</v>
      </c>
      <c r="M151" s="4" t="inlineStr"/>
    </row>
    <row r="152">
      <c r="A152" s="4" t="inlineStr">
        <is>
          <t>SOL → BSC</t>
        </is>
      </c>
      <c r="B152" s="4" t="n">
        <v>2</v>
      </c>
      <c r="C152" s="4" t="inlineStr">
        <is>
          <t>Meson</t>
        </is>
      </c>
      <c r="D152" s="18" t="n">
        <v>99.85005</v>
      </c>
      <c r="E152" s="4" t="inlineStr">
        <is>
          <t>yes</t>
        </is>
      </c>
      <c r="F152" s="18" t="n">
        <v>99.88</v>
      </c>
      <c r="G152" s="18" t="n"/>
      <c r="H152" s="16">
        <f>IF(ISNUMBER(F152),F152-N(G152),"")</f>
        <v/>
      </c>
      <c r="I152" s="15">
        <f>IF(AND(ISNUMBER(D152),ISNUMBER(H152)),(D152-H152)/100*10000,"")</f>
        <v/>
      </c>
      <c r="J152" s="18" t="n">
        <v>0.05</v>
      </c>
      <c r="K152" s="15">
        <f>IF(ISNUMBER(I152),I152+N(J152)/100*10000,"")</f>
        <v/>
      </c>
      <c r="L152" s="19" t="n">
        <v>0.483</v>
      </c>
      <c r="M152" s="4" t="inlineStr"/>
    </row>
    <row r="153">
      <c r="A153" s="4" t="inlineStr">
        <is>
          <t>SOL → BSC</t>
        </is>
      </c>
      <c r="B153" s="4" t="n">
        <v>3</v>
      </c>
      <c r="C153" s="4" t="inlineStr">
        <is>
          <t>Meson</t>
        </is>
      </c>
      <c r="D153" s="18" t="n">
        <v>99.85005</v>
      </c>
      <c r="E153" s="4" t="inlineStr">
        <is>
          <t>yes</t>
        </is>
      </c>
      <c r="F153" s="18" t="n">
        <v>99.88</v>
      </c>
      <c r="G153" s="18" t="n"/>
      <c r="H153" s="16">
        <f>IF(ISNUMBER(F153),F153-N(G153),"")</f>
        <v/>
      </c>
      <c r="I153" s="15">
        <f>IF(AND(ISNUMBER(D153),ISNUMBER(H153)),(D153-H153)/100*10000,"")</f>
        <v/>
      </c>
      <c r="J153" s="18" t="n">
        <v>0.1</v>
      </c>
      <c r="K153" s="15">
        <f>IF(ISNUMBER(I153),I153+N(J153)/100*10000,"")</f>
        <v/>
      </c>
      <c r="L153" s="19" t="n">
        <v>0.703</v>
      </c>
      <c r="M153" s="4" t="inlineStr"/>
    </row>
    <row r="154">
      <c r="A154" s="4" t="inlineStr">
        <is>
          <t>SOL → BSC</t>
        </is>
      </c>
      <c r="B154" s="4" t="n">
        <v>1</v>
      </c>
      <c r="C154" s="4" t="inlineStr">
        <is>
          <t>SimpleSwap</t>
        </is>
      </c>
      <c r="D154" s="18" t="n">
        <v>97.60014</v>
      </c>
      <c r="E154" s="4" t="inlineStr"/>
      <c r="F154" s="18" t="n">
        <v>98.139</v>
      </c>
      <c r="G154" s="18" t="n"/>
      <c r="H154" s="16">
        <f>IF(ISNUMBER(F154),F154-N(G154),"")</f>
        <v/>
      </c>
      <c r="I154" s="15">
        <f>IF(AND(ISNUMBER(D154),ISNUMBER(H154)),(D154-H154)/100*10000,"")</f>
        <v/>
      </c>
      <c r="J154" s="18" t="n">
        <v>0.05</v>
      </c>
      <c r="K154" s="15">
        <f>IF(ISNUMBER(I154),I154+N(J154)/100*10000,"")</f>
        <v/>
      </c>
      <c r="L154" s="19" t="n">
        <v>1.738</v>
      </c>
      <c r="M154" s="4" t="inlineStr">
        <is>
          <t>selected card: Best rate; best card 98.139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SimpleSwap</t>
        </is>
      </c>
      <c r="D155" s="18" t="n">
        <v>97.60063599999999</v>
      </c>
      <c r="E155" s="4" t="inlineStr"/>
      <c r="F155" s="18" t="n">
        <v>98.13889500000001</v>
      </c>
      <c r="G155" s="18" t="n"/>
      <c r="H155" s="16">
        <f>IF(ISNUMBER(F155),F155-N(G155),"")</f>
        <v/>
      </c>
      <c r="I155" s="15">
        <f>IF(AND(ISNUMBER(D155),ISNUMBER(H155)),(D155-H155)/100*10000,"")</f>
        <v/>
      </c>
      <c r="J155" s="18" t="n">
        <v>0.05</v>
      </c>
      <c r="K155" s="15">
        <f>IF(ISNUMBER(I155),I155+N(J155)/100*10000,"")</f>
        <v/>
      </c>
      <c r="L155" s="19" t="n">
        <v>1.681</v>
      </c>
      <c r="M155" s="4" t="inlineStr">
        <is>
          <t>selected card: Best rate; best card 98.138895</t>
        </is>
      </c>
    </row>
    <row r="156">
      <c r="A156" s="4" t="inlineStr">
        <is>
          <t>SOL → BSC</t>
        </is>
      </c>
      <c r="B156" s="4" t="n">
        <v>3</v>
      </c>
      <c r="C156" s="4" t="inlineStr">
        <is>
          <t>SimpleSwap</t>
        </is>
      </c>
      <c r="D156" s="18" t="n">
        <v>97.60098600000001</v>
      </c>
      <c r="E156" s="4" t="inlineStr"/>
      <c r="F156" s="18" t="n">
        <v>98.139</v>
      </c>
      <c r="G156" s="18" t="n"/>
      <c r="H156" s="16">
        <f>IF(ISNUMBER(F156),F156-N(G156),"")</f>
        <v/>
      </c>
      <c r="I156" s="15">
        <f>IF(AND(ISNUMBER(D156),ISNUMBER(H156)),(D156-H156)/100*10000,"")</f>
        <v/>
      </c>
      <c r="J156" s="18" t="n">
        <v>0.1</v>
      </c>
      <c r="K156" s="15">
        <f>IF(ISNUMBER(I156),I156+N(J156)/100*10000,"")</f>
        <v/>
      </c>
      <c r="L156" s="19" t="n">
        <v>1.791</v>
      </c>
      <c r="M156" s="4" t="inlineStr">
        <is>
          <t>selected card: Best rate; best card 98.139</t>
        </is>
      </c>
    </row>
    <row r="157">
      <c r="A157" s="4" t="inlineStr">
        <is>
          <t>BSC → SOL</t>
        </is>
      </c>
      <c r="B157" s="4" t="n">
        <v>1</v>
      </c>
      <c r="C157" s="4" t="inlineStr">
        <is>
          <t>Relay</t>
        </is>
      </c>
      <c r="D157" s="18" t="n">
        <v>99.630319</v>
      </c>
      <c r="E157" s="4" t="inlineStr"/>
      <c r="F157" s="18" t="n">
        <v>99.885578</v>
      </c>
      <c r="G157" s="18" t="n"/>
      <c r="H157" s="16">
        <f>IF(ISNUMBER(F157),F157-N(G157),"")</f>
        <v/>
      </c>
      <c r="I157" s="15">
        <f>IF(AND(ISNUMBER(D157),ISNUMBER(H157)),(D157-H157)/100*10000,"")</f>
        <v/>
      </c>
      <c r="J157" s="18" t="n">
        <v>0.05</v>
      </c>
      <c r="K157" s="15">
        <f>IF(ISNUMBER(I157),I157+N(J157)/100*10000,"")</f>
        <v/>
      </c>
      <c r="L157" s="19" t="n">
        <v>0.791</v>
      </c>
      <c r="M157" s="4" t="inlineStr"/>
    </row>
    <row r="158">
      <c r="A158" s="4" t="inlineStr">
        <is>
          <t>BSC → SOL</t>
        </is>
      </c>
      <c r="B158" s="4" t="n">
        <v>1</v>
      </c>
      <c r="C158" s="4" t="inlineStr">
        <is>
          <t>Relay</t>
        </is>
      </c>
      <c r="D158" s="18" t="n">
        <v>99.62990499999999</v>
      </c>
      <c r="E158" s="4" t="inlineStr"/>
      <c r="F158" s="18" t="n">
        <v>99.885572</v>
      </c>
      <c r="G158" s="18" t="n"/>
      <c r="H158" s="16">
        <f>IF(ISNUMBER(F158),F158-N(G158),"")</f>
        <v/>
      </c>
      <c r="I158" s="15">
        <f>IF(AND(ISNUMBER(D158),ISNUMBER(H158)),(D158-H158)/100*10000,"")</f>
        <v/>
      </c>
      <c r="J158" s="18" t="n">
        <v>0.05</v>
      </c>
      <c r="K158" s="15">
        <f>IF(ISNUMBER(I158),I158+N(J158)/100*10000,"")</f>
        <v/>
      </c>
      <c r="L158" s="19" t="n">
        <v>0.5600000000000001</v>
      </c>
      <c r="M158" s="4" t="inlineStr"/>
    </row>
    <row r="159">
      <c r="A159" s="4" t="inlineStr">
        <is>
          <t>BSC → SOL</t>
        </is>
      </c>
      <c r="B159" s="4" t="n">
        <v>2</v>
      </c>
      <c r="C159" s="4" t="inlineStr">
        <is>
          <t>Relay</t>
        </is>
      </c>
      <c r="D159" s="18" t="n">
        <v>99.630098</v>
      </c>
      <c r="E159" s="4" t="inlineStr"/>
      <c r="F159" s="18" t="n">
        <v>99.885577</v>
      </c>
      <c r="G159" s="18" t="n"/>
      <c r="H159" s="16">
        <f>IF(ISNUMBER(F159),F159-N(G159),"")</f>
        <v/>
      </c>
      <c r="I159" s="15">
        <f>IF(AND(ISNUMBER(D159),ISNUMBER(H159)),(D159-H159)/100*10000,"")</f>
        <v/>
      </c>
      <c r="J159" s="18" t="n">
        <v>0.05</v>
      </c>
      <c r="K159" s="15">
        <f>IF(ISNUMBER(I159),I159+N(J159)/100*10000,"")</f>
        <v/>
      </c>
      <c r="L159" s="19" t="n">
        <v>0.767</v>
      </c>
      <c r="M159" s="4" t="inlineStr"/>
    </row>
    <row r="160">
      <c r="A160" s="4" t="inlineStr">
        <is>
          <t>BSC → SOL</t>
        </is>
      </c>
      <c r="B160" s="4" t="n">
        <v>2</v>
      </c>
      <c r="C160" s="4" t="inlineStr">
        <is>
          <t>Relay</t>
        </is>
      </c>
      <c r="D160" s="18" t="n">
        <v>99.629901</v>
      </c>
      <c r="E160" s="4" t="inlineStr"/>
      <c r="F160" s="18" t="n">
        <v>99.885572</v>
      </c>
      <c r="G160" s="18" t="n"/>
      <c r="H160" s="16">
        <f>IF(ISNUMBER(F160),F160-N(G160),"")</f>
        <v/>
      </c>
      <c r="I160" s="15">
        <f>IF(AND(ISNUMBER(D160),ISNUMBER(H160)),(D160-H160)/100*10000,"")</f>
        <v/>
      </c>
      <c r="J160" s="18" t="n">
        <v>0.05</v>
      </c>
      <c r="K160" s="15">
        <f>IF(ISNUMBER(I160),I160+N(J160)/100*10000,"")</f>
        <v/>
      </c>
      <c r="L160" s="19" t="n">
        <v>0.755</v>
      </c>
      <c r="M160" s="4" t="inlineStr"/>
    </row>
    <row r="161">
      <c r="A161" s="4" t="inlineStr">
        <is>
          <t>BSC → SOL</t>
        </is>
      </c>
      <c r="B161" s="4" t="n">
        <v>3</v>
      </c>
      <c r="C161" s="4" t="inlineStr">
        <is>
          <t>Relay</t>
        </is>
      </c>
      <c r="D161" s="18" t="n">
        <v>99.63025399999999</v>
      </c>
      <c r="E161" s="4" t="inlineStr"/>
      <c r="F161" s="18" t="n">
        <v>99.88557400000001</v>
      </c>
      <c r="G161" s="18" t="n"/>
      <c r="H161" s="16">
        <f>IF(ISNUMBER(F161),F161-N(G161),"")</f>
        <v/>
      </c>
      <c r="I161" s="15">
        <f>IF(AND(ISNUMBER(D161),ISNUMBER(H161)),(D161-H161)/100*10000,"")</f>
        <v/>
      </c>
      <c r="J161" s="18" t="n">
        <v>0.05</v>
      </c>
      <c r="K161" s="15">
        <f>IF(ISNUMBER(I161),I161+N(J161)/100*10000,"")</f>
        <v/>
      </c>
      <c r="L161" s="19" t="n">
        <v>0.582</v>
      </c>
      <c r="M161" s="4" t="inlineStr"/>
    </row>
    <row r="162">
      <c r="A162" s="4" t="inlineStr">
        <is>
          <t>BSC → SOL</t>
        </is>
      </c>
      <c r="B162" s="4" t="n">
        <v>3</v>
      </c>
      <c r="C162" s="4" t="inlineStr">
        <is>
          <t>Relay</t>
        </is>
      </c>
      <c r="D162" s="18" t="n">
        <v>99.629901</v>
      </c>
      <c r="E162" s="4" t="inlineStr"/>
      <c r="F162" s="18" t="n">
        <v>99.885571</v>
      </c>
      <c r="G162" s="18" t="n"/>
      <c r="H162" s="16">
        <f>IF(ISNUMBER(F162),F162-N(G162),"")</f>
        <v/>
      </c>
      <c r="I162" s="15">
        <f>IF(AND(ISNUMBER(D162),ISNUMBER(H162)),(D162-H162)/100*10000,"")</f>
        <v/>
      </c>
      <c r="J162" s="18" t="n">
        <v>0.05</v>
      </c>
      <c r="K162" s="15">
        <f>IF(ISNUMBER(I162),I162+N(J162)/100*10000,"")</f>
        <v/>
      </c>
      <c r="L162" s="19" t="n">
        <v>0.838</v>
      </c>
      <c r="M162" s="4" t="inlineStr"/>
    </row>
    <row r="163">
      <c r="A163" s="4" t="inlineStr">
        <is>
          <t>BSC → SOL</t>
        </is>
      </c>
      <c r="B163" s="4" t="n">
        <v>1</v>
      </c>
      <c r="C163" s="4" t="inlineStr">
        <is>
          <t>deBridge</t>
        </is>
      </c>
      <c r="D163" s="18" t="n">
        <v>98.874504</v>
      </c>
      <c r="E163" s="4" t="inlineStr"/>
      <c r="F163" s="18" t="n">
        <v>99.920017</v>
      </c>
      <c r="G163" s="18" t="n">
        <v>1.0464</v>
      </c>
      <c r="H163" s="16">
        <f>IF(ISNUMBER(F163),F163-N(G163),"")</f>
        <v/>
      </c>
      <c r="I163" s="15">
        <f>IF(AND(ISNUMBER(D163),ISNUMBER(H163)),(D163-H163)/100*10000,"")</f>
        <v/>
      </c>
      <c r="J163" s="18" t="n">
        <v>0.05</v>
      </c>
      <c r="K163" s="15">
        <f>IF(ISNUMBER(I163),I163+N(J163)/100*10000,"")</f>
        <v/>
      </c>
      <c r="L163" s="19" t="n">
        <v>0.581</v>
      </c>
      <c r="M163" s="4" t="inlineStr">
        <is>
          <t>+1.0464 USDC charged on top of 100 input (subtracted)</t>
        </is>
      </c>
    </row>
    <row r="164">
      <c r="A164" s="4" t="inlineStr">
        <is>
          <t>BSC → SOL</t>
        </is>
      </c>
      <c r="B164" s="4" t="n">
        <v>1</v>
      </c>
      <c r="C164" s="4" t="inlineStr">
        <is>
          <t>deBridge</t>
        </is>
      </c>
      <c r="D164" s="18" t="n">
        <v>98.872119</v>
      </c>
      <c r="E164" s="4" t="inlineStr"/>
      <c r="F164" s="18" t="n">
        <v>99.920017</v>
      </c>
      <c r="G164" s="18" t="n">
        <v>1.0487</v>
      </c>
      <c r="H164" s="16">
        <f>IF(ISNUMBER(F164),F164-N(G164),"")</f>
        <v/>
      </c>
      <c r="I164" s="15">
        <f>IF(AND(ISNUMBER(D164),ISNUMBER(H164)),(D164-H164)/100*10000,"")</f>
        <v/>
      </c>
      <c r="J164" s="18" t="n">
        <v>0.05</v>
      </c>
      <c r="K164" s="15">
        <f>IF(ISNUMBER(I164),I164+N(J164)/100*10000,"")</f>
        <v/>
      </c>
      <c r="L164" s="19" t="n">
        <v>0.5600000000000001</v>
      </c>
      <c r="M164" s="4" t="inlineStr">
        <is>
          <t>+1.0487 USDC charged on top of 100 input (subtracted)</t>
        </is>
      </c>
    </row>
    <row r="165">
      <c r="A165" s="4" t="inlineStr">
        <is>
          <t>BSC → SOL</t>
        </is>
      </c>
      <c r="B165" s="4" t="n">
        <v>2</v>
      </c>
      <c r="C165" s="4" t="inlineStr">
        <is>
          <t>deBridge</t>
        </is>
      </c>
      <c r="D165" s="18" t="n">
        <v>98.878185</v>
      </c>
      <c r="E165" s="4" t="inlineStr"/>
      <c r="F165" s="18" t="n">
        <v>99.920017</v>
      </c>
      <c r="G165" s="18" t="n">
        <v>1.0427</v>
      </c>
      <c r="H165" s="16">
        <f>IF(ISNUMBER(F165),F165-N(G165),"")</f>
        <v/>
      </c>
      <c r="I165" s="15">
        <f>IF(AND(ISNUMBER(D165),ISNUMBER(H165)),(D165-H165)/100*10000,"")</f>
        <v/>
      </c>
      <c r="J165" s="18" t="n">
        <v>0.05</v>
      </c>
      <c r="K165" s="15">
        <f>IF(ISNUMBER(I165),I165+N(J165)/100*10000,"")</f>
        <v/>
      </c>
      <c r="L165" s="19" t="n">
        <v>0.788</v>
      </c>
      <c r="M165" s="4" t="inlineStr">
        <is>
          <t>+1.0427 USDC charged on top of 100 input (subtracted)</t>
        </is>
      </c>
    </row>
    <row r="166">
      <c r="A166" s="4" t="inlineStr">
        <is>
          <t>BSC → SOL</t>
        </is>
      </c>
      <c r="B166" s="4" t="n">
        <v>2</v>
      </c>
      <c r="C166" s="4" t="inlineStr">
        <is>
          <t>deBridge</t>
        </is>
      </c>
      <c r="D166" s="18" t="n">
        <v>98.878094</v>
      </c>
      <c r="E166" s="4" t="inlineStr"/>
      <c r="F166" s="18" t="n">
        <v>99.880032</v>
      </c>
      <c r="G166" s="18" t="n">
        <v>1.0712</v>
      </c>
      <c r="H166" s="16">
        <f>IF(ISNUMBER(F166),F166-N(G166),"")</f>
        <v/>
      </c>
      <c r="I166" s="15">
        <f>IF(AND(ISNUMBER(D166),ISNUMBER(H166)),(D166-H166)/100*10000,"")</f>
        <v/>
      </c>
      <c r="J166" s="18" t="n">
        <v>0.05</v>
      </c>
      <c r="K166" s="15">
        <f>IF(ISNUMBER(I166),I166+N(J166)/100*10000,"")</f>
        <v/>
      </c>
      <c r="L166" s="19" t="n">
        <v>1.263</v>
      </c>
      <c r="M166" s="4" t="inlineStr">
        <is>
          <t>+1.0712 USDC charged on top of 100 input (subtracted)</t>
        </is>
      </c>
    </row>
    <row r="167">
      <c r="A167" s="4" t="inlineStr">
        <is>
          <t>BSC → SOL</t>
        </is>
      </c>
      <c r="B167" s="4" t="n">
        <v>3</v>
      </c>
      <c r="C167" s="4" t="inlineStr">
        <is>
          <t>deBridge</t>
        </is>
      </c>
      <c r="D167" s="18" t="n">
        <v>98.874392</v>
      </c>
      <c r="E167" s="4" t="inlineStr"/>
      <c r="F167" s="18" t="n">
        <v>99.880032</v>
      </c>
      <c r="G167" s="18" t="n">
        <v>1.0749</v>
      </c>
      <c r="H167" s="16">
        <f>IF(ISNUMBER(F167),F167-N(G167),"")</f>
        <v/>
      </c>
      <c r="I167" s="15">
        <f>IF(AND(ISNUMBER(D167),ISNUMBER(H167)),(D167-H167)/100*10000,"")</f>
        <v/>
      </c>
      <c r="J167" s="18" t="n">
        <v>0.05</v>
      </c>
      <c r="K167" s="15">
        <f>IF(ISNUMBER(I167),I167+N(J167)/100*10000,"")</f>
        <v/>
      </c>
      <c r="L167" s="19" t="n">
        <v>1.074</v>
      </c>
      <c r="M167" s="4" t="inlineStr">
        <is>
          <t>+1.0749 USDC charged on top of 100 input (subtracted)</t>
        </is>
      </c>
    </row>
    <row r="168">
      <c r="A168" s="4" t="inlineStr">
        <is>
          <t>BSC → SOL</t>
        </is>
      </c>
      <c r="B168" s="4" t="n">
        <v>3</v>
      </c>
      <c r="C168" s="4" t="inlineStr">
        <is>
          <t>deBridge</t>
        </is>
      </c>
      <c r="D168" s="18" t="n">
        <v>98.87717600000001</v>
      </c>
      <c r="E168" s="4" t="inlineStr"/>
      <c r="F168" s="18" t="n">
        <v>99.920017</v>
      </c>
      <c r="G168" s="18" t="n">
        <v>1.0437</v>
      </c>
      <c r="H168" s="16">
        <f>IF(ISNUMBER(F168),F168-N(G168),"")</f>
        <v/>
      </c>
      <c r="I168" s="15">
        <f>IF(AND(ISNUMBER(D168),ISNUMBER(H168)),(D168-H168)/100*10000,"")</f>
        <v/>
      </c>
      <c r="J168" s="18" t="n">
        <v>0.05</v>
      </c>
      <c r="K168" s="15">
        <f>IF(ISNUMBER(I168),I168+N(J168)/100*10000,"")</f>
        <v/>
      </c>
      <c r="L168" s="19" t="n">
        <v>0.332</v>
      </c>
      <c r="M168" s="4" t="inlineStr">
        <is>
          <t>+1.0437 USDC charged on top of 100 input (subtracted)</t>
        </is>
      </c>
    </row>
    <row r="169">
      <c r="A169" s="4" t="inlineStr">
        <is>
          <t>BSC → SOL</t>
        </is>
      </c>
      <c r="B169" s="4" t="n">
        <v>1</v>
      </c>
      <c r="C169" s="4" t="inlineStr">
        <is>
          <t>LI.FI (Jumper)</t>
        </is>
      </c>
      <c r="D169" s="18" t="n">
        <v>99.199736</v>
      </c>
      <c r="E169" s="4" t="inlineStr"/>
      <c r="F169" s="18" t="n">
        <v>99.885578</v>
      </c>
      <c r="G169" s="18" t="n"/>
      <c r="H169" s="16">
        <f>IF(ISNUMBER(F169),F169-N(G169),"")</f>
        <v/>
      </c>
      <c r="I169" s="15">
        <f>IF(AND(ISNUMBER(D169),ISNUMBER(H169)),(D169-H169)/100*10000,"")</f>
        <v/>
      </c>
      <c r="J169" s="18" t="n">
        <v>0.05</v>
      </c>
      <c r="K169" s="15">
        <f>IF(ISNUMBER(I169),I169+N(J169)/100*10000,"")</f>
        <v/>
      </c>
      <c r="L169" s="19" t="n">
        <v>1.621</v>
      </c>
      <c r="M169" s="4" t="inlineStr">
        <is>
          <t>Jumper Best Return via Relay; max route 99.885578</t>
        </is>
      </c>
    </row>
    <row r="170">
      <c r="A170" s="4" t="inlineStr">
        <is>
          <t>BSC → SOL</t>
        </is>
      </c>
      <c r="B170" s="4" t="n">
        <v>1</v>
      </c>
      <c r="C170" s="4" t="inlineStr">
        <is>
          <t>LI.FI (Jumper)</t>
        </is>
      </c>
      <c r="D170" s="18" t="n">
        <v>98.86318799999999</v>
      </c>
      <c r="E170" s="4" t="inlineStr"/>
      <c r="F170" s="18" t="n">
        <v>99.885572</v>
      </c>
      <c r="G170" s="18" t="n"/>
      <c r="H170" s="16">
        <f>IF(ISNUMBER(F170),F170-N(G170),"")</f>
        <v/>
      </c>
      <c r="I170" s="15">
        <f>IF(AND(ISNUMBER(D170),ISNUMBER(H170)),(D170-H170)/100*10000,"")</f>
        <v/>
      </c>
      <c r="J170" s="18" t="n">
        <v>0.05</v>
      </c>
      <c r="K170" s="15">
        <f>IF(ISNUMBER(I170),I170+N(J170)/100*10000,"")</f>
        <v/>
      </c>
      <c r="L170" s="19" t="n">
        <v>0.864</v>
      </c>
      <c r="M170" s="4" t="inlineStr">
        <is>
          <t>Jumper Best Return via Relay; max route 99.885572</t>
        </is>
      </c>
    </row>
    <row r="171">
      <c r="A171" s="4" t="inlineStr">
        <is>
          <t>BSC → SOL</t>
        </is>
      </c>
      <c r="B171" s="4" t="n">
        <v>2</v>
      </c>
      <c r="C171" s="4" t="inlineStr">
        <is>
          <t>LI.FI (Jumper)</t>
        </is>
      </c>
      <c r="D171" s="18" t="n">
        <v>98.863523</v>
      </c>
      <c r="E171" s="4" t="inlineStr"/>
      <c r="F171" s="18" t="n">
        <v>120.36486</v>
      </c>
      <c r="G171" s="18" t="n"/>
      <c r="H171" s="16" t="inlineStr">
        <is>
          <t>excluded</t>
        </is>
      </c>
      <c r="I171" s="15">
        <f>IF(AND(ISNUMBER(D171),ISNUMBER(H171)),(D171-H171)/100*10000,"")</f>
        <v/>
      </c>
      <c r="J171" s="18" t="n">
        <v>0.05</v>
      </c>
      <c r="K171" s="15">
        <f>IF(ISNUMBER(I171),I171+N(J171)/100*10000,"")</f>
        <v/>
      </c>
      <c r="L171" s="19" t="n">
        <v>1.412</v>
      </c>
      <c r="M171" s="4" t="inlineStr">
        <is>
          <t>Jumper Best Return via Mayan (Swift); max route 120.36486 | ANOMALY: site displayed 120.36486 out for 100 in (excluded)</t>
        </is>
      </c>
    </row>
    <row r="172">
      <c r="A172" s="4" t="inlineStr">
        <is>
          <t>BSC → SOL</t>
        </is>
      </c>
      <c r="B172" s="4" t="n">
        <v>2</v>
      </c>
      <c r="C172" s="4" t="inlineStr">
        <is>
          <t>LI.FI (Jumper)</t>
        </is>
      </c>
      <c r="D172" s="18" t="n">
        <v>99.138936</v>
      </c>
      <c r="E172" s="4" t="inlineStr"/>
      <c r="F172" s="18" t="n">
        <v>99.885572</v>
      </c>
      <c r="G172" s="18" t="n"/>
      <c r="H172" s="16">
        <f>IF(ISNUMBER(F172),F172-N(G172),"")</f>
        <v/>
      </c>
      <c r="I172" s="15">
        <f>IF(AND(ISNUMBER(D172),ISNUMBER(H172)),(D172-H172)/100*10000,"")</f>
        <v/>
      </c>
      <c r="J172" s="18" t="n">
        <v>0.05</v>
      </c>
      <c r="K172" s="15">
        <f>IF(ISNUMBER(I172),I172+N(J172)/100*10000,"")</f>
        <v/>
      </c>
      <c r="L172" s="19" t="n">
        <v>0.705</v>
      </c>
      <c r="M172" s="4" t="inlineStr">
        <is>
          <t>Jumper Best Return via Relay; max route 99.885572</t>
        </is>
      </c>
    </row>
    <row r="173">
      <c r="A173" s="4" t="inlineStr">
        <is>
          <t>BSC → SOL</t>
        </is>
      </c>
      <c r="B173" s="4" t="n">
        <v>3</v>
      </c>
      <c r="C173" s="4" t="inlineStr">
        <is>
          <t>LI.FI (Jumper)</t>
        </is>
      </c>
      <c r="D173" s="18" t="n">
        <v>98.863885</v>
      </c>
      <c r="E173" s="4" t="inlineStr"/>
      <c r="F173" s="18" t="n">
        <v>99.88557400000001</v>
      </c>
      <c r="G173" s="18" t="n"/>
      <c r="H173" s="16">
        <f>IF(ISNUMBER(F173),F173-N(G173),"")</f>
        <v/>
      </c>
      <c r="I173" s="15">
        <f>IF(AND(ISNUMBER(D173),ISNUMBER(H173)),(D173-H173)/100*10000,"")</f>
        <v/>
      </c>
      <c r="J173" s="18" t="n">
        <v>0.05</v>
      </c>
      <c r="K173" s="15">
        <f>IF(ISNUMBER(I173),I173+N(J173)/100*10000,"")</f>
        <v/>
      </c>
      <c r="L173" s="19" t="n">
        <v>1.57</v>
      </c>
      <c r="M173" s="4" t="inlineStr">
        <is>
          <t>Jumper Best Return via Relay; max route 99.885574</t>
        </is>
      </c>
    </row>
    <row r="174">
      <c r="A174" s="4" t="inlineStr">
        <is>
          <t>BSC → SOL</t>
        </is>
      </c>
      <c r="B174" s="4" t="n">
        <v>3</v>
      </c>
      <c r="C174" s="4" t="inlineStr">
        <is>
          <t>LI.FI (Jumper)</t>
        </is>
      </c>
      <c r="D174" s="18" t="n">
        <v>98.864007</v>
      </c>
      <c r="E174" s="4" t="inlineStr"/>
      <c r="F174" s="18" t="n">
        <v>99.885571</v>
      </c>
      <c r="G174" s="18" t="n"/>
      <c r="H174" s="16">
        <f>IF(ISNUMBER(F174),F174-N(G174),"")</f>
        <v/>
      </c>
      <c r="I174" s="15">
        <f>IF(AND(ISNUMBER(D174),ISNUMBER(H174)),(D174-H174)/100*10000,"")</f>
        <v/>
      </c>
      <c r="J174" s="18" t="n">
        <v>0</v>
      </c>
      <c r="K174" s="15">
        <f>IF(ISNUMBER(I174),I174+N(J174)/100*10000,"")</f>
        <v/>
      </c>
      <c r="L174" s="19" t="n">
        <v>1.114</v>
      </c>
      <c r="M174" s="4" t="inlineStr">
        <is>
          <t>Jumper Best Return via Relay; max route 99.885571</t>
        </is>
      </c>
    </row>
    <row r="175">
      <c r="A175" s="4" t="inlineStr">
        <is>
          <t>BSC → SOL</t>
        </is>
      </c>
      <c r="B175" s="4" t="n">
        <v>1</v>
      </c>
      <c r="C175" s="4" t="inlineStr">
        <is>
          <t>Across</t>
        </is>
      </c>
      <c r="D175" s="18" t="inlineStr">
        <is>
          <t>not listed</t>
        </is>
      </c>
      <c r="E175" s="4" t="inlineStr"/>
      <c r="F175" s="18" t="n"/>
      <c r="G175" s="18" t="n"/>
      <c r="H175" s="16">
        <f>IF(ISNUMBER(F175),F175-N(G175),"")</f>
        <v/>
      </c>
      <c r="I175" s="15">
        <f>IF(AND(ISNUMBER(D175),ISNUMBER(H175)),(D175-H175)/100*10000,"")</f>
        <v/>
      </c>
      <c r="J175" s="18" t="n">
        <v>0.05</v>
      </c>
      <c r="K175" s="15">
        <f>IF(ISNUMBER(I175),I175+N(J175)/100*10000,"")</f>
        <v/>
      </c>
      <c r="L175" s="19" t="n"/>
      <c r="M175" s="4" t="inlineStr"/>
    </row>
    <row r="176">
      <c r="A176" s="4" t="inlineStr">
        <is>
          <t>BSC → SOL</t>
        </is>
      </c>
      <c r="B176" s="4" t="n">
        <v>1</v>
      </c>
      <c r="C176" s="4" t="inlineStr">
        <is>
          <t>Across</t>
        </is>
      </c>
      <c r="D176" s="18" t="inlineStr">
        <is>
          <t>not listed</t>
        </is>
      </c>
      <c r="E176" s="4" t="inlineStr"/>
      <c r="F176" s="18" t="n"/>
      <c r="G176" s="18" t="n"/>
      <c r="H176" s="16">
        <f>IF(ISNUMBER(F176),F176-N(G176),"")</f>
        <v/>
      </c>
      <c r="I176" s="15">
        <f>IF(AND(ISNUMBER(D176),ISNUMBER(H176)),(D176-H176)/100*10000,"")</f>
        <v/>
      </c>
      <c r="J176" s="18" t="n">
        <v>0.05</v>
      </c>
      <c r="K176" s="15">
        <f>IF(ISNUMBER(I176),I176+N(J176)/100*10000,"")</f>
        <v/>
      </c>
      <c r="L176" s="19" t="n"/>
      <c r="M176" s="4" t="inlineStr"/>
    </row>
    <row r="177">
      <c r="A177" s="4" t="inlineStr">
        <is>
          <t>BSC → SOL</t>
        </is>
      </c>
      <c r="B177" s="4" t="n">
        <v>1</v>
      </c>
      <c r="C177" s="4" t="inlineStr">
        <is>
          <t>Across</t>
        </is>
      </c>
      <c r="D177" s="18" t="inlineStr">
        <is>
          <t>not listed</t>
        </is>
      </c>
      <c r="E177" s="4" t="inlineStr"/>
      <c r="F177" s="18" t="n">
        <v>99.982074</v>
      </c>
      <c r="G177" s="18" t="n"/>
      <c r="H177" s="16">
        <f>IF(ISNUMBER(F177),F177-N(G177),"")</f>
        <v/>
      </c>
      <c r="I177" s="15">
        <f>IF(AND(ISNUMBER(D177),ISNUMBER(H177)),(D177-H177)/100*10000,"")</f>
        <v/>
      </c>
      <c r="J177" s="18" t="n">
        <v>0.05</v>
      </c>
      <c r="K177" s="15">
        <f>IF(ISNUMBER(I177),I177+N(J177)/100*10000,"")</f>
        <v/>
      </c>
      <c r="L177" s="19" t="n">
        <v>0.098</v>
      </c>
      <c r="M177" s="4" t="inlineStr"/>
    </row>
    <row r="178">
      <c r="A178" s="4" t="inlineStr">
        <is>
          <t>BSC → SOL</t>
        </is>
      </c>
      <c r="B178" s="4" t="n">
        <v>2</v>
      </c>
      <c r="C178" s="4" t="inlineStr">
        <is>
          <t>Across</t>
        </is>
      </c>
      <c r="D178" s="18" t="inlineStr">
        <is>
          <t>not listed</t>
        </is>
      </c>
      <c r="E178" s="4" t="inlineStr"/>
      <c r="F178" s="18" t="n"/>
      <c r="G178" s="18" t="n"/>
      <c r="H178" s="16">
        <f>IF(ISNUMBER(F178),F178-N(G178),"")</f>
        <v/>
      </c>
      <c r="I178" s="15">
        <f>IF(AND(ISNUMBER(D178),ISNUMBER(H178)),(D178-H178)/100*10000,"")</f>
        <v/>
      </c>
      <c r="J178" s="18" t="n">
        <v>0.05</v>
      </c>
      <c r="K178" s="15">
        <f>IF(ISNUMBER(I178),I178+N(J178)/100*10000,"")</f>
        <v/>
      </c>
      <c r="L178" s="19" t="n"/>
      <c r="M178" s="4" t="inlineStr"/>
    </row>
    <row r="179">
      <c r="A179" s="4" t="inlineStr">
        <is>
          <t>BSC → SOL</t>
        </is>
      </c>
      <c r="B179" s="4" t="n">
        <v>2</v>
      </c>
      <c r="C179" s="4" t="inlineStr">
        <is>
          <t>Across</t>
        </is>
      </c>
      <c r="D179" s="18" t="inlineStr">
        <is>
          <t>not listed</t>
        </is>
      </c>
      <c r="E179" s="4" t="inlineStr"/>
      <c r="F179" s="18" t="n"/>
      <c r="G179" s="18" t="n"/>
      <c r="H179" s="16">
        <f>IF(ISNUMBER(F179),F179-N(G179),"")</f>
        <v/>
      </c>
      <c r="I179" s="15">
        <f>IF(AND(ISNUMBER(D179),ISNUMBER(H179)),(D179-H179)/100*10000,"")</f>
        <v/>
      </c>
      <c r="J179" s="18" t="n">
        <v>0.05</v>
      </c>
      <c r="K179" s="15">
        <f>IF(ISNUMBER(I179),I179+N(J179)/100*10000,"")</f>
        <v/>
      </c>
      <c r="L179" s="19" t="n"/>
      <c r="M179" s="4" t="inlineStr"/>
    </row>
    <row r="180">
      <c r="A180" s="4" t="inlineStr">
        <is>
          <t>BSC → SOL</t>
        </is>
      </c>
      <c r="B180" s="4" t="n">
        <v>2</v>
      </c>
      <c r="C180" s="4" t="inlineStr">
        <is>
          <t>Across</t>
        </is>
      </c>
      <c r="D180" s="18" t="inlineStr">
        <is>
          <t>not listed</t>
        </is>
      </c>
      <c r="E180" s="4" t="inlineStr"/>
      <c r="F180" s="18" t="n">
        <v>99.982045</v>
      </c>
      <c r="G180" s="18" t="n"/>
      <c r="H180" s="16">
        <f>IF(ISNUMBER(F180),F180-N(G180),"")</f>
        <v/>
      </c>
      <c r="I180" s="15">
        <f>IF(AND(ISNUMBER(D180),ISNUMBER(H180)),(D180-H180)/100*10000,"")</f>
        <v/>
      </c>
      <c r="J180" s="18" t="n">
        <v>0.05</v>
      </c>
      <c r="K180" s="15">
        <f>IF(ISNUMBER(I180),I180+N(J180)/100*10000,"")</f>
        <v/>
      </c>
      <c r="L180" s="19" t="n">
        <v>0.252</v>
      </c>
      <c r="M180" s="4" t="inlineStr"/>
    </row>
    <row r="181">
      <c r="A181" s="4" t="inlineStr">
        <is>
          <t>BSC → SOL</t>
        </is>
      </c>
      <c r="B181" s="4" t="n">
        <v>3</v>
      </c>
      <c r="C181" s="4" t="inlineStr">
        <is>
          <t>Across</t>
        </is>
      </c>
      <c r="D181" s="18" t="inlineStr">
        <is>
          <t>not listed</t>
        </is>
      </c>
      <c r="E181" s="4" t="inlineStr"/>
      <c r="F181" s="18" t="n">
        <v>99.981998</v>
      </c>
      <c r="G181" s="18" t="n"/>
      <c r="H181" s="16">
        <f>IF(ISNUMBER(F181),F181-N(G181),"")</f>
        <v/>
      </c>
      <c r="I181" s="15">
        <f>IF(AND(ISNUMBER(D181),ISNUMBER(H181)),(D181-H181)/100*10000,"")</f>
        <v/>
      </c>
      <c r="J181" s="18" t="n">
        <v>0.05</v>
      </c>
      <c r="K181" s="15">
        <f>IF(ISNUMBER(I181),I181+N(J181)/100*10000,"")</f>
        <v/>
      </c>
      <c r="L181" s="19" t="n">
        <v>0.075</v>
      </c>
      <c r="M181" s="4" t="inlineStr"/>
    </row>
    <row r="182">
      <c r="A182" s="4" t="inlineStr">
        <is>
          <t>BSC → SOL</t>
        </is>
      </c>
      <c r="B182" s="4" t="n">
        <v>3</v>
      </c>
      <c r="C182" s="4" t="inlineStr">
        <is>
          <t>Across</t>
        </is>
      </c>
      <c r="D182" s="18" t="inlineStr">
        <is>
          <t>not listed</t>
        </is>
      </c>
      <c r="E182" s="4" t="inlineStr"/>
      <c r="F182" s="18" t="n">
        <v>99.982169</v>
      </c>
      <c r="G182" s="18" t="n"/>
      <c r="H182" s="16">
        <f>IF(ISNUMBER(F182),F182-N(G182),"")</f>
        <v/>
      </c>
      <c r="I182" s="15">
        <f>IF(AND(ISNUMBER(D182),ISNUMBER(H182)),(D182-H182)/100*10000,"")</f>
        <v/>
      </c>
      <c r="J182" s="18" t="n">
        <v>0.05</v>
      </c>
      <c r="K182" s="15">
        <f>IF(ISNUMBER(I182),I182+N(J182)/100*10000,"")</f>
        <v/>
      </c>
      <c r="L182" s="19" t="n">
        <v>0.047</v>
      </c>
      <c r="M182" s="4" t="inlineStr"/>
    </row>
    <row r="183">
      <c r="A183" s="4" t="inlineStr">
        <is>
          <t>BSC → SOL</t>
        </is>
      </c>
      <c r="B183" s="4" t="n">
        <v>3</v>
      </c>
      <c r="C183" s="4" t="inlineStr">
        <is>
          <t>Across</t>
        </is>
      </c>
      <c r="D183" s="18" t="inlineStr">
        <is>
          <t>not listed</t>
        </is>
      </c>
      <c r="E183" s="4" t="inlineStr"/>
      <c r="F183" s="18" t="n">
        <v>99.982061</v>
      </c>
      <c r="G183" s="18" t="n"/>
      <c r="H183" s="16">
        <f>IF(ISNUMBER(F183),F183-N(G183),"")</f>
        <v/>
      </c>
      <c r="I183" s="15">
        <f>IF(AND(ISNUMBER(D183),ISNUMBER(H183)),(D183-H183)/100*10000,"")</f>
        <v/>
      </c>
      <c r="J183" s="18" t="n">
        <v>0.05</v>
      </c>
      <c r="K183" s="15">
        <f>IF(ISNUMBER(I183),I183+N(J183)/100*10000,"")</f>
        <v/>
      </c>
      <c r="L183" s="19" t="n">
        <v>0.34</v>
      </c>
      <c r="M183" s="4" t="inlineStr"/>
    </row>
    <row r="184">
      <c r="A184" s="4" t="inlineStr">
        <is>
          <t>BSC → SOL</t>
        </is>
      </c>
      <c r="B184" s="4" t="n">
        <v>1</v>
      </c>
      <c r="C184" s="4" t="inlineStr">
        <is>
          <t>Mayan</t>
        </is>
      </c>
      <c r="D184" s="18" t="n">
        <v>99.63180199999999</v>
      </c>
      <c r="E184" s="4" t="inlineStr"/>
      <c r="F184" s="18" t="n">
        <v>99.681</v>
      </c>
      <c r="G184" s="18" t="n"/>
      <c r="H184" s="16">
        <f>IF(ISNUMBER(F184),F184-N(G184),"")</f>
        <v/>
      </c>
      <c r="I184" s="15">
        <f>IF(AND(ISNUMBER(D184),ISNUMBER(H184)),(D184-H184)/100*10000,"")</f>
        <v/>
      </c>
      <c r="J184" s="18" t="n">
        <v>0.05</v>
      </c>
      <c r="K184" s="15">
        <f>IF(ISNUMBER(I184),I184+N(J184)/100*10000,"")</f>
        <v/>
      </c>
      <c r="L184" s="19" t="n">
        <v>0.247</v>
      </c>
      <c r="M184" s="4" t="inlineStr">
        <is>
          <t>Swift v2; UI shows 3 dp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Mayan</t>
        </is>
      </c>
      <c r="D185" s="18" t="n">
        <v>99.631485</v>
      </c>
      <c r="E185" s="4" t="inlineStr"/>
      <c r="F185" s="18" t="n">
        <v>99.681</v>
      </c>
      <c r="G185" s="18" t="n"/>
      <c r="H185" s="16">
        <f>IF(ISNUMBER(F185),F185-N(G185),"")</f>
        <v/>
      </c>
      <c r="I185" s="15">
        <f>IF(AND(ISNUMBER(D185),ISNUMBER(H185)),(D185-H185)/100*10000,"")</f>
        <v/>
      </c>
      <c r="J185" s="18" t="n">
        <v>0.05</v>
      </c>
      <c r="K185" s="15">
        <f>IF(ISNUMBER(I185),I185+N(J185)/100*10000,"")</f>
        <v/>
      </c>
      <c r="L185" s="19" t="n">
        <v>0.245</v>
      </c>
      <c r="M185" s="4" t="inlineStr">
        <is>
          <t>Swift v2; UI shows 3 dp</t>
        </is>
      </c>
    </row>
    <row r="186">
      <c r="A186" s="4" t="inlineStr">
        <is>
          <t>BSC → SOL</t>
        </is>
      </c>
      <c r="B186" s="4" t="n">
        <v>2</v>
      </c>
      <c r="C186" s="4" t="inlineStr">
        <is>
          <t>Mayan</t>
        </is>
      </c>
      <c r="D186" s="18" t="n">
        <v>99.63173399999999</v>
      </c>
      <c r="E186" s="4" t="inlineStr"/>
      <c r="F186" s="18" t="n">
        <v>99.681</v>
      </c>
      <c r="G186" s="18" t="n"/>
      <c r="H186" s="16">
        <f>IF(ISNUMBER(F186),F186-N(G186),"")</f>
        <v/>
      </c>
      <c r="I186" s="15">
        <f>IF(AND(ISNUMBER(D186),ISNUMBER(H186)),(D186-H186)/100*10000,"")</f>
        <v/>
      </c>
      <c r="J186" s="18" t="n">
        <v>0.05</v>
      </c>
      <c r="K186" s="15">
        <f>IF(ISNUMBER(I186),I186+N(J186)/100*10000,"")</f>
        <v/>
      </c>
      <c r="L186" s="19" t="n">
        <v>0.242</v>
      </c>
      <c r="M186" s="4" t="inlineStr">
        <is>
          <t>Swift v2; UI shows 3 dp</t>
        </is>
      </c>
    </row>
    <row r="187">
      <c r="A187" s="4" t="inlineStr">
        <is>
          <t>BSC → SOL</t>
        </is>
      </c>
      <c r="B187" s="4" t="n">
        <v>2</v>
      </c>
      <c r="C187" s="4" t="inlineStr">
        <is>
          <t>Mayan</t>
        </is>
      </c>
      <c r="D187" s="18" t="n">
        <v>99.631376</v>
      </c>
      <c r="E187" s="4" t="inlineStr"/>
      <c r="F187" s="18" t="n">
        <v>99.681</v>
      </c>
      <c r="G187" s="18" t="n"/>
      <c r="H187" s="16">
        <f>IF(ISNUMBER(F187),F187-N(G187),"")</f>
        <v/>
      </c>
      <c r="I187" s="15">
        <f>IF(AND(ISNUMBER(D187),ISNUMBER(H187)),(D187-H187)/100*10000,"")</f>
        <v/>
      </c>
      <c r="J187" s="18" t="n">
        <v>0.05</v>
      </c>
      <c r="K187" s="15">
        <f>IF(ISNUMBER(I187),I187+N(J187)/100*10000,"")</f>
        <v/>
      </c>
      <c r="L187" s="19" t="n">
        <v>0.206</v>
      </c>
      <c r="M187" s="4" t="inlineStr">
        <is>
          <t>Swift v2; UI shows 3 dp</t>
        </is>
      </c>
    </row>
    <row r="188">
      <c r="A188" s="4" t="inlineStr">
        <is>
          <t>BSC → SOL</t>
        </is>
      </c>
      <c r="B188" s="4" t="n">
        <v>3</v>
      </c>
      <c r="C188" s="4" t="inlineStr">
        <is>
          <t>Mayan</t>
        </is>
      </c>
      <c r="D188" s="18" t="n">
        <v>99.63139200000001</v>
      </c>
      <c r="E188" s="4" t="inlineStr"/>
      <c r="F188" s="18" t="n">
        <v>99.681</v>
      </c>
      <c r="G188" s="18" t="n"/>
      <c r="H188" s="16">
        <f>IF(ISNUMBER(F188),F188-N(G188),"")</f>
        <v/>
      </c>
      <c r="I188" s="15">
        <f>IF(AND(ISNUMBER(D188),ISNUMBER(H188)),(D188-H188)/100*10000,"")</f>
        <v/>
      </c>
      <c r="J188" s="18" t="n">
        <v>0.05</v>
      </c>
      <c r="K188" s="15">
        <f>IF(ISNUMBER(I188),I188+N(J188)/100*10000,"")</f>
        <v/>
      </c>
      <c r="L188" s="19" t="n">
        <v>0.3</v>
      </c>
      <c r="M188" s="4" t="inlineStr">
        <is>
          <t>Swift v2; UI shows 3 dp</t>
        </is>
      </c>
    </row>
    <row r="189">
      <c r="A189" s="4" t="inlineStr">
        <is>
          <t>BSC → SOL</t>
        </is>
      </c>
      <c r="B189" s="4" t="n">
        <v>3</v>
      </c>
      <c r="C189" s="4" t="inlineStr">
        <is>
          <t>Mayan</t>
        </is>
      </c>
      <c r="D189" s="18" t="n">
        <v>99.631328</v>
      </c>
      <c r="E189" s="4" t="inlineStr"/>
      <c r="F189" s="18" t="n">
        <v>99.681</v>
      </c>
      <c r="G189" s="18" t="n"/>
      <c r="H189" s="16">
        <f>IF(ISNUMBER(F189),F189-N(G189),"")</f>
        <v/>
      </c>
      <c r="I189" s="15">
        <f>IF(AND(ISNUMBER(D189),ISNUMBER(H189)),(D189-H189)/100*10000,"")</f>
        <v/>
      </c>
      <c r="J189" s="18" t="n">
        <v>0.05</v>
      </c>
      <c r="K189" s="15">
        <f>IF(ISNUMBER(I189),I189+N(J189)/100*10000,"")</f>
        <v/>
      </c>
      <c r="L189" s="19" t="n">
        <v>0.249</v>
      </c>
      <c r="M189" s="4" t="inlineStr">
        <is>
          <t>Swift v2; UI shows 3 dp</t>
        </is>
      </c>
    </row>
    <row r="190">
      <c r="A190" s="4" t="inlineStr">
        <is>
          <t>BSC → SOL</t>
        </is>
      </c>
      <c r="B190" s="4" t="n">
        <v>1</v>
      </c>
      <c r="C190" s="4" t="inlineStr">
        <is>
          <t>Husher</t>
        </is>
      </c>
      <c r="D190" s="18" t="n">
        <v>99.45025</v>
      </c>
      <c r="E190" s="4" t="inlineStr"/>
      <c r="F190" s="18" t="n">
        <v>99.34999999999999</v>
      </c>
      <c r="G190" s="18" t="n"/>
      <c r="H190" s="16">
        <f>IF(ISNUMBER(F190),F190-N(G190),"")</f>
        <v/>
      </c>
      <c r="I190" s="15">
        <f>IF(AND(ISNUMBER(D190),ISNUMBER(H190)),(D190-H190)/100*10000,"")</f>
        <v/>
      </c>
      <c r="J190" s="18" t="n">
        <v>0.05</v>
      </c>
      <c r="K190" s="15">
        <f>IF(ISNUMBER(I190),I190+N(J190)/100*10000,"")</f>
        <v/>
      </c>
      <c r="L190" s="19" t="n">
        <v>0.25</v>
      </c>
      <c r="M190" s="4" t="inlineStr"/>
    </row>
    <row r="191">
      <c r="A191" s="4" t="inlineStr">
        <is>
          <t>BSC → SOL</t>
        </is>
      </c>
      <c r="B191" s="4" t="n">
        <v>2</v>
      </c>
      <c r="C191" s="4" t="inlineStr">
        <is>
          <t>Husher</t>
        </is>
      </c>
      <c r="D191" s="18" t="n">
        <v>99.45025</v>
      </c>
      <c r="E191" s="4" t="inlineStr"/>
      <c r="F191" s="18" t="n">
        <v>99.34999999999999</v>
      </c>
      <c r="G191" s="18" t="n"/>
      <c r="H191" s="16">
        <f>IF(ISNUMBER(F191),F191-N(G191),"")</f>
        <v/>
      </c>
      <c r="I191" s="15">
        <f>IF(AND(ISNUMBER(D191),ISNUMBER(H191)),(D191-H191)/100*10000,"")</f>
        <v/>
      </c>
      <c r="J191" s="18" t="n">
        <v>0.05</v>
      </c>
      <c r="K191" s="15">
        <f>IF(ISNUMBER(I191),I191+N(J191)/100*10000,"")</f>
        <v/>
      </c>
      <c r="L191" s="19" t="n">
        <v>0.252</v>
      </c>
      <c r="M191" s="4" t="inlineStr"/>
    </row>
    <row r="192">
      <c r="A192" s="4" t="inlineStr">
        <is>
          <t>BSC → SOL</t>
        </is>
      </c>
      <c r="B192" s="4" t="n">
        <v>3</v>
      </c>
      <c r="C192" s="4" t="inlineStr">
        <is>
          <t>Husher</t>
        </is>
      </c>
      <c r="D192" s="18" t="n">
        <v>99.45025</v>
      </c>
      <c r="E192" s="4" t="inlineStr"/>
      <c r="F192" s="18" t="n">
        <v>99.34999999999999</v>
      </c>
      <c r="G192" s="18" t="n"/>
      <c r="H192" s="16">
        <f>IF(ISNUMBER(F192),F192-N(G192),"")</f>
        <v/>
      </c>
      <c r="I192" s="15">
        <f>IF(AND(ISNUMBER(D192),ISNUMBER(H192)),(D192-H192)/100*10000,"")</f>
        <v/>
      </c>
      <c r="J192" s="18" t="n">
        <v>0.05</v>
      </c>
      <c r="K192" s="15">
        <f>IF(ISNUMBER(I192),I192+N(J192)/100*10000,"")</f>
        <v/>
      </c>
      <c r="L192" s="19" t="n">
        <v>0.31</v>
      </c>
      <c r="M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Layerswap</t>
        </is>
      </c>
      <c r="D193" s="18" t="n">
        <v>99.496296</v>
      </c>
      <c r="E193" s="4" t="inlineStr"/>
      <c r="F193" s="18" t="n">
        <v>99.625559</v>
      </c>
      <c r="G193" s="18" t="n"/>
      <c r="H193" s="16">
        <f>IF(ISNUMBER(F193),F193-N(G193),"")</f>
        <v/>
      </c>
      <c r="I193" s="15">
        <f>IF(AND(ISNUMBER(D193),ISNUMBER(H193)),(D193-H193)/100*10000,"")</f>
        <v/>
      </c>
      <c r="J193" s="18" t="n">
        <v>0.05</v>
      </c>
      <c r="K193" s="15">
        <f>IF(ISNUMBER(I193),I193+N(J193)/100*10000,"")</f>
        <v/>
      </c>
      <c r="L193" s="19" t="n">
        <v>0.931</v>
      </c>
      <c r="M193" s="4" t="inlineStr"/>
    </row>
    <row r="194">
      <c r="A194" s="4" t="inlineStr">
        <is>
          <t>BSC → SOL</t>
        </is>
      </c>
      <c r="B194" s="4" t="n">
        <v>2</v>
      </c>
      <c r="C194" s="4" t="inlineStr">
        <is>
          <t>Layerswap</t>
        </is>
      </c>
      <c r="D194" s="18" t="n">
        <v>99.49648500000001</v>
      </c>
      <c r="E194" s="4" t="inlineStr"/>
      <c r="F194" s="18" t="n">
        <v>99.625749</v>
      </c>
      <c r="G194" s="18" t="n"/>
      <c r="H194" s="16">
        <f>IF(ISNUMBER(F194),F194-N(G194),"")</f>
        <v/>
      </c>
      <c r="I194" s="15">
        <f>IF(AND(ISNUMBER(D194),ISNUMBER(H194)),(D194-H194)/100*10000,"")</f>
        <v/>
      </c>
      <c r="J194" s="18" t="n">
        <v>0.05</v>
      </c>
      <c r="K194" s="15">
        <f>IF(ISNUMBER(I194),I194+N(J194)/100*10000,"")</f>
        <v/>
      </c>
      <c r="L194" s="19" t="n">
        <v>0.906</v>
      </c>
      <c r="M194" s="4" t="inlineStr"/>
    </row>
    <row r="195">
      <c r="A195" s="4" t="inlineStr">
        <is>
          <t>BSC → SOL</t>
        </is>
      </c>
      <c r="B195" s="4" t="n">
        <v>3</v>
      </c>
      <c r="C195" s="4" t="inlineStr">
        <is>
          <t>Layerswap</t>
        </is>
      </c>
      <c r="D195" s="18" t="n">
        <v>99.496348</v>
      </c>
      <c r="E195" s="4" t="inlineStr"/>
      <c r="F195" s="18" t="n">
        <v>99.62561100000001</v>
      </c>
      <c r="G195" s="18" t="n"/>
      <c r="H195" s="16">
        <f>IF(ISNUMBER(F195),F195-N(G195),"")</f>
        <v/>
      </c>
      <c r="I195" s="15">
        <f>IF(AND(ISNUMBER(D195),ISNUMBER(H195)),(D195-H195)/100*10000,"")</f>
        <v/>
      </c>
      <c r="J195" s="18" t="n">
        <v>0.05</v>
      </c>
      <c r="K195" s="15">
        <f>IF(ISNUMBER(I195),I195+N(J195)/100*10000,"")</f>
        <v/>
      </c>
      <c r="L195" s="19" t="n">
        <v>1.282</v>
      </c>
      <c r="M195" s="4" t="inlineStr"/>
    </row>
    <row r="196">
      <c r="A196" s="4" t="inlineStr">
        <is>
          <t>BSC → SOL</t>
        </is>
      </c>
      <c r="B196" s="4" t="n">
        <v>1</v>
      </c>
      <c r="C196" s="4" t="inlineStr">
        <is>
          <t>Meson</t>
        </is>
      </c>
      <c r="D196" s="18" t="n">
        <v>99.45025</v>
      </c>
      <c r="E196" s="4" t="inlineStr"/>
      <c r="F196" s="18" t="n">
        <v>99.59999999999999</v>
      </c>
      <c r="G196" s="18" t="n"/>
      <c r="H196" s="16">
        <f>IF(ISNUMBER(F196),F196-N(G196),"")</f>
        <v/>
      </c>
      <c r="I196" s="15">
        <f>IF(AND(ISNUMBER(D196),ISNUMBER(H196)),(D196-H196)/100*10000,"")</f>
        <v/>
      </c>
      <c r="J196" s="18" t="n">
        <v>0.05</v>
      </c>
      <c r="K196" s="15">
        <f>IF(ISNUMBER(I196),I196+N(J196)/100*10000,"")</f>
        <v/>
      </c>
      <c r="L196" s="19" t="n">
        <v>0.719</v>
      </c>
      <c r="M196" s="4" t="inlineStr"/>
    </row>
    <row r="197">
      <c r="A197" s="4" t="inlineStr">
        <is>
          <t>BSC → SOL</t>
        </is>
      </c>
      <c r="B197" s="4" t="n">
        <v>2</v>
      </c>
      <c r="C197" s="4" t="inlineStr">
        <is>
          <t>Meson</t>
        </is>
      </c>
      <c r="D197" s="18" t="n">
        <v>99.45025</v>
      </c>
      <c r="E197" s="4" t="inlineStr"/>
      <c r="F197" s="18" t="n">
        <v>99.59999999999999</v>
      </c>
      <c r="G197" s="18" t="n"/>
      <c r="H197" s="16">
        <f>IF(ISNUMBER(F197),F197-N(G197),"")</f>
        <v/>
      </c>
      <c r="I197" s="15">
        <f>IF(AND(ISNUMBER(D197),ISNUMBER(H197)),(D197-H197)/100*10000,"")</f>
        <v/>
      </c>
      <c r="J197" s="18" t="n">
        <v>0.05</v>
      </c>
      <c r="K197" s="15">
        <f>IF(ISNUMBER(I197),I197+N(J197)/100*10000,"")</f>
        <v/>
      </c>
      <c r="L197" s="19" t="n">
        <v>0.77</v>
      </c>
      <c r="M197" s="4" t="inlineStr"/>
    </row>
    <row r="198">
      <c r="A198" s="4" t="inlineStr">
        <is>
          <t>BSC → SOL</t>
        </is>
      </c>
      <c r="B198" s="4" t="n">
        <v>3</v>
      </c>
      <c r="C198" s="4" t="inlineStr">
        <is>
          <t>Meson</t>
        </is>
      </c>
      <c r="D198" s="18" t="n">
        <v>99.45025</v>
      </c>
      <c r="E198" s="4" t="inlineStr"/>
      <c r="F198" s="18" t="n">
        <v>99.59999999999999</v>
      </c>
      <c r="G198" s="18" t="n"/>
      <c r="H198" s="16">
        <f>IF(ISNUMBER(F198),F198-N(G198),"")</f>
        <v/>
      </c>
      <c r="I198" s="15">
        <f>IF(AND(ISNUMBER(D198),ISNUMBER(H198)),(D198-H198)/100*10000,"")</f>
        <v/>
      </c>
      <c r="J198" s="18" t="n">
        <v>0.05</v>
      </c>
      <c r="K198" s="15">
        <f>IF(ISNUMBER(I198),I198+N(J198)/100*10000,"")</f>
        <v/>
      </c>
      <c r="L198" s="19" t="n">
        <v>0.671</v>
      </c>
      <c r="M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SimpleSwap</t>
        </is>
      </c>
      <c r="D199" s="18" t="n">
        <v>97.553332</v>
      </c>
      <c r="E199" s="4" t="inlineStr"/>
      <c r="F199" s="18" t="n">
        <v>98.180301</v>
      </c>
      <c r="G199" s="18" t="n"/>
      <c r="H199" s="16">
        <f>IF(ISNUMBER(F199),F199-N(G199),"")</f>
        <v/>
      </c>
      <c r="I199" s="15">
        <f>IF(AND(ISNUMBER(D199),ISNUMBER(H199)),(D199-H199)/100*10000,"")</f>
        <v/>
      </c>
      <c r="J199" s="18" t="n">
        <v>0.05</v>
      </c>
      <c r="K199" s="15">
        <f>IF(ISNUMBER(I199),I199+N(J199)/100*10000,"")</f>
        <v/>
      </c>
      <c r="L199" s="19" t="n">
        <v>2.095</v>
      </c>
      <c r="M199" s="4" t="inlineStr">
        <is>
          <t>selected card: Best rate; best card 98.180301</t>
        </is>
      </c>
    </row>
    <row r="200">
      <c r="A200" s="4" t="inlineStr">
        <is>
          <t>BSC → SOL</t>
        </is>
      </c>
      <c r="B200" s="4" t="n">
        <v>2</v>
      </c>
      <c r="C200" s="4" t="inlineStr">
        <is>
          <t>SimpleSwap</t>
        </is>
      </c>
      <c r="D200" s="18" t="n">
        <v>97.549718</v>
      </c>
      <c r="E200" s="4" t="inlineStr"/>
      <c r="F200" s="18" t="n">
        <v>98.180301</v>
      </c>
      <c r="G200" s="18" t="n"/>
      <c r="H200" s="16">
        <f>IF(ISNUMBER(F200),F200-N(G200),"")</f>
        <v/>
      </c>
      <c r="I200" s="15">
        <f>IF(AND(ISNUMBER(D200),ISNUMBER(H200)),(D200-H200)/100*10000,"")</f>
        <v/>
      </c>
      <c r="J200" s="18" t="n">
        <v>0.05</v>
      </c>
      <c r="K200" s="15">
        <f>IF(ISNUMBER(I200),I200+N(J200)/100*10000,"")</f>
        <v/>
      </c>
      <c r="L200" s="19" t="n">
        <v>1.225</v>
      </c>
      <c r="M200" s="4" t="inlineStr">
        <is>
          <t>selected card: Best rate; best card 98.180301</t>
        </is>
      </c>
    </row>
    <row r="201">
      <c r="A201" s="4" t="inlineStr">
        <is>
          <t>BSC → SOL</t>
        </is>
      </c>
      <c r="B201" s="4" t="n">
        <v>3</v>
      </c>
      <c r="C201" s="4" t="inlineStr">
        <is>
          <t>SimpleSwap</t>
        </is>
      </c>
      <c r="D201" s="18" t="n">
        <v>97.55382400000001</v>
      </c>
      <c r="E201" s="4" t="inlineStr"/>
      <c r="F201" s="18" t="n">
        <v>98.180301</v>
      </c>
      <c r="G201" s="18" t="n"/>
      <c r="H201" s="16">
        <f>IF(ISNUMBER(F201),F201-N(G201),"")</f>
        <v/>
      </c>
      <c r="I201" s="15">
        <f>IF(AND(ISNUMBER(D201),ISNUMBER(H201)),(D201-H201)/100*10000,"")</f>
        <v/>
      </c>
      <c r="J201" s="18" t="n">
        <v>0.05</v>
      </c>
      <c r="K201" s="15">
        <f>IF(ISNUMBER(I201),I201+N(J201)/100*10000,"")</f>
        <v/>
      </c>
      <c r="L201" s="19" t="n">
        <v>1.835</v>
      </c>
      <c r="M201" s="4" t="inlineStr">
        <is>
          <t>selected card: Best rate; best card 98.180301</t>
        </is>
      </c>
    </row>
    <row r="202">
      <c r="A202" s="4" t="inlineStr">
        <is>
          <t>BSC → SOL</t>
        </is>
      </c>
      <c r="B202" s="4" t="n">
        <v>1</v>
      </c>
      <c r="C202" s="4" t="inlineStr">
        <is>
          <t>Symbiosis</t>
        </is>
      </c>
      <c r="D202" s="18" t="n">
        <v>98.417542</v>
      </c>
      <c r="E202" s="4" t="inlineStr"/>
      <c r="F202" s="18" t="n">
        <v>98.417542</v>
      </c>
      <c r="G202" s="18" t="n"/>
      <c r="H202" s="16">
        <f>IF(ISNUMBER(F202),F202-N(G202),"")</f>
        <v/>
      </c>
      <c r="I202" s="15">
        <f>IF(AND(ISNUMBER(D202),ISNUMBER(H202)),(D202-H202)/100*10000,"")</f>
        <v/>
      </c>
      <c r="J202" s="18" t="n">
        <v>0.05</v>
      </c>
      <c r="K202" s="15">
        <f>IF(ISNUMBER(I202),I202+N(J202)/100*10000,"")</f>
        <v/>
      </c>
      <c r="L202" s="19" t="n">
        <v>1.753</v>
      </c>
      <c r="M202" s="4" t="inlineStr"/>
    </row>
    <row r="203">
      <c r="A203" s="4" t="inlineStr">
        <is>
          <t>BSC → SOL</t>
        </is>
      </c>
      <c r="B203" s="4" t="n">
        <v>2</v>
      </c>
      <c r="C203" s="4" t="inlineStr">
        <is>
          <t>Symbiosis</t>
        </is>
      </c>
      <c r="D203" s="18" t="n">
        <v>98.419611</v>
      </c>
      <c r="E203" s="4" t="inlineStr"/>
      <c r="F203" s="18" t="n">
        <v>98.42948699999999</v>
      </c>
      <c r="G203" s="18" t="n"/>
      <c r="H203" s="16">
        <f>IF(ISNUMBER(F203),F203-N(G203),"")</f>
        <v/>
      </c>
      <c r="I203" s="15">
        <f>IF(AND(ISNUMBER(D203),ISNUMBER(H203)),(D203-H203)/100*10000,"")</f>
        <v/>
      </c>
      <c r="J203" s="18" t="n">
        <v>0.05</v>
      </c>
      <c r="K203" s="15">
        <f>IF(ISNUMBER(I203),I203+N(J203)/100*10000,"")</f>
        <v/>
      </c>
      <c r="L203" s="19" t="n">
        <v>1.66</v>
      </c>
      <c r="M203" s="4" t="inlineStr"/>
    </row>
    <row r="204">
      <c r="A204" s="4" t="inlineStr">
        <is>
          <t>BSC → SOL</t>
        </is>
      </c>
      <c r="B204" s="4" t="n">
        <v>3</v>
      </c>
      <c r="C204" s="4" t="inlineStr">
        <is>
          <t>Symbiosis</t>
        </is>
      </c>
      <c r="D204" s="18" t="n">
        <v>98.41977300000001</v>
      </c>
      <c r="E204" s="4" t="inlineStr"/>
      <c r="F204" s="18" t="n">
        <v>98.41977300000001</v>
      </c>
      <c r="G204" s="18" t="n"/>
      <c r="H204" s="16">
        <f>IF(ISNUMBER(F204),F204-N(G204),"")</f>
        <v/>
      </c>
      <c r="I204" s="15">
        <f>IF(AND(ISNUMBER(D204),ISNUMBER(H204)),(D204-H204)/100*10000,"")</f>
        <v/>
      </c>
      <c r="J204" s="18" t="n">
        <v>0.05</v>
      </c>
      <c r="K204" s="15">
        <f>IF(ISNUMBER(I204),I204+N(J204)/100*10000,"")</f>
        <v/>
      </c>
      <c r="L204" s="19" t="n">
        <v>1.735</v>
      </c>
      <c r="M204" s="4" t="inlineStr"/>
    </row>
    <row r="205">
      <c r="A205" s="4" t="inlineStr">
        <is>
          <t>SOL → Base</t>
        </is>
      </c>
      <c r="B205" s="4" t="n">
        <v>1</v>
      </c>
      <c r="C205" s="4" t="inlineStr">
        <is>
          <t>Relay</t>
        </is>
      </c>
      <c r="D205" s="18" t="n">
        <v>99.90042800000001</v>
      </c>
      <c r="E205" s="4" t="inlineStr"/>
      <c r="F205" s="18" t="n">
        <v>99.95219899999999</v>
      </c>
      <c r="G205" s="18" t="n"/>
      <c r="H205" s="16">
        <f>IF(ISNUMBER(F205),F205-N(G205),"")</f>
        <v/>
      </c>
      <c r="I205" s="15">
        <f>IF(AND(ISNUMBER(D205),ISNUMBER(H205)),(D205-H205)/100*10000,"")</f>
        <v/>
      </c>
      <c r="J205" s="18" t="n">
        <v>0.05</v>
      </c>
      <c r="K205" s="15">
        <f>IF(ISNUMBER(I205),I205+N(J205)/100*10000,"")</f>
        <v/>
      </c>
      <c r="L205" s="19" t="n">
        <v>0.267</v>
      </c>
      <c r="M205" s="4" t="inlineStr"/>
    </row>
    <row r="206">
      <c r="A206" s="4" t="inlineStr">
        <is>
          <t>SOL → Base</t>
        </is>
      </c>
      <c r="B206" s="4" t="n">
        <v>1</v>
      </c>
      <c r="C206" s="4" t="inlineStr">
        <is>
          <t>Relay</t>
        </is>
      </c>
      <c r="D206" s="18" t="n">
        <v>99.900656</v>
      </c>
      <c r="E206" s="4" t="inlineStr"/>
      <c r="F206" s="18" t="n">
        <v>99.952371</v>
      </c>
      <c r="G206" s="18" t="n"/>
      <c r="H206" s="16">
        <f>IF(ISNUMBER(F206),F206-N(G206),"")</f>
        <v/>
      </c>
      <c r="I206" s="15">
        <f>IF(AND(ISNUMBER(D206),ISNUMBER(H206)),(D206-H206)/100*10000,"")</f>
        <v/>
      </c>
      <c r="J206" s="18" t="n">
        <v>0.05</v>
      </c>
      <c r="K206" s="15">
        <f>IF(ISNUMBER(I206),I206+N(J206)/100*10000,"")</f>
        <v/>
      </c>
      <c r="L206" s="19" t="n">
        <v>0.538</v>
      </c>
      <c r="M206" s="4" t="inlineStr"/>
    </row>
    <row r="207">
      <c r="A207" s="4" t="inlineStr">
        <is>
          <t>SOL → Base</t>
        </is>
      </c>
      <c r="B207" s="4" t="n">
        <v>2</v>
      </c>
      <c r="C207" s="4" t="inlineStr">
        <is>
          <t>Relay</t>
        </is>
      </c>
      <c r="D207" s="18" t="n">
        <v>99.90107500000001</v>
      </c>
      <c r="E207" s="4" t="inlineStr"/>
      <c r="F207" s="18" t="n">
        <v>99.952681</v>
      </c>
      <c r="G207" s="18" t="n"/>
      <c r="H207" s="16">
        <f>IF(ISNUMBER(F207),F207-N(G207),"")</f>
        <v/>
      </c>
      <c r="I207" s="15">
        <f>IF(AND(ISNUMBER(D207),ISNUMBER(H207)),(D207-H207)/100*10000,"")</f>
        <v/>
      </c>
      <c r="J207" s="18" t="n">
        <v>0.05</v>
      </c>
      <c r="K207" s="15">
        <f>IF(ISNUMBER(I207),I207+N(J207)/100*10000,"")</f>
        <v/>
      </c>
      <c r="L207" s="19" t="n">
        <v>0.537</v>
      </c>
      <c r="M207" s="4" t="inlineStr"/>
    </row>
    <row r="208">
      <c r="A208" s="4" t="inlineStr">
        <is>
          <t>SOL → Base</t>
        </is>
      </c>
      <c r="B208" s="4" t="n">
        <v>2</v>
      </c>
      <c r="C208" s="4" t="inlineStr">
        <is>
          <t>Relay</t>
        </is>
      </c>
      <c r="D208" s="18" t="n">
        <v>99.901717</v>
      </c>
      <c r="E208" s="4" t="inlineStr"/>
      <c r="F208" s="18" t="n">
        <v>99.953163</v>
      </c>
      <c r="G208" s="18" t="n"/>
      <c r="H208" s="16">
        <f>IF(ISNUMBER(F208),F208-N(G208),"")</f>
        <v/>
      </c>
      <c r="I208" s="15">
        <f>IF(AND(ISNUMBER(D208),ISNUMBER(H208)),(D208-H208)/100*10000,"")</f>
        <v/>
      </c>
      <c r="J208" s="18" t="n">
        <v>0.05</v>
      </c>
      <c r="K208" s="15">
        <f>IF(ISNUMBER(I208),I208+N(J208)/100*10000,"")</f>
        <v/>
      </c>
      <c r="L208" s="19" t="n">
        <v>0.5659999999999999</v>
      </c>
      <c r="M208" s="4" t="inlineStr"/>
    </row>
    <row r="209">
      <c r="A209" s="4" t="inlineStr">
        <is>
          <t>SOL → Base</t>
        </is>
      </c>
      <c r="B209" s="4" t="n">
        <v>3</v>
      </c>
      <c r="C209" s="4" t="inlineStr">
        <is>
          <t>Relay</t>
        </is>
      </c>
      <c r="D209" s="18" t="n">
        <v>99.90131100000001</v>
      </c>
      <c r="E209" s="4" t="inlineStr"/>
      <c r="F209" s="18" t="n">
        <v>99.95285800000001</v>
      </c>
      <c r="G209" s="18" t="n"/>
      <c r="H209" s="16">
        <f>IF(ISNUMBER(F209),F209-N(G209),"")</f>
        <v/>
      </c>
      <c r="I209" s="15">
        <f>IF(AND(ISNUMBER(D209),ISNUMBER(H209)),(D209-H209)/100*10000,"")</f>
        <v/>
      </c>
      <c r="J209" s="18" t="n">
        <v>0.05</v>
      </c>
      <c r="K209" s="15">
        <f>IF(ISNUMBER(I209),I209+N(J209)/100*10000,"")</f>
        <v/>
      </c>
      <c r="L209" s="19" t="n">
        <v>0.544</v>
      </c>
      <c r="M209" s="4" t="inlineStr"/>
    </row>
    <row r="210">
      <c r="A210" s="4" t="inlineStr">
        <is>
          <t>SOL → Base</t>
        </is>
      </c>
      <c r="B210" s="4" t="n">
        <v>3</v>
      </c>
      <c r="C210" s="4" t="inlineStr">
        <is>
          <t>Relay</t>
        </is>
      </c>
      <c r="D210" s="18" t="n">
        <v>99.902247</v>
      </c>
      <c r="E210" s="4" t="inlineStr"/>
      <c r="F210" s="18" t="n">
        <v>99.951452</v>
      </c>
      <c r="G210" s="18" t="n"/>
      <c r="H210" s="16">
        <f>IF(ISNUMBER(F210),F210-N(G210),"")</f>
        <v/>
      </c>
      <c r="I210" s="15">
        <f>IF(AND(ISNUMBER(D210),ISNUMBER(H210)),(D210-H210)/100*10000,"")</f>
        <v/>
      </c>
      <c r="J210" s="18" t="n">
        <v>0.05</v>
      </c>
      <c r="K210" s="15">
        <f>IF(ISNUMBER(I210),I210+N(J210)/100*10000,"")</f>
        <v/>
      </c>
      <c r="L210" s="19" t="n">
        <v>1.051</v>
      </c>
      <c r="M210" s="4" t="inlineStr"/>
    </row>
    <row r="211">
      <c r="A211" s="4" t="inlineStr">
        <is>
          <t>SOL → Base</t>
        </is>
      </c>
      <c r="B211" s="4" t="n">
        <v>1</v>
      </c>
      <c r="C211" s="4" t="inlineStr">
        <is>
          <t>deBridge</t>
        </is>
      </c>
      <c r="D211" s="18" t="n">
        <v>98.84791</v>
      </c>
      <c r="E211" s="4" t="inlineStr"/>
      <c r="F211" s="18" t="n">
        <v>99.920018</v>
      </c>
      <c r="G211" s="18" t="n">
        <v>1.073</v>
      </c>
      <c r="H211" s="16">
        <f>IF(ISNUMBER(F211),F211-N(G211),"")</f>
        <v/>
      </c>
      <c r="I211" s="15">
        <f>IF(AND(ISNUMBER(D211),ISNUMBER(H211)),(D211-H211)/100*10000,"")</f>
        <v/>
      </c>
      <c r="J211" s="18" t="n">
        <v>0.05</v>
      </c>
      <c r="K211" s="15">
        <f>IF(ISNUMBER(I211),I211+N(J211)/100*10000,"")</f>
        <v/>
      </c>
      <c r="L211" s="19" t="n">
        <v>0.013</v>
      </c>
      <c r="M211" s="4" t="inlineStr">
        <is>
          <t>+1.073 USDC charged on top of 100 input (subtracted)</t>
        </is>
      </c>
    </row>
    <row r="212">
      <c r="A212" s="4" t="inlineStr">
        <is>
          <t>SOL → Base</t>
        </is>
      </c>
      <c r="B212" s="4" t="n">
        <v>1</v>
      </c>
      <c r="C212" s="4" t="inlineStr">
        <is>
          <t>deBridge</t>
        </is>
      </c>
      <c r="D212" s="18" t="n">
        <v>98.84984799999999</v>
      </c>
      <c r="E212" s="4" t="inlineStr"/>
      <c r="F212" s="18" t="n">
        <v>99.920018</v>
      </c>
      <c r="G212" s="18" t="n">
        <v>1.071</v>
      </c>
      <c r="H212" s="16">
        <f>IF(ISNUMBER(F212),F212-N(G212),"")</f>
        <v/>
      </c>
      <c r="I212" s="15">
        <f>IF(AND(ISNUMBER(D212),ISNUMBER(H212)),(D212-H212)/100*10000,"")</f>
        <v/>
      </c>
      <c r="J212" s="18" t="n">
        <v>0.05</v>
      </c>
      <c r="K212" s="15">
        <f>IF(ISNUMBER(I212),I212+N(J212)/100*10000,"")</f>
        <v/>
      </c>
      <c r="L212" s="19" t="n">
        <v>0.489</v>
      </c>
      <c r="M212" s="4" t="inlineStr">
        <is>
          <t>+1.071 USDC charged on top of 100 input (subtracted)</t>
        </is>
      </c>
    </row>
    <row r="213">
      <c r="A213" s="4" t="inlineStr">
        <is>
          <t>SOL → Base</t>
        </is>
      </c>
      <c r="B213" s="4" t="n">
        <v>2</v>
      </c>
      <c r="C213" s="4" t="inlineStr">
        <is>
          <t>deBridge</t>
        </is>
      </c>
      <c r="D213" s="18" t="n">
        <v>98.852577</v>
      </c>
      <c r="E213" s="4" t="inlineStr"/>
      <c r="F213" s="18" t="n">
        <v>99.920018</v>
      </c>
      <c r="G213" s="18" t="n">
        <v>1.0683</v>
      </c>
      <c r="H213" s="16">
        <f>IF(ISNUMBER(F213),F213-N(G213),"")</f>
        <v/>
      </c>
      <c r="I213" s="15">
        <f>IF(AND(ISNUMBER(D213),ISNUMBER(H213)),(D213-H213)/100*10000,"")</f>
        <v/>
      </c>
      <c r="J213" s="18" t="n">
        <v>0.05</v>
      </c>
      <c r="K213" s="15">
        <f>IF(ISNUMBER(I213),I213+N(J213)/100*10000,"")</f>
        <v/>
      </c>
      <c r="L213" s="19" t="n">
        <v>0.537</v>
      </c>
      <c r="M213" s="4" t="inlineStr">
        <is>
          <t>+1.0683 USDC charged on top of 100 input (subtracted)</t>
        </is>
      </c>
    </row>
    <row r="214">
      <c r="A214" s="4" t="inlineStr">
        <is>
          <t>SOL → Base</t>
        </is>
      </c>
      <c r="B214" s="4" t="n">
        <v>2</v>
      </c>
      <c r="C214" s="4" t="inlineStr">
        <is>
          <t>deBridge</t>
        </is>
      </c>
      <c r="D214" s="18" t="n">
        <v>98.853369</v>
      </c>
      <c r="E214" s="4" t="inlineStr"/>
      <c r="F214" s="18" t="n">
        <v>99.880033</v>
      </c>
      <c r="G214" s="18" t="n">
        <v>1.5699</v>
      </c>
      <c r="H214" s="16">
        <f>IF(ISNUMBER(F214),F214-N(G214),"")</f>
        <v/>
      </c>
      <c r="I214" s="15">
        <f>IF(AND(ISNUMBER(D214),ISNUMBER(H214)),(D214-H214)/100*10000,"")</f>
        <v/>
      </c>
      <c r="J214" s="18" t="n">
        <v>0.05</v>
      </c>
      <c r="K214" s="15">
        <f>IF(ISNUMBER(I214),I214+N(J214)/100*10000,"")</f>
        <v/>
      </c>
      <c r="L214" s="19" t="n">
        <v>1.16</v>
      </c>
      <c r="M214" s="4" t="inlineStr">
        <is>
          <t>+1.5699 USDC charged on top of 100 input (subtracted)</t>
        </is>
      </c>
    </row>
    <row r="215">
      <c r="A215" s="4" t="inlineStr">
        <is>
          <t>SOL → Base</t>
        </is>
      </c>
      <c r="B215" s="4" t="n">
        <v>3</v>
      </c>
      <c r="C215" s="4" t="inlineStr">
        <is>
          <t>deBridge</t>
        </is>
      </c>
      <c r="D215" s="18" t="n">
        <v>98.854421</v>
      </c>
      <c r="E215" s="4" t="inlineStr"/>
      <c r="F215" s="18" t="n">
        <v>99.920018</v>
      </c>
      <c r="G215" s="18" t="n">
        <v>1.0664</v>
      </c>
      <c r="H215" s="16">
        <f>IF(ISNUMBER(F215),F215-N(G215),"")</f>
        <v/>
      </c>
      <c r="I215" s="15">
        <f>IF(AND(ISNUMBER(D215),ISNUMBER(H215)),(D215-H215)/100*10000,"")</f>
        <v/>
      </c>
      <c r="J215" s="18" t="n">
        <v>0.05</v>
      </c>
      <c r="K215" s="15">
        <f>IF(ISNUMBER(I215),I215+N(J215)/100*10000,"")</f>
        <v/>
      </c>
      <c r="L215" s="19" t="n">
        <v>0.544</v>
      </c>
      <c r="M215" s="4" t="inlineStr">
        <is>
          <t>+1.0664 USDC charged on top of 100 input (subtracted)</t>
        </is>
      </c>
    </row>
    <row r="216">
      <c r="A216" s="4" t="inlineStr">
        <is>
          <t>SOL → Base</t>
        </is>
      </c>
      <c r="B216" s="4" t="n">
        <v>3</v>
      </c>
      <c r="C216" s="4" t="inlineStr">
        <is>
          <t>deBridge</t>
        </is>
      </c>
      <c r="D216" s="18" t="n">
        <v>98.853221</v>
      </c>
      <c r="E216" s="4" t="inlineStr"/>
      <c r="F216" s="18" t="n">
        <v>99.880033</v>
      </c>
      <c r="G216" s="18" t="n">
        <v>1.5705</v>
      </c>
      <c r="H216" s="16">
        <f>IF(ISNUMBER(F216),F216-N(G216),"")</f>
        <v/>
      </c>
      <c r="I216" s="15">
        <f>IF(AND(ISNUMBER(D216),ISNUMBER(H216)),(D216-H216)/100*10000,"")</f>
        <v/>
      </c>
      <c r="J216" s="18" t="n">
        <v>0.05</v>
      </c>
      <c r="K216" s="15">
        <f>IF(ISNUMBER(I216),I216+N(J216)/100*10000,"")</f>
        <v/>
      </c>
      <c r="L216" s="19" t="n">
        <v>0.751</v>
      </c>
      <c r="M216" s="4" t="inlineStr">
        <is>
          <t>+1.5705 USDC charged on top of 100 input (subtracted)</t>
        </is>
      </c>
    </row>
    <row r="217">
      <c r="A217" s="4" t="inlineStr">
        <is>
          <t>SOL → Base</t>
        </is>
      </c>
      <c r="B217" s="4" t="n">
        <v>1</v>
      </c>
      <c r="C217" s="4" t="inlineStr">
        <is>
          <t>LI.FI (Jumper)</t>
        </is>
      </c>
      <c r="D217" s="18" t="n">
        <v>99.500625</v>
      </c>
      <c r="E217" s="4" t="inlineStr"/>
      <c r="F217" s="18" t="n">
        <v>100</v>
      </c>
      <c r="G217" s="18" t="n"/>
      <c r="H217" s="16">
        <f>IF(ISNUMBER(F217),F217-N(G217),"")</f>
        <v/>
      </c>
      <c r="I217" s="15">
        <f>IF(AND(ISNUMBER(D217),ISNUMBER(H217)),(D217-H217)/100*10000,"")</f>
        <v/>
      </c>
      <c r="J217" s="18" t="n">
        <v>0.05</v>
      </c>
      <c r="K217" s="15">
        <f>IF(ISNUMBER(I217),I217+N(J217)/100*10000,"")</f>
        <v/>
      </c>
      <c r="L217" s="19" t="n">
        <v>0.553</v>
      </c>
      <c r="M217" s="4" t="inlineStr">
        <is>
          <t>Jumper Best Return via Eco; max route 100.0</t>
        </is>
      </c>
    </row>
    <row r="218">
      <c r="A218" s="4" t="inlineStr">
        <is>
          <t>SOL → Base</t>
        </is>
      </c>
      <c r="B218" s="4" t="n">
        <v>1</v>
      </c>
      <c r="C218" s="4" t="inlineStr">
        <is>
          <t>LI.FI (Jumper)</t>
        </is>
      </c>
      <c r="D218" s="18" t="n">
        <v>99.500625</v>
      </c>
      <c r="E218" s="4" t="inlineStr"/>
      <c r="F218" s="18" t="n">
        <v>100</v>
      </c>
      <c r="G218" s="18" t="n"/>
      <c r="H218" s="16">
        <f>IF(ISNUMBER(F218),F218-N(G218),"")</f>
        <v/>
      </c>
      <c r="I218" s="15">
        <f>IF(AND(ISNUMBER(D218),ISNUMBER(H218)),(D218-H218)/100*10000,"")</f>
        <v/>
      </c>
      <c r="J218" s="18" t="n">
        <v>0.05</v>
      </c>
      <c r="K218" s="15">
        <f>IF(ISNUMBER(I218),I218+N(J218)/100*10000,"")</f>
        <v/>
      </c>
      <c r="L218" s="19" t="n">
        <v>1.245</v>
      </c>
      <c r="M218" s="4" t="inlineStr">
        <is>
          <t>Jumper Best Return via Eco; max route 100.0</t>
        </is>
      </c>
    </row>
    <row r="219">
      <c r="A219" s="4" t="inlineStr">
        <is>
          <t>SOL → Base</t>
        </is>
      </c>
      <c r="B219" s="4" t="n">
        <v>2</v>
      </c>
      <c r="C219" s="4" t="inlineStr">
        <is>
          <t>LI.FI (Jumper)</t>
        </is>
      </c>
      <c r="D219" s="18" t="n">
        <v>99.500625</v>
      </c>
      <c r="E219" s="4" t="inlineStr"/>
      <c r="F219" s="18" t="n">
        <v>100</v>
      </c>
      <c r="G219" s="18" t="n"/>
      <c r="H219" s="16">
        <f>IF(ISNUMBER(F219),F219-N(G219),"")</f>
        <v/>
      </c>
      <c r="I219" s="15">
        <f>IF(AND(ISNUMBER(D219),ISNUMBER(H219)),(D219-H219)/100*10000,"")</f>
        <v/>
      </c>
      <c r="J219" s="18" t="n">
        <v>0.05</v>
      </c>
      <c r="K219" s="15">
        <f>IF(ISNUMBER(I219),I219+N(J219)/100*10000,"")</f>
        <v/>
      </c>
      <c r="L219" s="19" t="n">
        <v>1.778</v>
      </c>
      <c r="M219" s="4" t="inlineStr">
        <is>
          <t>Jumper Best Return via Eco; max route 100.0</t>
        </is>
      </c>
    </row>
    <row r="220">
      <c r="A220" s="4" t="inlineStr">
        <is>
          <t>SOL → Base</t>
        </is>
      </c>
      <c r="B220" s="4" t="n">
        <v>2</v>
      </c>
      <c r="C220" s="4" t="inlineStr">
        <is>
          <t>LI.FI (Jumper)</t>
        </is>
      </c>
      <c r="D220" s="18" t="n">
        <v>99.500625</v>
      </c>
      <c r="E220" s="4" t="inlineStr"/>
      <c r="F220" s="18" t="n">
        <v>100</v>
      </c>
      <c r="G220" s="18" t="n"/>
      <c r="H220" s="16">
        <f>IF(ISNUMBER(F220),F220-N(G220),"")</f>
        <v/>
      </c>
      <c r="I220" s="15">
        <f>IF(AND(ISNUMBER(D220),ISNUMBER(H220)),(D220-H220)/100*10000,"")</f>
        <v/>
      </c>
      <c r="J220" s="18" t="n">
        <v>0.05</v>
      </c>
      <c r="K220" s="15">
        <f>IF(ISNUMBER(I220),I220+N(J220)/100*10000,"")</f>
        <v/>
      </c>
      <c r="L220" s="19" t="n">
        <v>1.36</v>
      </c>
      <c r="M220" s="4" t="inlineStr">
        <is>
          <t>Jumper Best Return via Eco; max route 100.0</t>
        </is>
      </c>
    </row>
    <row r="221">
      <c r="A221" s="4" t="inlineStr">
        <is>
          <t>SOL → Base</t>
        </is>
      </c>
      <c r="B221" s="4" t="n">
        <v>3</v>
      </c>
      <c r="C221" s="4" t="inlineStr">
        <is>
          <t>LI.FI (Jumper)</t>
        </is>
      </c>
      <c r="D221" s="18" t="n">
        <v>99.500625</v>
      </c>
      <c r="E221" s="4" t="inlineStr"/>
      <c r="F221" s="18" t="n">
        <v>100</v>
      </c>
      <c r="G221" s="18" t="n"/>
      <c r="H221" s="16">
        <f>IF(ISNUMBER(F221),F221-N(G221),"")</f>
        <v/>
      </c>
      <c r="I221" s="15">
        <f>IF(AND(ISNUMBER(D221),ISNUMBER(H221)),(D221-H221)/100*10000,"")</f>
        <v/>
      </c>
      <c r="J221" s="18" t="n">
        <v>0.05</v>
      </c>
      <c r="K221" s="15">
        <f>IF(ISNUMBER(I221),I221+N(J221)/100*10000,"")</f>
        <v/>
      </c>
      <c r="L221" s="19" t="n">
        <v>1.78</v>
      </c>
      <c r="M221" s="4" t="inlineStr">
        <is>
          <t>Jumper Best Return via Eco; max route 100.0</t>
        </is>
      </c>
    </row>
    <row r="222">
      <c r="A222" s="4" t="inlineStr">
        <is>
          <t>SOL → Base</t>
        </is>
      </c>
      <c r="B222" s="4" t="n">
        <v>3</v>
      </c>
      <c r="C222" s="4" t="inlineStr">
        <is>
          <t>LI.FI (Jumper)</t>
        </is>
      </c>
      <c r="D222" s="18" t="n">
        <v>99.500625</v>
      </c>
      <c r="E222" s="4" t="inlineStr"/>
      <c r="F222" s="18" t="n">
        <v>100</v>
      </c>
      <c r="G222" s="18" t="n"/>
      <c r="H222" s="16">
        <f>IF(ISNUMBER(F222),F222-N(G222),"")</f>
        <v/>
      </c>
      <c r="I222" s="15">
        <f>IF(AND(ISNUMBER(D222),ISNUMBER(H222)),(D222-H222)/100*10000,"")</f>
        <v/>
      </c>
      <c r="J222" s="18" t="n">
        <v>0.05</v>
      </c>
      <c r="K222" s="15">
        <f>IF(ISNUMBER(I222),I222+N(J222)/100*10000,"")</f>
        <v/>
      </c>
      <c r="L222" s="19" t="n">
        <v>1.04</v>
      </c>
      <c r="M222" s="4" t="inlineStr">
        <is>
          <t>Jumper Best Return via Eco; max route 100.0</t>
        </is>
      </c>
    </row>
    <row r="223">
      <c r="A223" s="4" t="inlineStr">
        <is>
          <t>SOL → Base</t>
        </is>
      </c>
      <c r="B223" s="4" t="n">
        <v>1</v>
      </c>
      <c r="C223" s="4" t="inlineStr">
        <is>
          <t>Across</t>
        </is>
      </c>
      <c r="D223" s="18" t="n">
        <v>99.940005</v>
      </c>
      <c r="E223" s="4" t="inlineStr"/>
      <c r="F223" s="18" t="n">
        <v>99.98999999999999</v>
      </c>
      <c r="G223" s="18" t="n"/>
      <c r="H223" s="16">
        <f>IF(ISNUMBER(F223),F223-N(G223),"")</f>
        <v/>
      </c>
      <c r="I223" s="15">
        <f>IF(AND(ISNUMBER(D223),ISNUMBER(H223)),(D223-H223)/100*10000,"")</f>
        <v/>
      </c>
      <c r="J223" s="18" t="n">
        <v>0.05</v>
      </c>
      <c r="K223" s="15">
        <f>IF(ISNUMBER(I223),I223+N(J223)/100*10000,"")</f>
        <v/>
      </c>
      <c r="L223" s="19" t="n">
        <v>0.493</v>
      </c>
      <c r="M223" s="4" t="inlineStr"/>
    </row>
    <row r="224">
      <c r="A224" s="4" t="inlineStr">
        <is>
          <t>SOL → Base</t>
        </is>
      </c>
      <c r="B224" s="4" t="n">
        <v>1</v>
      </c>
      <c r="C224" s="4" t="inlineStr">
        <is>
          <t>Across</t>
        </is>
      </c>
      <c r="D224" s="18" t="n">
        <v>99.940005</v>
      </c>
      <c r="E224" s="4" t="inlineStr"/>
      <c r="F224" s="18" t="n">
        <v>99.98999999999999</v>
      </c>
      <c r="G224" s="18" t="n"/>
      <c r="H224" s="16">
        <f>IF(ISNUMBER(F224),F224-N(G224),"")</f>
        <v/>
      </c>
      <c r="I224" s="15">
        <f>IF(AND(ISNUMBER(D224),ISNUMBER(H224)),(D224-H224)/100*10000,"")</f>
        <v/>
      </c>
      <c r="J224" s="18" t="n">
        <v>0.05</v>
      </c>
      <c r="K224" s="15">
        <f>IF(ISNUMBER(I224),I224+N(J224)/100*10000,"")</f>
        <v/>
      </c>
      <c r="L224" s="19" t="n">
        <v>0.062</v>
      </c>
      <c r="M224" s="4" t="inlineStr"/>
    </row>
    <row r="225">
      <c r="A225" s="4" t="inlineStr">
        <is>
          <t>SOL → Base</t>
        </is>
      </c>
      <c r="B225" s="4" t="n">
        <v>2</v>
      </c>
      <c r="C225" s="4" t="inlineStr">
        <is>
          <t>Across</t>
        </is>
      </c>
      <c r="D225" s="18" t="n">
        <v>99.940005</v>
      </c>
      <c r="E225" s="4" t="inlineStr"/>
      <c r="F225" s="18" t="n">
        <v>99.98999999999999</v>
      </c>
      <c r="G225" s="18" t="n"/>
      <c r="H225" s="16">
        <f>IF(ISNUMBER(F225),F225-N(G225),"")</f>
        <v/>
      </c>
      <c r="I225" s="15">
        <f>IF(AND(ISNUMBER(D225),ISNUMBER(H225)),(D225-H225)/100*10000,"")</f>
        <v/>
      </c>
      <c r="J225" s="18" t="n">
        <v>0.05</v>
      </c>
      <c r="K225" s="15">
        <f>IF(ISNUMBER(I225),I225+N(J225)/100*10000,"")</f>
        <v/>
      </c>
      <c r="L225" s="19" t="n">
        <v>0.033</v>
      </c>
      <c r="M225" s="4" t="inlineStr"/>
    </row>
    <row r="226">
      <c r="A226" s="4" t="inlineStr">
        <is>
          <t>SOL → Base</t>
        </is>
      </c>
      <c r="B226" s="4" t="n">
        <v>2</v>
      </c>
      <c r="C226" s="4" t="inlineStr">
        <is>
          <t>Across</t>
        </is>
      </c>
      <c r="D226" s="18" t="n">
        <v>99.940005</v>
      </c>
      <c r="E226" s="4" t="inlineStr"/>
      <c r="F226" s="18" t="n">
        <v>99.98999999999999</v>
      </c>
      <c r="G226" s="18" t="n"/>
      <c r="H226" s="16">
        <f>IF(ISNUMBER(F226),F226-N(G226),"")</f>
        <v/>
      </c>
      <c r="I226" s="15">
        <f>IF(AND(ISNUMBER(D226),ISNUMBER(H226)),(D226-H226)/100*10000,"")</f>
        <v/>
      </c>
      <c r="J226" s="18" t="n">
        <v>0.05</v>
      </c>
      <c r="K226" s="15">
        <f>IF(ISNUMBER(I226),I226+N(J226)/100*10000,"")</f>
        <v/>
      </c>
      <c r="L226" s="19" t="n">
        <v>0.031</v>
      </c>
      <c r="M226" s="4" t="inlineStr"/>
    </row>
    <row r="227">
      <c r="A227" s="4" t="inlineStr">
        <is>
          <t>SOL → Base</t>
        </is>
      </c>
      <c r="B227" s="4" t="n">
        <v>3</v>
      </c>
      <c r="C227" s="4" t="inlineStr">
        <is>
          <t>Across</t>
        </is>
      </c>
      <c r="D227" s="18" t="n">
        <v>99.940005</v>
      </c>
      <c r="E227" s="4" t="inlineStr"/>
      <c r="F227" s="18" t="n">
        <v>99.98999999999999</v>
      </c>
      <c r="G227" s="18" t="n"/>
      <c r="H227" s="16">
        <f>IF(ISNUMBER(F227),F227-N(G227),"")</f>
        <v/>
      </c>
      <c r="I227" s="15">
        <f>IF(AND(ISNUMBER(D227),ISNUMBER(H227)),(D227-H227)/100*10000,"")</f>
        <v/>
      </c>
      <c r="J227" s="18" t="n">
        <v>0.05</v>
      </c>
      <c r="K227" s="15">
        <f>IF(ISNUMBER(I227),I227+N(J227)/100*10000,"")</f>
        <v/>
      </c>
      <c r="L227" s="19" t="n">
        <v>0.307</v>
      </c>
      <c r="M227" s="4" t="inlineStr"/>
    </row>
    <row r="228">
      <c r="A228" s="4" t="inlineStr">
        <is>
          <t>SOL → Base</t>
        </is>
      </c>
      <c r="B228" s="4" t="n">
        <v>3</v>
      </c>
      <c r="C228" s="4" t="inlineStr">
        <is>
          <t>Across</t>
        </is>
      </c>
      <c r="D228" s="18" t="n">
        <v>99.940005</v>
      </c>
      <c r="E228" s="4" t="inlineStr"/>
      <c r="F228" s="18" t="n">
        <v>99.98999999999999</v>
      </c>
      <c r="G228" s="18" t="n"/>
      <c r="H228" s="16">
        <f>IF(ISNUMBER(F228),F228-N(G228),"")</f>
        <v/>
      </c>
      <c r="I228" s="15">
        <f>IF(AND(ISNUMBER(D228),ISNUMBER(H228)),(D228-H228)/100*10000,"")</f>
        <v/>
      </c>
      <c r="J228" s="18" t="n">
        <v>0.05</v>
      </c>
      <c r="K228" s="15">
        <f>IF(ISNUMBER(I228),I228+N(J228)/100*10000,"")</f>
        <v/>
      </c>
      <c r="L228" s="19" t="n">
        <v>0.004</v>
      </c>
      <c r="M228" s="4" t="inlineStr"/>
    </row>
    <row r="229">
      <c r="A229" s="4" t="inlineStr">
        <is>
          <t>SOL → Base</t>
        </is>
      </c>
      <c r="B229" s="4" t="n">
        <v>1</v>
      </c>
      <c r="C229" s="4" t="inlineStr">
        <is>
          <t>Mayan</t>
        </is>
      </c>
      <c r="D229" s="18" t="n">
        <v>99.877793</v>
      </c>
      <c r="E229" s="4" t="inlineStr">
        <is>
          <t>yes</t>
        </is>
      </c>
      <c r="F229" s="18" t="n">
        <v>99.92700000000001</v>
      </c>
      <c r="G229" s="18" t="n"/>
      <c r="H229" s="16">
        <f>IF(ISNUMBER(F229),F229-N(G229),"")</f>
        <v/>
      </c>
      <c r="I229" s="15">
        <f>IF(AND(ISNUMBER(D229),ISNUMBER(H229)),(D229-H229)/100*10000,"")</f>
        <v/>
      </c>
      <c r="J229" s="18" t="n">
        <v>0.05</v>
      </c>
      <c r="K229" s="15">
        <f>IF(ISNUMBER(I229),I229+N(J229)/100*10000,"")</f>
        <v/>
      </c>
      <c r="L229" s="19" t="n">
        <v>0.296</v>
      </c>
      <c r="M229" s="4" t="inlineStr">
        <is>
          <t>Swift v2; UI shows 3 dp</t>
        </is>
      </c>
    </row>
    <row r="230">
      <c r="A230" s="4" t="inlineStr">
        <is>
          <t>SOL → Base</t>
        </is>
      </c>
      <c r="B230" s="4" t="n">
        <v>1</v>
      </c>
      <c r="C230" s="4" t="inlineStr">
        <is>
          <t>Mayan</t>
        </is>
      </c>
      <c r="D230" s="18" t="n">
        <v>99.87773900000001</v>
      </c>
      <c r="E230" s="4" t="inlineStr">
        <is>
          <t>yes</t>
        </is>
      </c>
      <c r="F230" s="18" t="n">
        <v>99.92700000000001</v>
      </c>
      <c r="G230" s="18" t="n"/>
      <c r="H230" s="16">
        <f>IF(ISNUMBER(F230),F230-N(G230),"")</f>
        <v/>
      </c>
      <c r="I230" s="15">
        <f>IF(AND(ISNUMBER(D230),ISNUMBER(H230)),(D230-H230)/100*10000,"")</f>
        <v/>
      </c>
      <c r="J230" s="18" t="n">
        <v>0.05</v>
      </c>
      <c r="K230" s="15">
        <f>IF(ISNUMBER(I230),I230+N(J230)/100*10000,"")</f>
        <v/>
      </c>
      <c r="L230" s="19" t="n">
        <v>0.233</v>
      </c>
      <c r="M230" s="4" t="inlineStr">
        <is>
          <t>Swift v2; UI shows 3 dp</t>
        </is>
      </c>
    </row>
    <row r="231">
      <c r="A231" s="4" t="inlineStr">
        <is>
          <t>SOL → Base</t>
        </is>
      </c>
      <c r="B231" s="4" t="n">
        <v>2</v>
      </c>
      <c r="C231" s="4" t="inlineStr">
        <is>
          <t>Mayan</t>
        </is>
      </c>
      <c r="D231" s="18" t="n">
        <v>99.877786</v>
      </c>
      <c r="E231" s="4" t="inlineStr">
        <is>
          <t>yes</t>
        </is>
      </c>
      <c r="F231" s="18" t="n">
        <v>99.92700000000001</v>
      </c>
      <c r="G231" s="18" t="n"/>
      <c r="H231" s="16">
        <f>IF(ISNUMBER(F231),F231-N(G231),"")</f>
        <v/>
      </c>
      <c r="I231" s="15">
        <f>IF(AND(ISNUMBER(D231),ISNUMBER(H231)),(D231-H231)/100*10000,"")</f>
        <v/>
      </c>
      <c r="J231" s="18" t="n">
        <v>0.05</v>
      </c>
      <c r="K231" s="15">
        <f>IF(ISNUMBER(I231),I231+N(J231)/100*10000,"")</f>
        <v/>
      </c>
      <c r="L231" s="19" t="n">
        <v>0.252</v>
      </c>
      <c r="M231" s="4" t="inlineStr">
        <is>
          <t>Swift v2; UI shows 3 dp</t>
        </is>
      </c>
    </row>
    <row r="232">
      <c r="A232" s="4" t="inlineStr">
        <is>
          <t>SOL → Base</t>
        </is>
      </c>
      <c r="B232" s="4" t="n">
        <v>2</v>
      </c>
      <c r="C232" s="4" t="inlineStr">
        <is>
          <t>Mayan</t>
        </is>
      </c>
      <c r="D232" s="18" t="n">
        <v>99.87773199999999</v>
      </c>
      <c r="E232" s="4" t="inlineStr">
        <is>
          <t>yes</t>
        </is>
      </c>
      <c r="F232" s="18" t="n">
        <v>99.92700000000001</v>
      </c>
      <c r="G232" s="18" t="n"/>
      <c r="H232" s="16">
        <f>IF(ISNUMBER(F232),F232-N(G232),"")</f>
        <v/>
      </c>
      <c r="I232" s="15">
        <f>IF(AND(ISNUMBER(D232),ISNUMBER(H232)),(D232-H232)/100*10000,"")</f>
        <v/>
      </c>
      <c r="J232" s="18" t="n">
        <v>0.05</v>
      </c>
      <c r="K232" s="15">
        <f>IF(ISNUMBER(I232),I232+N(J232)/100*10000,"")</f>
        <v/>
      </c>
      <c r="L232" s="19" t="n">
        <v>0.283</v>
      </c>
      <c r="M232" s="4" t="inlineStr">
        <is>
          <t>Swift v2; UI shows 3 dp</t>
        </is>
      </c>
    </row>
    <row r="233">
      <c r="A233" s="4" t="inlineStr">
        <is>
          <t>SOL → Base</t>
        </is>
      </c>
      <c r="B233" s="4" t="n">
        <v>3</v>
      </c>
      <c r="C233" s="4" t="inlineStr">
        <is>
          <t>Mayan</t>
        </is>
      </c>
      <c r="D233" s="18" t="n">
        <v>99.877786</v>
      </c>
      <c r="E233" s="4" t="inlineStr">
        <is>
          <t>yes</t>
        </is>
      </c>
      <c r="F233" s="18" t="n">
        <v>99.92700000000001</v>
      </c>
      <c r="G233" s="18" t="n"/>
      <c r="H233" s="16">
        <f>IF(ISNUMBER(F233),F233-N(G233),"")</f>
        <v/>
      </c>
      <c r="I233" s="15">
        <f>IF(AND(ISNUMBER(D233),ISNUMBER(H233)),(D233-H233)/100*10000,"")</f>
        <v/>
      </c>
      <c r="J233" s="18" t="n">
        <v>0.05</v>
      </c>
      <c r="K233" s="15">
        <f>IF(ISNUMBER(I233),I233+N(J233)/100*10000,"")</f>
        <v/>
      </c>
      <c r="L233" s="19" t="n">
        <v>0.248</v>
      </c>
      <c r="M233" s="4" t="inlineStr">
        <is>
          <t>Swift v2; UI shows 3 dp</t>
        </is>
      </c>
    </row>
    <row r="234">
      <c r="A234" s="4" t="inlineStr">
        <is>
          <t>SOL → Base</t>
        </is>
      </c>
      <c r="B234" s="4" t="n">
        <v>3</v>
      </c>
      <c r="C234" s="4" t="inlineStr">
        <is>
          <t>Mayan</t>
        </is>
      </c>
      <c r="D234" s="18" t="n">
        <v>99.877725</v>
      </c>
      <c r="E234" s="4" t="inlineStr">
        <is>
          <t>yes</t>
        </is>
      </c>
      <c r="F234" s="18" t="n">
        <v>99.92700000000001</v>
      </c>
      <c r="G234" s="18" t="n"/>
      <c r="H234" s="16">
        <f>IF(ISNUMBER(F234),F234-N(G234),"")</f>
        <v/>
      </c>
      <c r="I234" s="15">
        <f>IF(AND(ISNUMBER(D234),ISNUMBER(H234)),(D234-H234)/100*10000,"")</f>
        <v/>
      </c>
      <c r="J234" s="18" t="n">
        <v>0.05</v>
      </c>
      <c r="K234" s="15">
        <f>IF(ISNUMBER(I234),I234+N(J234)/100*10000,"")</f>
        <v/>
      </c>
      <c r="L234" s="19" t="n">
        <v>0.249</v>
      </c>
      <c r="M234" s="4" t="inlineStr">
        <is>
          <t>Swift v2; UI shows 3 dp</t>
        </is>
      </c>
    </row>
    <row r="235">
      <c r="A235" s="4" t="inlineStr">
        <is>
          <t>SOL → Base</t>
        </is>
      </c>
      <c r="B235" s="4" t="n">
        <v>1</v>
      </c>
      <c r="C235" s="4" t="inlineStr">
        <is>
          <t>Allbridge Core</t>
        </is>
      </c>
      <c r="D235" s="18" t="n">
        <v>99.85005</v>
      </c>
      <c r="E235" s="4" t="inlineStr">
        <is>
          <t>yes</t>
        </is>
      </c>
      <c r="F235" s="18" t="n">
        <v>99.90000000000001</v>
      </c>
      <c r="G235" s="18" t="n"/>
      <c r="H235" s="16">
        <f>IF(ISNUMBER(F235),F235-N(G235),"")</f>
        <v/>
      </c>
      <c r="I235" s="15">
        <f>IF(AND(ISNUMBER(D235),ISNUMBER(H235)),(D235-H235)/100*10000,"")</f>
        <v/>
      </c>
      <c r="J235" s="18" t="n">
        <v>0.05</v>
      </c>
      <c r="K235" s="15">
        <f>IF(ISNUMBER(I235),I235+N(J235)/100*10000,"")</f>
        <v/>
      </c>
      <c r="L235" s="19" t="n">
        <v>0.165</v>
      </c>
      <c r="M235" s="4" t="inlineStr">
        <is>
          <t>+0.002418 SOL (relayer fee, fee=native) charged on top of 100 input (not converted)</t>
        </is>
      </c>
    </row>
    <row r="236">
      <c r="A236" s="4" t="inlineStr">
        <is>
          <t>SOL → Base</t>
        </is>
      </c>
      <c r="B236" s="4" t="n">
        <v>2</v>
      </c>
      <c r="C236" s="4" t="inlineStr">
        <is>
          <t>Allbridge Core</t>
        </is>
      </c>
      <c r="D236" s="18" t="n">
        <v>99.85005</v>
      </c>
      <c r="E236" s="4" t="inlineStr">
        <is>
          <t>yes</t>
        </is>
      </c>
      <c r="F236" s="18" t="n">
        <v>99.90000000000001</v>
      </c>
      <c r="G236" s="18" t="n"/>
      <c r="H236" s="16">
        <f>IF(ISNUMBER(F236),F236-N(G236),"")</f>
        <v/>
      </c>
      <c r="I236" s="15">
        <f>IF(AND(ISNUMBER(D236),ISNUMBER(H236)),(D236-H236)/100*10000,"")</f>
        <v/>
      </c>
      <c r="J236" s="18" t="n">
        <v>0.05</v>
      </c>
      <c r="K236" s="15">
        <f>IF(ISNUMBER(I236),I236+N(J236)/100*10000,"")</f>
        <v/>
      </c>
      <c r="L236" s="19" t="n">
        <v>0.215</v>
      </c>
      <c r="M236" s="4" t="inlineStr">
        <is>
          <t>+0.002418 SOL (relayer fee, fee=native) charged on top of 100 input (not converted)</t>
        </is>
      </c>
    </row>
    <row r="237">
      <c r="A237" s="4" t="inlineStr">
        <is>
          <t>SOL → Base</t>
        </is>
      </c>
      <c r="B237" s="4" t="n">
        <v>3</v>
      </c>
      <c r="C237" s="4" t="inlineStr">
        <is>
          <t>Allbridge Core</t>
        </is>
      </c>
      <c r="D237" s="18" t="n">
        <v>99.85005</v>
      </c>
      <c r="E237" s="4" t="inlineStr">
        <is>
          <t>yes</t>
        </is>
      </c>
      <c r="F237" s="18" t="n">
        <v>99.90000000000001</v>
      </c>
      <c r="G237" s="18" t="n"/>
      <c r="H237" s="16">
        <f>IF(ISNUMBER(F237),F237-N(G237),"")</f>
        <v/>
      </c>
      <c r="I237" s="15">
        <f>IF(AND(ISNUMBER(D237),ISNUMBER(H237)),(D237-H237)/100*10000,"")</f>
        <v/>
      </c>
      <c r="J237" s="18" t="n">
        <v>0.05</v>
      </c>
      <c r="K237" s="15">
        <f>IF(ISNUMBER(I237),I237+N(J237)/100*10000,"")</f>
        <v/>
      </c>
      <c r="L237" s="19" t="n">
        <v>0.105</v>
      </c>
      <c r="M237" s="4" t="inlineStr">
        <is>
          <t>+0.002418 SOL (relayer fee, fee=native) charged on top of 100 input (not converted)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CCTP (via Portal)</t>
        </is>
      </c>
      <c r="D238" s="18" t="n">
        <v>99.885521</v>
      </c>
      <c r="E238" s="4" t="inlineStr">
        <is>
          <t>yes</t>
        </is>
      </c>
      <c r="F238" s="18" t="n">
        <v>99.98999999999999</v>
      </c>
      <c r="G238" s="18" t="n"/>
      <c r="H238" s="16">
        <f>IF(ISNUMBER(F238),F238-N(G238),"")</f>
        <v/>
      </c>
      <c r="I238" s="15">
        <f>IF(AND(ISNUMBER(D238),ISNUMBER(H238)),(D238-H238)/100*10000,"")</f>
        <v/>
      </c>
      <c r="J238" s="18" t="n">
        <v>0.05</v>
      </c>
      <c r="K238" s="15">
        <f>IF(ISNUMBER(I238),I238+N(J238)/100*10000,"")</f>
        <v/>
      </c>
      <c r="L238" s="19" t="n">
        <v>2.174</v>
      </c>
      <c r="M238" s="4" t="inlineStr">
        <is>
          <t>via Portal (CCTPv2StandardExecutorRoute); executor fee hidden until wallet connect</t>
        </is>
      </c>
    </row>
    <row r="239">
      <c r="A239" s="4" t="inlineStr">
        <is>
          <t>SOL → Base</t>
        </is>
      </c>
      <c r="B239" s="4" t="n">
        <v>2</v>
      </c>
      <c r="C239" s="4" t="inlineStr">
        <is>
          <t>CCTP (via Portal)</t>
        </is>
      </c>
      <c r="D239" s="18" t="n">
        <v>99.885521</v>
      </c>
      <c r="E239" s="4" t="inlineStr">
        <is>
          <t>yes</t>
        </is>
      </c>
      <c r="F239" s="18" t="n">
        <v>99.98999999999999</v>
      </c>
      <c r="G239" s="18" t="n"/>
      <c r="H239" s="16">
        <f>IF(ISNUMBER(F239),F239-N(G239),"")</f>
        <v/>
      </c>
      <c r="I239" s="15">
        <f>IF(AND(ISNUMBER(D239),ISNUMBER(H239)),(D239-H239)/100*10000,"")</f>
        <v/>
      </c>
      <c r="J239" s="18" t="n">
        <v>0.05</v>
      </c>
      <c r="K239" s="15">
        <f>IF(ISNUMBER(I239),I239+N(J239)/100*10000,"")</f>
        <v/>
      </c>
      <c r="L239" s="19" t="n">
        <v>2.368</v>
      </c>
      <c r="M239" s="4" t="inlineStr">
        <is>
          <t>via Portal (CCTPv2StandardExecutorRoute); executor fee hidden until wallet connect</t>
        </is>
      </c>
    </row>
    <row r="240">
      <c r="A240" s="4" t="inlineStr">
        <is>
          <t>SOL → Base</t>
        </is>
      </c>
      <c r="B240" s="4" t="n">
        <v>3</v>
      </c>
      <c r="C240" s="4" t="inlineStr">
        <is>
          <t>CCTP (via Portal)</t>
        </is>
      </c>
      <c r="D240" s="18" t="n">
        <v>99.86317699999999</v>
      </c>
      <c r="E240" s="4" t="inlineStr">
        <is>
          <t>yes</t>
        </is>
      </c>
      <c r="F240" s="18" t="n">
        <v>99.98999999999999</v>
      </c>
      <c r="G240" s="18" t="n"/>
      <c r="H240" s="16">
        <f>IF(ISNUMBER(F240),F240-N(G240),"")</f>
        <v/>
      </c>
      <c r="I240" s="15">
        <f>IF(AND(ISNUMBER(D240),ISNUMBER(H240)),(D240-H240)/100*10000,"")</f>
        <v/>
      </c>
      <c r="J240" s="18" t="n">
        <v>0.05</v>
      </c>
      <c r="K240" s="15">
        <f>IF(ISNUMBER(I240),I240+N(J240)/100*10000,"")</f>
        <v/>
      </c>
      <c r="L240" s="19" t="n">
        <v>2.679</v>
      </c>
      <c r="M240" s="4" t="inlineStr">
        <is>
          <t>via Portal (CCTPv2StandardExecutorRoute); executor fee hidden until wallet connect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Husher</t>
        </is>
      </c>
      <c r="D241" s="18" t="n">
        <v>99.5502</v>
      </c>
      <c r="E241" s="4" t="inlineStr"/>
      <c r="F241" s="18" t="n">
        <v>99.45</v>
      </c>
      <c r="G241" s="18" t="n"/>
      <c r="H241" s="16">
        <f>IF(ISNUMBER(F241),F241-N(G241),"")</f>
        <v/>
      </c>
      <c r="I241" s="15">
        <f>IF(AND(ISNUMBER(D241),ISNUMBER(H241)),(D241-H241)/100*10000,"")</f>
        <v/>
      </c>
      <c r="J241" s="18" t="n">
        <v>0.05</v>
      </c>
      <c r="K241" s="15">
        <f>IF(ISNUMBER(I241),I241+N(J241)/100*10000,"")</f>
        <v/>
      </c>
      <c r="L241" s="19" t="n">
        <v>0.287</v>
      </c>
      <c r="M241" s="4" t="inlineStr"/>
    </row>
    <row r="242">
      <c r="A242" s="4" t="inlineStr">
        <is>
          <t>SOL → Base</t>
        </is>
      </c>
      <c r="B242" s="4" t="n">
        <v>2</v>
      </c>
      <c r="C242" s="4" t="inlineStr">
        <is>
          <t>Husher</t>
        </is>
      </c>
      <c r="D242" s="18" t="n">
        <v>99.5502</v>
      </c>
      <c r="E242" s="4" t="inlineStr"/>
      <c r="F242" s="18" t="n">
        <v>99.45</v>
      </c>
      <c r="G242" s="18" t="n"/>
      <c r="H242" s="16">
        <f>IF(ISNUMBER(F242),F242-N(G242),"")</f>
        <v/>
      </c>
      <c r="I242" s="15">
        <f>IF(AND(ISNUMBER(D242),ISNUMBER(H242)),(D242-H242)/100*10000,"")</f>
        <v/>
      </c>
      <c r="J242" s="18" t="n">
        <v>0.05</v>
      </c>
      <c r="K242" s="15">
        <f>IF(ISNUMBER(I242),I242+N(J242)/100*10000,"")</f>
        <v/>
      </c>
      <c r="L242" s="19" t="n">
        <v>0.335</v>
      </c>
      <c r="M242" s="4" t="inlineStr"/>
    </row>
    <row r="243">
      <c r="A243" s="4" t="inlineStr">
        <is>
          <t>SOL → Base</t>
        </is>
      </c>
      <c r="B243" s="4" t="n">
        <v>3</v>
      </c>
      <c r="C243" s="4" t="inlineStr">
        <is>
          <t>Husher</t>
        </is>
      </c>
      <c r="D243" s="18" t="n">
        <v>99.5502</v>
      </c>
      <c r="E243" s="4" t="inlineStr"/>
      <c r="F243" s="18" t="n">
        <v>99.45</v>
      </c>
      <c r="G243" s="18" t="n"/>
      <c r="H243" s="16">
        <f>IF(ISNUMBER(F243),F243-N(G243),"")</f>
        <v/>
      </c>
      <c r="I243" s="15">
        <f>IF(AND(ISNUMBER(D243),ISNUMBER(H243)),(D243-H243)/100*10000,"")</f>
        <v/>
      </c>
      <c r="J243" s="18" t="n">
        <v>0.05</v>
      </c>
      <c r="K243" s="15">
        <f>IF(ISNUMBER(I243),I243+N(J243)/100*10000,"")</f>
        <v/>
      </c>
      <c r="L243" s="19" t="n">
        <v>0.159</v>
      </c>
      <c r="M243" s="4" t="inlineStr"/>
    </row>
    <row r="244">
      <c r="A244" s="4" t="inlineStr">
        <is>
          <t>SOL → Base</t>
        </is>
      </c>
      <c r="B244" s="4" t="n">
        <v>1</v>
      </c>
      <c r="C244" s="4" t="inlineStr">
        <is>
          <t>Layerswap</t>
        </is>
      </c>
      <c r="D244" s="18" t="n">
        <v>99.679658</v>
      </c>
      <c r="E244" s="4" t="inlineStr"/>
      <c r="F244" s="18" t="n">
        <v>99.8643</v>
      </c>
      <c r="G244" s="18" t="n"/>
      <c r="H244" s="16">
        <f>IF(ISNUMBER(F244),F244-N(G244),"")</f>
        <v/>
      </c>
      <c r="I244" s="15">
        <f>IF(AND(ISNUMBER(D244),ISNUMBER(H244)),(D244-H244)/100*10000,"")</f>
        <v/>
      </c>
      <c r="J244" s="18" t="n">
        <v>0.05</v>
      </c>
      <c r="K244" s="15">
        <f>IF(ISNUMBER(I244),I244+N(J244)/100*10000,"")</f>
        <v/>
      </c>
      <c r="L244" s="19" t="n">
        <v>1.088</v>
      </c>
      <c r="M244" s="4" t="inlineStr"/>
    </row>
    <row r="245">
      <c r="A245" s="4" t="inlineStr">
        <is>
          <t>SOL → Base</t>
        </is>
      </c>
      <c r="B245" s="4" t="n">
        <v>2</v>
      </c>
      <c r="C245" s="4" t="inlineStr">
        <is>
          <t>Layerswap</t>
        </is>
      </c>
      <c r="D245" s="18" t="n">
        <v>99.679655</v>
      </c>
      <c r="E245" s="4" t="inlineStr"/>
      <c r="F245" s="18" t="n">
        <v>99.864299</v>
      </c>
      <c r="G245" s="18" t="n"/>
      <c r="H245" s="16">
        <f>IF(ISNUMBER(F245),F245-N(G245),"")</f>
        <v/>
      </c>
      <c r="I245" s="15">
        <f>IF(AND(ISNUMBER(D245),ISNUMBER(H245)),(D245-H245)/100*10000,"")</f>
        <v/>
      </c>
      <c r="J245" s="18" t="n">
        <v>0.05</v>
      </c>
      <c r="K245" s="15">
        <f>IF(ISNUMBER(I245),I245+N(J245)/100*10000,"")</f>
        <v/>
      </c>
      <c r="L245" s="19" t="n">
        <v>1.257</v>
      </c>
      <c r="M245" s="4" t="inlineStr"/>
    </row>
    <row r="246">
      <c r="A246" s="4" t="inlineStr">
        <is>
          <t>SOL → Base</t>
        </is>
      </c>
      <c r="B246" s="4" t="n">
        <v>3</v>
      </c>
      <c r="C246" s="4" t="inlineStr">
        <is>
          <t>Layerswap</t>
        </is>
      </c>
      <c r="D246" s="18" t="n">
        <v>99.679659</v>
      </c>
      <c r="E246" s="4" t="inlineStr"/>
      <c r="F246" s="18" t="n">
        <v>99.864301</v>
      </c>
      <c r="G246" s="18" t="n"/>
      <c r="H246" s="16">
        <f>IF(ISNUMBER(F246),F246-N(G246),"")</f>
        <v/>
      </c>
      <c r="I246" s="15">
        <f>IF(AND(ISNUMBER(D246),ISNUMBER(H246)),(D246-H246)/100*10000,"")</f>
        <v/>
      </c>
      <c r="J246" s="18" t="n">
        <v>0.05</v>
      </c>
      <c r="K246" s="15">
        <f>IF(ISNUMBER(I246),I246+N(J246)/100*10000,"")</f>
        <v/>
      </c>
      <c r="L246" s="19" t="n">
        <v>1.362</v>
      </c>
      <c r="M246" s="4" t="inlineStr"/>
    </row>
    <row r="247">
      <c r="A247" s="4" t="inlineStr">
        <is>
          <t>SOL → Base</t>
        </is>
      </c>
      <c r="B247" s="4" t="n">
        <v>1</v>
      </c>
      <c r="C247" s="4" t="inlineStr">
        <is>
          <t>Meson</t>
        </is>
      </c>
      <c r="D247" s="18" t="n">
        <v>99.85005</v>
      </c>
      <c r="E247" s="4" t="inlineStr">
        <is>
          <t>yes</t>
        </is>
      </c>
      <c r="F247" s="18" t="n">
        <v>99.86</v>
      </c>
      <c r="G247" s="18" t="n"/>
      <c r="H247" s="16">
        <f>IF(ISNUMBER(F247),F247-N(G247),"")</f>
        <v/>
      </c>
      <c r="I247" s="15">
        <f>IF(AND(ISNUMBER(D247),ISNUMBER(H247)),(D247-H247)/100*10000,"")</f>
        <v/>
      </c>
      <c r="J247" s="18" t="n">
        <v>0.05</v>
      </c>
      <c r="K247" s="15">
        <f>IF(ISNUMBER(I247),I247+N(J247)/100*10000,"")</f>
        <v/>
      </c>
      <c r="L247" s="19" t="n">
        <v>0.72</v>
      </c>
      <c r="M247" s="4" t="inlineStr"/>
    </row>
    <row r="248">
      <c r="A248" s="4" t="inlineStr">
        <is>
          <t>SOL → Base</t>
        </is>
      </c>
      <c r="B248" s="4" t="n">
        <v>2</v>
      </c>
      <c r="C248" s="4" t="inlineStr">
        <is>
          <t>Meson</t>
        </is>
      </c>
      <c r="D248" s="18" t="n">
        <v>99.85005</v>
      </c>
      <c r="E248" s="4" t="inlineStr">
        <is>
          <t>yes</t>
        </is>
      </c>
      <c r="F248" s="18" t="n">
        <v>99.86</v>
      </c>
      <c r="G248" s="18" t="n"/>
      <c r="H248" s="16">
        <f>IF(ISNUMBER(F248),F248-N(G248),"")</f>
        <v/>
      </c>
      <c r="I248" s="15">
        <f>IF(AND(ISNUMBER(D248),ISNUMBER(H248)),(D248-H248)/100*10000,"")</f>
        <v/>
      </c>
      <c r="J248" s="18" t="n">
        <v>0.05</v>
      </c>
      <c r="K248" s="15">
        <f>IF(ISNUMBER(I248),I248+N(J248)/100*10000,"")</f>
        <v/>
      </c>
      <c r="L248" s="19" t="n">
        <v>0.617</v>
      </c>
      <c r="M248" s="4" t="inlineStr"/>
    </row>
    <row r="249">
      <c r="A249" s="4" t="inlineStr">
        <is>
          <t>SOL → Base</t>
        </is>
      </c>
      <c r="B249" s="4" t="n">
        <v>3</v>
      </c>
      <c r="C249" s="4" t="inlineStr">
        <is>
          <t>Meson</t>
        </is>
      </c>
      <c r="D249" s="18" t="n">
        <v>99.85005</v>
      </c>
      <c r="E249" s="4" t="inlineStr">
        <is>
          <t>yes</t>
        </is>
      </c>
      <c r="F249" s="18" t="n">
        <v>99.86</v>
      </c>
      <c r="G249" s="18" t="n"/>
      <c r="H249" s="16">
        <f>IF(ISNUMBER(F249),F249-N(G249),"")</f>
        <v/>
      </c>
      <c r="I249" s="15">
        <f>IF(AND(ISNUMBER(D249),ISNUMBER(H249)),(D249-H249)/100*10000,"")</f>
        <v/>
      </c>
      <c r="J249" s="18" t="n">
        <v>0.05</v>
      </c>
      <c r="K249" s="15">
        <f>IF(ISNUMBER(I249),I249+N(J249)/100*10000,"")</f>
        <v/>
      </c>
      <c r="L249" s="19" t="n">
        <v>0.696</v>
      </c>
      <c r="M249" s="4" t="inlineStr"/>
    </row>
    <row r="250">
      <c r="A250" s="4" t="inlineStr">
        <is>
          <t>SOL → Base</t>
        </is>
      </c>
      <c r="B250" s="4" t="n">
        <v>1</v>
      </c>
      <c r="C250" s="4" t="inlineStr">
        <is>
          <t>SimpleSwap</t>
        </is>
      </c>
      <c r="D250" s="18" t="n">
        <v>97.53728099999999</v>
      </c>
      <c r="E250" s="4" t="inlineStr"/>
      <c r="F250" s="18" t="n">
        <v>98.48755199999999</v>
      </c>
      <c r="G250" s="18" t="n"/>
      <c r="H250" s="16">
        <f>IF(ISNUMBER(F250),F250-N(G250),"")</f>
        <v/>
      </c>
      <c r="I250" s="15">
        <f>IF(AND(ISNUMBER(D250),ISNUMBER(H250)),(D250-H250)/100*10000,"")</f>
        <v/>
      </c>
      <c r="J250" s="18" t="n">
        <v>0.05</v>
      </c>
      <c r="K250" s="15">
        <f>IF(ISNUMBER(I250),I250+N(J250)/100*10000,"")</f>
        <v/>
      </c>
      <c r="L250" s="19" t="n">
        <v>1.822</v>
      </c>
      <c r="M250" s="4" t="inlineStr">
        <is>
          <t>selected card: Best rate / Decentralized; best card 98.487552</t>
        </is>
      </c>
    </row>
    <row r="251">
      <c r="A251" s="4" t="inlineStr">
        <is>
          <t>SOL → Base</t>
        </is>
      </c>
      <c r="B251" s="4" t="n">
        <v>2</v>
      </c>
      <c r="C251" s="4" t="inlineStr">
        <is>
          <t>SimpleSwap</t>
        </is>
      </c>
      <c r="D251" s="18" t="n">
        <v>97.537278</v>
      </c>
      <c r="E251" s="4" t="inlineStr"/>
      <c r="F251" s="18" t="n">
        <v>98.48755199999999</v>
      </c>
      <c r="G251" s="18" t="n"/>
      <c r="H251" s="16">
        <f>IF(ISNUMBER(F251),F251-N(G251),"")</f>
        <v/>
      </c>
      <c r="I251" s="15">
        <f>IF(AND(ISNUMBER(D251),ISNUMBER(H251)),(D251-H251)/100*10000,"")</f>
        <v/>
      </c>
      <c r="J251" s="18" t="n">
        <v>0.05</v>
      </c>
      <c r="K251" s="15">
        <f>IF(ISNUMBER(I251),I251+N(J251)/100*10000,"")</f>
        <v/>
      </c>
      <c r="L251" s="19" t="n">
        <v>1.611</v>
      </c>
      <c r="M251" s="4" t="inlineStr">
        <is>
          <t>selected card: Best rate / Decentralized; best card 98.487552</t>
        </is>
      </c>
    </row>
    <row r="252">
      <c r="A252" s="4" t="inlineStr">
        <is>
          <t>SOL → Base</t>
        </is>
      </c>
      <c r="B252" s="4" t="n">
        <v>3</v>
      </c>
      <c r="C252" s="4" t="inlineStr">
        <is>
          <t>SimpleSwap</t>
        </is>
      </c>
      <c r="D252" s="18" t="n">
        <v>97.53742099999999</v>
      </c>
      <c r="E252" s="4" t="inlineStr"/>
      <c r="F252" s="18" t="n">
        <v>98.494293</v>
      </c>
      <c r="G252" s="18" t="n"/>
      <c r="H252" s="16">
        <f>IF(ISNUMBER(F252),F252-N(G252),"")</f>
        <v/>
      </c>
      <c r="I252" s="15">
        <f>IF(AND(ISNUMBER(D252),ISNUMBER(H252)),(D252-H252)/100*10000,"")</f>
        <v/>
      </c>
      <c r="J252" s="18" t="n">
        <v>0.05</v>
      </c>
      <c r="K252" s="15">
        <f>IF(ISNUMBER(I252),I252+N(J252)/100*10000,"")</f>
        <v/>
      </c>
      <c r="L252" s="19" t="n">
        <v>2.056</v>
      </c>
      <c r="M252" s="4" t="inlineStr">
        <is>
          <t>selected card: Best rate / Decentralized; best card 98.494293</t>
        </is>
      </c>
    </row>
    <row r="253">
      <c r="A253" s="4" t="inlineStr">
        <is>
          <t>SOL → Base</t>
        </is>
      </c>
      <c r="B253" s="4" t="n">
        <v>1</v>
      </c>
      <c r="C253" s="4" t="inlineStr">
        <is>
          <t>Skip Go</t>
        </is>
      </c>
      <c r="D253" s="18" t="n">
        <v>99.947174</v>
      </c>
      <c r="E253" s="4" t="inlineStr"/>
      <c r="F253" s="18" t="n">
        <v>99.98517</v>
      </c>
      <c r="G253" s="18" t="n"/>
      <c r="H253" s="16">
        <f>IF(ISNUMBER(F253),F253-N(G253),"")</f>
        <v/>
      </c>
      <c r="I253" s="15">
        <f>IF(AND(ISNUMBER(D253),ISNUMBER(H253)),(D253-H253)/100*10000,"")</f>
        <v/>
      </c>
      <c r="J253" s="18" t="n">
        <v>0.05</v>
      </c>
      <c r="K253" s="15">
        <f>IF(ISNUMBER(I253),I253+N(J253)/100*10000,"")</f>
        <v/>
      </c>
      <c r="L253" s="19" t="n">
        <v>1.327</v>
      </c>
      <c r="M253" s="4" t="inlineStr"/>
    </row>
    <row r="254">
      <c r="A254" s="4" t="inlineStr">
        <is>
          <t>SOL → Base</t>
        </is>
      </c>
      <c r="B254" s="4" t="n">
        <v>2</v>
      </c>
      <c r="C254" s="4" t="inlineStr">
        <is>
          <t>Skip Go</t>
        </is>
      </c>
      <c r="D254" s="18" t="n">
        <v>99.947174</v>
      </c>
      <c r="E254" s="4" t="inlineStr"/>
      <c r="F254" s="18" t="n">
        <v>99.98517</v>
      </c>
      <c r="G254" s="18" t="n"/>
      <c r="H254" s="16">
        <f>IF(ISNUMBER(F254),F254-N(G254),"")</f>
        <v/>
      </c>
      <c r="I254" s="15">
        <f>IF(AND(ISNUMBER(D254),ISNUMBER(H254)),(D254-H254)/100*10000,"")</f>
        <v/>
      </c>
      <c r="J254" s="18" t="n">
        <v>0.05</v>
      </c>
      <c r="K254" s="15">
        <f>IF(ISNUMBER(I254),I254+N(J254)/100*10000,"")</f>
        <v/>
      </c>
      <c r="L254" s="19" t="n">
        <v>1.23</v>
      </c>
      <c r="M254" s="4" t="inlineStr"/>
    </row>
    <row r="255">
      <c r="A255" s="4" t="inlineStr">
        <is>
          <t>SOL → Base</t>
        </is>
      </c>
      <c r="B255" s="4" t="n">
        <v>3</v>
      </c>
      <c r="C255" s="4" t="inlineStr">
        <is>
          <t>Skip Go</t>
        </is>
      </c>
      <c r="D255" s="18" t="n">
        <v>99.947174</v>
      </c>
      <c r="E255" s="4" t="inlineStr"/>
      <c r="F255" s="18" t="n">
        <v>99.98517</v>
      </c>
      <c r="G255" s="18" t="n"/>
      <c r="H255" s="16">
        <f>IF(ISNUMBER(F255),F255-N(G255),"")</f>
        <v/>
      </c>
      <c r="I255" s="15">
        <f>IF(AND(ISNUMBER(D255),ISNUMBER(H255)),(D255-H255)/100*10000,"")</f>
        <v/>
      </c>
      <c r="J255" s="18" t="n">
        <v>0.05</v>
      </c>
      <c r="K255" s="15">
        <f>IF(ISNUMBER(I255),I255+N(J255)/100*10000,"")</f>
        <v/>
      </c>
      <c r="L255" s="19" t="n">
        <v>1.231</v>
      </c>
      <c r="M255" s="4" t="inlineStr"/>
    </row>
    <row r="256">
      <c r="A256" s="4" t="inlineStr">
        <is>
          <t>Base → SOL</t>
        </is>
      </c>
      <c r="B256" s="4" t="n">
        <v>1</v>
      </c>
      <c r="C256" s="4" t="inlineStr">
        <is>
          <t>Relay</t>
        </is>
      </c>
      <c r="D256" s="18" t="n">
        <v>99.689369</v>
      </c>
      <c r="E256" s="4" t="inlineStr"/>
      <c r="F256" s="18" t="n">
        <v>99.945577</v>
      </c>
      <c r="G256" s="18" t="n"/>
      <c r="H256" s="16">
        <f>IF(ISNUMBER(F256),F256-N(G256),"")</f>
        <v/>
      </c>
      <c r="I256" s="15">
        <f>IF(AND(ISNUMBER(D256),ISNUMBER(H256)),(D256-H256)/100*10000,"")</f>
        <v/>
      </c>
      <c r="J256" s="18" t="n">
        <v>0.05</v>
      </c>
      <c r="K256" s="15">
        <f>IF(ISNUMBER(I256),I256+N(J256)/100*10000,"")</f>
        <v/>
      </c>
      <c r="L256" s="19" t="n">
        <v>1.049</v>
      </c>
      <c r="M256" s="4" t="inlineStr"/>
    </row>
    <row r="257">
      <c r="A257" s="4" t="inlineStr">
        <is>
          <t>Base → SOL</t>
        </is>
      </c>
      <c r="B257" s="4" t="n">
        <v>1</v>
      </c>
      <c r="C257" s="4" t="inlineStr">
        <is>
          <t>Relay</t>
        </is>
      </c>
      <c r="D257" s="18" t="n">
        <v>99.690307</v>
      </c>
      <c r="E257" s="4" t="inlineStr"/>
      <c r="F257" s="18" t="n">
        <v>99.94557399999999</v>
      </c>
      <c r="G257" s="18" t="n"/>
      <c r="H257" s="16">
        <f>IF(ISNUMBER(F257),F257-N(G257),"")</f>
        <v/>
      </c>
      <c r="I257" s="15">
        <f>IF(AND(ISNUMBER(D257),ISNUMBER(H257)),(D257-H257)/100*10000,"")</f>
        <v/>
      </c>
      <c r="J257" s="18" t="n">
        <v>0.05</v>
      </c>
      <c r="K257" s="15">
        <f>IF(ISNUMBER(I257),I257+N(J257)/100*10000,"")</f>
        <v/>
      </c>
      <c r="L257" s="19" t="n">
        <v>0.904</v>
      </c>
      <c r="M257" s="4" t="inlineStr"/>
    </row>
    <row r="258">
      <c r="A258" s="4" t="inlineStr">
        <is>
          <t>Base → SOL</t>
        </is>
      </c>
      <c r="B258" s="4" t="n">
        <v>2</v>
      </c>
      <c r="C258" s="4" t="inlineStr">
        <is>
          <t>Relay</t>
        </is>
      </c>
      <c r="D258" s="18" t="n">
        <v>99.690415</v>
      </c>
      <c r="E258" s="4" t="inlineStr"/>
      <c r="F258" s="18" t="n">
        <v>99.94558000000001</v>
      </c>
      <c r="G258" s="18" t="n"/>
      <c r="H258" s="16">
        <f>IF(ISNUMBER(F258),F258-N(G258),"")</f>
        <v/>
      </c>
      <c r="I258" s="15">
        <f>IF(AND(ISNUMBER(D258),ISNUMBER(H258)),(D258-H258)/100*10000,"")</f>
        <v/>
      </c>
      <c r="J258" s="18" t="n">
        <v>0.05</v>
      </c>
      <c r="K258" s="15">
        <f>IF(ISNUMBER(I258),I258+N(J258)/100*10000,"")</f>
        <v/>
      </c>
      <c r="L258" s="19" t="n">
        <v>1.048</v>
      </c>
      <c r="M258" s="4" t="inlineStr"/>
    </row>
    <row r="259">
      <c r="A259" s="4" t="inlineStr">
        <is>
          <t>Base → SOL</t>
        </is>
      </c>
      <c r="B259" s="4" t="n">
        <v>2</v>
      </c>
      <c r="C259" s="4" t="inlineStr">
        <is>
          <t>Relay</t>
        </is>
      </c>
      <c r="D259" s="18" t="n">
        <v>99.690428</v>
      </c>
      <c r="E259" s="4" t="inlineStr"/>
      <c r="F259" s="18" t="n">
        <v>99.94557500000001</v>
      </c>
      <c r="G259" s="18" t="n"/>
      <c r="H259" s="16">
        <f>IF(ISNUMBER(F259),F259-N(G259),"")</f>
        <v/>
      </c>
      <c r="I259" s="15">
        <f>IF(AND(ISNUMBER(D259),ISNUMBER(H259)),(D259-H259)/100*10000,"")</f>
        <v/>
      </c>
      <c r="J259" s="18" t="n">
        <v>0.05</v>
      </c>
      <c r="K259" s="15">
        <f>IF(ISNUMBER(I259),I259+N(J259)/100*10000,"")</f>
        <v/>
      </c>
      <c r="L259" s="19" t="n">
        <v>0.506</v>
      </c>
      <c r="M259" s="4" t="inlineStr"/>
    </row>
    <row r="260">
      <c r="A260" s="4" t="inlineStr">
        <is>
          <t>Base → SOL</t>
        </is>
      </c>
      <c r="B260" s="4" t="n">
        <v>3</v>
      </c>
      <c r="C260" s="4" t="inlineStr">
        <is>
          <t>Relay</t>
        </is>
      </c>
      <c r="D260" s="18" t="n">
        <v>99.69020500000001</v>
      </c>
      <c r="E260" s="4" t="inlineStr"/>
      <c r="F260" s="18" t="n">
        <v>99.945573</v>
      </c>
      <c r="G260" s="18" t="n"/>
      <c r="H260" s="16">
        <f>IF(ISNUMBER(F260),F260-N(G260),"")</f>
        <v/>
      </c>
      <c r="I260" s="15">
        <f>IF(AND(ISNUMBER(D260),ISNUMBER(H260)),(D260-H260)/100*10000,"")</f>
        <v/>
      </c>
      <c r="J260" s="18" t="n">
        <v>0.05</v>
      </c>
      <c r="K260" s="15">
        <f>IF(ISNUMBER(I260),I260+N(J260)/100*10000,"")</f>
        <v/>
      </c>
      <c r="L260" s="19" t="n">
        <v>0.763</v>
      </c>
      <c r="M260" s="4" t="inlineStr"/>
    </row>
    <row r="261">
      <c r="A261" s="4" t="inlineStr">
        <is>
          <t>Base → SOL</t>
        </is>
      </c>
      <c r="B261" s="4" t="n">
        <v>3</v>
      </c>
      <c r="C261" s="4" t="inlineStr">
        <is>
          <t>Relay</t>
        </is>
      </c>
      <c r="D261" s="18" t="n">
        <v>99.69013200000001</v>
      </c>
      <c r="E261" s="4" t="inlineStr"/>
      <c r="F261" s="18" t="n">
        <v>99.94557</v>
      </c>
      <c r="G261" s="18" t="n"/>
      <c r="H261" s="16">
        <f>IF(ISNUMBER(F261),F261-N(G261),"")</f>
        <v/>
      </c>
      <c r="I261" s="15">
        <f>IF(AND(ISNUMBER(D261),ISNUMBER(H261)),(D261-H261)/100*10000,"")</f>
        <v/>
      </c>
      <c r="J261" s="18" t="n">
        <v>0.05</v>
      </c>
      <c r="K261" s="15">
        <f>IF(ISNUMBER(I261),I261+N(J261)/100*10000,"")</f>
        <v/>
      </c>
      <c r="L261" s="19" t="n">
        <v>1.078</v>
      </c>
      <c r="M261" s="4" t="inlineStr"/>
    </row>
    <row r="262">
      <c r="A262" s="4" t="inlineStr">
        <is>
          <t>Base → SOL</t>
        </is>
      </c>
      <c r="B262" s="4" t="n">
        <v>1</v>
      </c>
      <c r="C262" s="4" t="inlineStr">
        <is>
          <t>deBridge</t>
        </is>
      </c>
      <c r="D262" s="18" t="n">
        <v>98.869533</v>
      </c>
      <c r="E262" s="4" t="inlineStr"/>
      <c r="F262" s="18" t="n">
        <v>99.920018</v>
      </c>
      <c r="G262" s="18" t="n">
        <v>1.0406</v>
      </c>
      <c r="H262" s="16">
        <f>IF(ISNUMBER(F262),F262-N(G262),"")</f>
        <v/>
      </c>
      <c r="I262" s="15">
        <f>IF(AND(ISNUMBER(D262),ISNUMBER(H262)),(D262-H262)/100*10000,"")</f>
        <v/>
      </c>
      <c r="J262" s="18" t="n">
        <v>0.05</v>
      </c>
      <c r="K262" s="15">
        <f>IF(ISNUMBER(I262),I262+N(J262)/100*10000,"")</f>
        <v/>
      </c>
      <c r="L262" s="19" t="n">
        <v>0.536</v>
      </c>
      <c r="M262" s="4" t="inlineStr">
        <is>
          <t>+1.0406 USDC charged on top of 100 input (subtracted)</t>
        </is>
      </c>
    </row>
    <row r="263">
      <c r="A263" s="4" t="inlineStr">
        <is>
          <t>Base → SOL</t>
        </is>
      </c>
      <c r="B263" s="4" t="n">
        <v>1</v>
      </c>
      <c r="C263" s="4" t="inlineStr">
        <is>
          <t>deBridge</t>
        </is>
      </c>
      <c r="D263" s="18" t="n">
        <v>98.879639</v>
      </c>
      <c r="E263" s="4" t="inlineStr"/>
      <c r="F263" s="18" t="n">
        <v>99.920018</v>
      </c>
      <c r="G263" s="18" t="n">
        <v>1.0412</v>
      </c>
      <c r="H263" s="16">
        <f>IF(ISNUMBER(F263),F263-N(G263),"")</f>
        <v/>
      </c>
      <c r="I263" s="15">
        <f>IF(AND(ISNUMBER(D263),ISNUMBER(H263)),(D263-H263)/100*10000,"")</f>
        <v/>
      </c>
      <c r="J263" s="18" t="n">
        <v>0.05</v>
      </c>
      <c r="K263" s="15">
        <f>IF(ISNUMBER(I263),I263+N(J263)/100*10000,"")</f>
        <v/>
      </c>
      <c r="L263" s="19" t="n">
        <v>0.586</v>
      </c>
      <c r="M263" s="4" t="inlineStr">
        <is>
          <t>+1.0412 USDC charged on top of 100 input (subtracted)</t>
        </is>
      </c>
    </row>
    <row r="264">
      <c r="A264" s="4" t="inlineStr">
        <is>
          <t>Base → SOL</t>
        </is>
      </c>
      <c r="B264" s="4" t="n">
        <v>2</v>
      </c>
      <c r="C264" s="4" t="inlineStr">
        <is>
          <t>deBridge</t>
        </is>
      </c>
      <c r="D264" s="18" t="n">
        <v>98.880278</v>
      </c>
      <c r="E264" s="4" t="inlineStr"/>
      <c r="F264" s="18" t="n">
        <v>99.920018</v>
      </c>
      <c r="G264" s="18" t="n">
        <v>1.0442</v>
      </c>
      <c r="H264" s="16">
        <f>IF(ISNUMBER(F264),F264-N(G264),"")</f>
        <v/>
      </c>
      <c r="I264" s="15">
        <f>IF(AND(ISNUMBER(D264),ISNUMBER(H264)),(D264-H264)/100*10000,"")</f>
        <v/>
      </c>
      <c r="J264" s="18" t="n">
        <v>0.05</v>
      </c>
      <c r="K264" s="15">
        <f>IF(ISNUMBER(I264),I264+N(J264)/100*10000,"")</f>
        <v/>
      </c>
      <c r="L264" s="19" t="n">
        <v>0.543</v>
      </c>
      <c r="M264" s="4" t="inlineStr">
        <is>
          <t>+1.0442 USDC charged on top of 100 input (subtracted)</t>
        </is>
      </c>
    </row>
    <row r="265">
      <c r="A265" s="4" t="inlineStr">
        <is>
          <t>Base → SOL</t>
        </is>
      </c>
      <c r="B265" s="4" t="n">
        <v>2</v>
      </c>
      <c r="C265" s="4" t="inlineStr">
        <is>
          <t>deBridge</t>
        </is>
      </c>
      <c r="D265" s="18" t="n">
        <v>98.875097</v>
      </c>
      <c r="E265" s="4" t="inlineStr"/>
      <c r="F265" s="18" t="n">
        <v>99.920018</v>
      </c>
      <c r="G265" s="18" t="n">
        <v>1.0458</v>
      </c>
      <c r="H265" s="16">
        <f>IF(ISNUMBER(F265),F265-N(G265),"")</f>
        <v/>
      </c>
      <c r="I265" s="15">
        <f>IF(AND(ISNUMBER(D265),ISNUMBER(H265)),(D265-H265)/100*10000,"")</f>
        <v/>
      </c>
      <c r="J265" s="18" t="n">
        <v>0.05</v>
      </c>
      <c r="K265" s="15">
        <f>IF(ISNUMBER(I265),I265+N(J265)/100*10000,"")</f>
        <v/>
      </c>
      <c r="L265" s="19" t="n">
        <v>0.506</v>
      </c>
      <c r="M265" s="4" t="inlineStr">
        <is>
          <t>+1.0458 USDC charged on top of 100 input (subtracted)</t>
        </is>
      </c>
    </row>
    <row r="266">
      <c r="A266" s="4" t="inlineStr">
        <is>
          <t>Base → SOL</t>
        </is>
      </c>
      <c r="B266" s="4" t="n">
        <v>3</v>
      </c>
      <c r="C266" s="4" t="inlineStr">
        <is>
          <t>deBridge</t>
        </is>
      </c>
      <c r="D266" s="18" t="n">
        <v>98.880447</v>
      </c>
      <c r="E266" s="4" t="inlineStr"/>
      <c r="F266" s="18" t="n">
        <v>99.920018</v>
      </c>
      <c r="G266" s="18" t="n">
        <v>1.0404</v>
      </c>
      <c r="H266" s="16">
        <f>IF(ISNUMBER(F266),F266-N(G266),"")</f>
        <v/>
      </c>
      <c r="I266" s="15">
        <f>IF(AND(ISNUMBER(D266),ISNUMBER(H266)),(D266-H266)/100*10000,"")</f>
        <v/>
      </c>
      <c r="J266" s="18" t="n">
        <v>0.05</v>
      </c>
      <c r="K266" s="15">
        <f>IF(ISNUMBER(I266),I266+N(J266)/100*10000,"")</f>
        <v/>
      </c>
      <c r="L266" s="19" t="n">
        <v>0.317</v>
      </c>
      <c r="M266" s="4" t="inlineStr">
        <is>
          <t>+1.0404 USDC charged on top of 100 input (subtracted)</t>
        </is>
      </c>
    </row>
    <row r="267">
      <c r="A267" s="4" t="inlineStr">
        <is>
          <t>Base → SOL</t>
        </is>
      </c>
      <c r="B267" s="4" t="n">
        <v>3</v>
      </c>
      <c r="C267" s="4" t="inlineStr">
        <is>
          <t>deBridge</t>
        </is>
      </c>
      <c r="D267" s="18" t="n">
        <v>98.879622</v>
      </c>
      <c r="E267" s="4" t="inlineStr"/>
      <c r="F267" s="18" t="n">
        <v>99.920018</v>
      </c>
      <c r="G267" s="18" t="n">
        <v>1.0412</v>
      </c>
      <c r="H267" s="16">
        <f>IF(ISNUMBER(F267),F267-N(G267),"")</f>
        <v/>
      </c>
      <c r="I267" s="15">
        <f>IF(AND(ISNUMBER(D267),ISNUMBER(H267)),(D267-H267)/100*10000,"")</f>
        <v/>
      </c>
      <c r="J267" s="18" t="n">
        <v>0.05</v>
      </c>
      <c r="K267" s="15">
        <f>IF(ISNUMBER(I267),I267+N(J267)/100*10000,"")</f>
        <v/>
      </c>
      <c r="L267" s="19" t="n">
        <v>0.576</v>
      </c>
      <c r="M267" s="4" t="inlineStr">
        <is>
          <t>+1.0412 USDC charged on top of 100 input (subtracted)</t>
        </is>
      </c>
    </row>
    <row r="268">
      <c r="A268" s="4" t="inlineStr">
        <is>
          <t>Base → SOL</t>
        </is>
      </c>
      <c r="B268" s="4" t="n">
        <v>1</v>
      </c>
      <c r="C268" s="4" t="inlineStr">
        <is>
          <t>LI.FI (Jumper)</t>
        </is>
      </c>
      <c r="D268" s="18" t="n">
        <v>98.981313</v>
      </c>
      <c r="E268" s="4" t="inlineStr"/>
      <c r="F268" s="18" t="n">
        <v>100</v>
      </c>
      <c r="G268" s="18" t="n"/>
      <c r="H268" s="16">
        <f>IF(ISNUMBER(F268),F268-N(G268),"")</f>
        <v/>
      </c>
      <c r="I268" s="15">
        <f>IF(AND(ISNUMBER(D268),ISNUMBER(H268)),(D268-H268)/100*10000,"")</f>
        <v/>
      </c>
      <c r="J268" s="18" t="n">
        <v>0.05</v>
      </c>
      <c r="K268" s="15">
        <f>IF(ISNUMBER(I268),I268+N(J268)/100*10000,"")</f>
        <v/>
      </c>
      <c r="L268" s="19" t="n">
        <v>1.056</v>
      </c>
      <c r="M268" s="4" t="inlineStr">
        <is>
          <t>Jumper Best Return via Polymer (Standard); max route 100.0</t>
        </is>
      </c>
    </row>
    <row r="269">
      <c r="A269" s="4" t="inlineStr">
        <is>
          <t>Base → SOL</t>
        </is>
      </c>
      <c r="B269" s="4" t="n">
        <v>1</v>
      </c>
      <c r="C269" s="4" t="inlineStr">
        <is>
          <t>LI.FI (Jumper)</t>
        </is>
      </c>
      <c r="D269" s="18" t="n">
        <v>98.983104</v>
      </c>
      <c r="E269" s="4" t="inlineStr"/>
      <c r="F269" s="18" t="n">
        <v>100</v>
      </c>
      <c r="G269" s="18" t="n"/>
      <c r="H269" s="16">
        <f>IF(ISNUMBER(F269),F269-N(G269),"")</f>
        <v/>
      </c>
      <c r="I269" s="15">
        <f>IF(AND(ISNUMBER(D269),ISNUMBER(H269)),(D269-H269)/100*10000,"")</f>
        <v/>
      </c>
      <c r="J269" s="18" t="n">
        <v>0.05</v>
      </c>
      <c r="K269" s="15">
        <f>IF(ISNUMBER(I269),I269+N(J269)/100*10000,"")</f>
        <v/>
      </c>
      <c r="L269" s="19" t="n">
        <v>1.083</v>
      </c>
      <c r="M269" s="4" t="inlineStr">
        <is>
          <t>Jumper Best Return via Polymer (Standard); max route 100.0</t>
        </is>
      </c>
    </row>
    <row r="270">
      <c r="A270" s="4" t="inlineStr">
        <is>
          <t>Base → SOL</t>
        </is>
      </c>
      <c r="B270" s="4" t="n">
        <v>2</v>
      </c>
      <c r="C270" s="4" t="inlineStr">
        <is>
          <t>LI.FI (Jumper)</t>
        </is>
      </c>
      <c r="D270" s="18" t="n">
        <v>98.98329099999999</v>
      </c>
      <c r="E270" s="4" t="inlineStr"/>
      <c r="F270" s="18" t="n">
        <v>100</v>
      </c>
      <c r="G270" s="18" t="n"/>
      <c r="H270" s="16">
        <f>IF(ISNUMBER(F270),F270-N(G270),"")</f>
        <v/>
      </c>
      <c r="I270" s="15">
        <f>IF(AND(ISNUMBER(D270),ISNUMBER(H270)),(D270-H270)/100*10000,"")</f>
        <v/>
      </c>
      <c r="J270" s="18" t="n">
        <v>0.05</v>
      </c>
      <c r="K270" s="15">
        <f>IF(ISNUMBER(I270),I270+N(J270)/100*10000,"")</f>
        <v/>
      </c>
      <c r="L270" s="19" t="n">
        <v>1.636</v>
      </c>
      <c r="M270" s="4" t="inlineStr">
        <is>
          <t>Jumper Best Return via Polymer (Standard); max route 100.0</t>
        </is>
      </c>
    </row>
    <row r="271">
      <c r="A271" s="4" t="inlineStr">
        <is>
          <t>Base → SOL</t>
        </is>
      </c>
      <c r="B271" s="4" t="n">
        <v>2</v>
      </c>
      <c r="C271" s="4" t="inlineStr">
        <is>
          <t>LI.FI (Jumper)</t>
        </is>
      </c>
      <c r="D271" s="18" t="n">
        <v>98.98329099999999</v>
      </c>
      <c r="E271" s="4" t="inlineStr"/>
      <c r="F271" s="18" t="n">
        <v>100</v>
      </c>
      <c r="G271" s="18" t="n"/>
      <c r="H271" s="16">
        <f>IF(ISNUMBER(F271),F271-N(G271),"")</f>
        <v/>
      </c>
      <c r="I271" s="15">
        <f>IF(AND(ISNUMBER(D271),ISNUMBER(H271)),(D271-H271)/100*10000,"")</f>
        <v/>
      </c>
      <c r="J271" s="18" t="n">
        <v>0.05</v>
      </c>
      <c r="K271" s="15">
        <f>IF(ISNUMBER(I271),I271+N(J271)/100*10000,"")</f>
        <v/>
      </c>
      <c r="L271" s="19" t="n">
        <v>0.931</v>
      </c>
      <c r="M271" s="4" t="inlineStr">
        <is>
          <t>Jumper Best Return via Polymer (Standard); max route 100.0</t>
        </is>
      </c>
    </row>
    <row r="272">
      <c r="A272" s="4" t="inlineStr">
        <is>
          <t>Base → SOL</t>
        </is>
      </c>
      <c r="B272" s="4" t="n">
        <v>3</v>
      </c>
      <c r="C272" s="4" t="inlineStr">
        <is>
          <t>LI.FI (Jumper)</t>
        </is>
      </c>
      <c r="D272" s="18" t="n">
        <v>98.982837</v>
      </c>
      <c r="E272" s="4" t="inlineStr"/>
      <c r="F272" s="18" t="n">
        <v>100</v>
      </c>
      <c r="G272" s="18" t="n"/>
      <c r="H272" s="16">
        <f>IF(ISNUMBER(F272),F272-N(G272),"")</f>
        <v/>
      </c>
      <c r="I272" s="15">
        <f>IF(AND(ISNUMBER(D272),ISNUMBER(H272)),(D272-H272)/100*10000,"")</f>
        <v/>
      </c>
      <c r="J272" s="18" t="n">
        <v>0.05</v>
      </c>
      <c r="K272" s="15">
        <f>IF(ISNUMBER(I272),I272+N(J272)/100*10000,"")</f>
        <v/>
      </c>
      <c r="L272" s="19" t="n">
        <v>1.328</v>
      </c>
      <c r="M272" s="4" t="inlineStr">
        <is>
          <t>Jumper Best Return via Polymer (Standard); max route 100.0</t>
        </is>
      </c>
    </row>
    <row r="273">
      <c r="A273" s="4" t="inlineStr">
        <is>
          <t>Base → SOL</t>
        </is>
      </c>
      <c r="B273" s="4" t="n">
        <v>3</v>
      </c>
      <c r="C273" s="4" t="inlineStr">
        <is>
          <t>LI.FI (Jumper)</t>
        </is>
      </c>
      <c r="D273" s="18" t="n">
        <v>98.98275599999999</v>
      </c>
      <c r="E273" s="4" t="inlineStr"/>
      <c r="F273" s="18" t="n">
        <v>100</v>
      </c>
      <c r="G273" s="18" t="n"/>
      <c r="H273" s="16">
        <f>IF(ISNUMBER(F273),F273-N(G273),"")</f>
        <v/>
      </c>
      <c r="I273" s="15">
        <f>IF(AND(ISNUMBER(D273),ISNUMBER(H273)),(D273-H273)/100*10000,"")</f>
        <v/>
      </c>
      <c r="J273" s="18" t="n">
        <v>0.05</v>
      </c>
      <c r="K273" s="15">
        <f>IF(ISNUMBER(I273),I273+N(J273)/100*10000,"")</f>
        <v/>
      </c>
      <c r="L273" s="19" t="n">
        <v>1.349</v>
      </c>
      <c r="M273" s="4" t="inlineStr">
        <is>
          <t>Jumper Best Return via Polymer (Standard); max route 100.0</t>
        </is>
      </c>
    </row>
    <row r="274">
      <c r="A274" s="4" t="inlineStr">
        <is>
          <t>Base → SOL</t>
        </is>
      </c>
      <c r="B274" s="4" t="n">
        <v>1</v>
      </c>
      <c r="C274" s="4" t="inlineStr">
        <is>
          <t>Across</t>
        </is>
      </c>
      <c r="D274" s="18" t="inlineStr">
        <is>
          <t>not listed</t>
        </is>
      </c>
      <c r="E274" s="4" t="inlineStr"/>
      <c r="F274" s="18" t="n">
        <v>99.98699999999999</v>
      </c>
      <c r="G274" s="18" t="n"/>
      <c r="H274" s="16">
        <f>IF(ISNUMBER(F274),F274-N(G274),"")</f>
        <v/>
      </c>
      <c r="I274" s="15">
        <f>IF(AND(ISNUMBER(D274),ISNUMBER(H274)),(D274-H274)/100*10000,"")</f>
        <v/>
      </c>
      <c r="J274" s="18" t="n">
        <v>0.05</v>
      </c>
      <c r="K274" s="15">
        <f>IF(ISNUMBER(I274),I274+N(J274)/100*10000,"")</f>
        <v/>
      </c>
      <c r="L274" s="19" t="n">
        <v>0.274</v>
      </c>
      <c r="M274" s="4" t="inlineStr"/>
    </row>
    <row r="275">
      <c r="A275" s="4" t="inlineStr">
        <is>
          <t>Base → SOL</t>
        </is>
      </c>
      <c r="B275" s="4" t="n">
        <v>1</v>
      </c>
      <c r="C275" s="4" t="inlineStr">
        <is>
          <t>Across</t>
        </is>
      </c>
      <c r="D275" s="18" t="inlineStr">
        <is>
          <t>not listed</t>
        </is>
      </c>
      <c r="E275" s="4" t="inlineStr"/>
      <c r="F275" s="18" t="n">
        <v>99.98699999999999</v>
      </c>
      <c r="G275" s="18" t="n"/>
      <c r="H275" s="16">
        <f>IF(ISNUMBER(F275),F275-N(G275),"")</f>
        <v/>
      </c>
      <c r="I275" s="15">
        <f>IF(AND(ISNUMBER(D275),ISNUMBER(H275)),(D275-H275)/100*10000,"")</f>
        <v/>
      </c>
      <c r="J275" s="18" t="n">
        <v>0.05</v>
      </c>
      <c r="K275" s="15">
        <f>IF(ISNUMBER(I275),I275+N(J275)/100*10000,"")</f>
        <v/>
      </c>
      <c r="L275" s="19" t="n">
        <v>0.094</v>
      </c>
      <c r="M275" s="4" t="inlineStr"/>
    </row>
    <row r="276">
      <c r="A276" s="4" t="inlineStr">
        <is>
          <t>Base → SOL</t>
        </is>
      </c>
      <c r="B276" s="4" t="n">
        <v>2</v>
      </c>
      <c r="C276" s="4" t="inlineStr">
        <is>
          <t>Across</t>
        </is>
      </c>
      <c r="D276" s="18" t="inlineStr">
        <is>
          <t>not listed</t>
        </is>
      </c>
      <c r="E276" s="4" t="inlineStr"/>
      <c r="F276" s="18" t="n">
        <v>99.98699999999999</v>
      </c>
      <c r="G276" s="18" t="n"/>
      <c r="H276" s="16">
        <f>IF(ISNUMBER(F276),F276-N(G276),"")</f>
        <v/>
      </c>
      <c r="I276" s="15">
        <f>IF(AND(ISNUMBER(D276),ISNUMBER(H276)),(D276-H276)/100*10000,"")</f>
        <v/>
      </c>
      <c r="J276" s="18" t="n">
        <v>0.05</v>
      </c>
      <c r="K276" s="15">
        <f>IF(ISNUMBER(I276),I276+N(J276)/100*10000,"")</f>
        <v/>
      </c>
      <c r="L276" s="19" t="n">
        <v>0.542</v>
      </c>
      <c r="M276" s="4" t="inlineStr"/>
    </row>
    <row r="277">
      <c r="A277" s="4" t="inlineStr">
        <is>
          <t>Base → SOL</t>
        </is>
      </c>
      <c r="B277" s="4" t="n">
        <v>2</v>
      </c>
      <c r="C277" s="4" t="inlineStr">
        <is>
          <t>Across</t>
        </is>
      </c>
      <c r="D277" s="18" t="inlineStr">
        <is>
          <t>not listed</t>
        </is>
      </c>
      <c r="E277" s="4" t="inlineStr"/>
      <c r="F277" s="18" t="n">
        <v>99.98699999999999</v>
      </c>
      <c r="G277" s="18" t="n"/>
      <c r="H277" s="16">
        <f>IF(ISNUMBER(F277),F277-N(G277),"")</f>
        <v/>
      </c>
      <c r="I277" s="15">
        <f>IF(AND(ISNUMBER(D277),ISNUMBER(H277)),(D277-H277)/100*10000,"")</f>
        <v/>
      </c>
      <c r="J277" s="18" t="n">
        <v>0.05</v>
      </c>
      <c r="K277" s="15">
        <f>IF(ISNUMBER(I277),I277+N(J277)/100*10000,"")</f>
        <v/>
      </c>
      <c r="L277" s="19" t="n">
        <v>0.118</v>
      </c>
      <c r="M277" s="4" t="inlineStr"/>
    </row>
    <row r="278">
      <c r="A278" s="4" t="inlineStr">
        <is>
          <t>Base → SOL</t>
        </is>
      </c>
      <c r="B278" s="4" t="n">
        <v>3</v>
      </c>
      <c r="C278" s="4" t="inlineStr">
        <is>
          <t>Across</t>
        </is>
      </c>
      <c r="D278" s="18" t="inlineStr">
        <is>
          <t>not listed</t>
        </is>
      </c>
      <c r="E278" s="4" t="inlineStr"/>
      <c r="F278" s="18" t="n">
        <v>99.98699999999999</v>
      </c>
      <c r="G278" s="18" t="n"/>
      <c r="H278" s="16">
        <f>IF(ISNUMBER(F278),F278-N(G278),"")</f>
        <v/>
      </c>
      <c r="I278" s="15">
        <f>IF(AND(ISNUMBER(D278),ISNUMBER(H278)),(D278-H278)/100*10000,"")</f>
        <v/>
      </c>
      <c r="J278" s="18" t="n">
        <v>0.05</v>
      </c>
      <c r="K278" s="15">
        <f>IF(ISNUMBER(I278),I278+N(J278)/100*10000,"")</f>
        <v/>
      </c>
      <c r="L278" s="19" t="n">
        <v>0.053</v>
      </c>
      <c r="M278" s="4" t="inlineStr"/>
    </row>
    <row r="279">
      <c r="A279" s="4" t="inlineStr">
        <is>
          <t>Base → SOL</t>
        </is>
      </c>
      <c r="B279" s="4" t="n">
        <v>3</v>
      </c>
      <c r="C279" s="4" t="inlineStr">
        <is>
          <t>Across</t>
        </is>
      </c>
      <c r="D279" s="18" t="inlineStr">
        <is>
          <t>not listed</t>
        </is>
      </c>
      <c r="E279" s="4" t="inlineStr"/>
      <c r="F279" s="18" t="n">
        <v>99.98699999999999</v>
      </c>
      <c r="G279" s="18" t="n"/>
      <c r="H279" s="16">
        <f>IF(ISNUMBER(F279),F279-N(G279),"")</f>
        <v/>
      </c>
      <c r="I279" s="15">
        <f>IF(AND(ISNUMBER(D279),ISNUMBER(H279)),(D279-H279)/100*10000,"")</f>
        <v/>
      </c>
      <c r="J279" s="18" t="n">
        <v>0.05</v>
      </c>
      <c r="K279" s="15">
        <f>IF(ISNUMBER(I279),I279+N(J279)/100*10000,"")</f>
        <v/>
      </c>
      <c r="L279" s="19" t="n">
        <v>0.306</v>
      </c>
      <c r="M279" s="4" t="inlineStr"/>
    </row>
    <row r="280">
      <c r="A280" s="4" t="inlineStr">
        <is>
          <t>Base → SOL</t>
        </is>
      </c>
      <c r="B280" s="4" t="n">
        <v>1</v>
      </c>
      <c r="C280" s="4" t="inlineStr">
        <is>
          <t>Mayan</t>
        </is>
      </c>
      <c r="D280" s="18" t="n">
        <v>99.629845</v>
      </c>
      <c r="E280" s="4" t="inlineStr"/>
      <c r="F280" s="18" t="n">
        <v>99.681</v>
      </c>
      <c r="G280" s="18" t="n"/>
      <c r="H280" s="16">
        <f>IF(ISNUMBER(F280),F280-N(G280),"")</f>
        <v/>
      </c>
      <c r="I280" s="15">
        <f>IF(AND(ISNUMBER(D280),ISNUMBER(H280)),(D280-H280)/100*10000,"")</f>
        <v/>
      </c>
      <c r="J280" s="18" t="n">
        <v>0.05</v>
      </c>
      <c r="K280" s="15">
        <f>IF(ISNUMBER(I280),I280+N(J280)/100*10000,"")</f>
        <v/>
      </c>
      <c r="L280" s="19" t="n">
        <v>0.444</v>
      </c>
      <c r="M280" s="4" t="inlineStr">
        <is>
          <t>Swift v2; UI shows 3 dp</t>
        </is>
      </c>
    </row>
    <row r="281">
      <c r="A281" s="4" t="inlineStr">
        <is>
          <t>Base → SOL</t>
        </is>
      </c>
      <c r="B281" s="4" t="n">
        <v>1</v>
      </c>
      <c r="C281" s="4" t="inlineStr">
        <is>
          <t>Mayan</t>
        </is>
      </c>
      <c r="D281" s="18" t="n">
        <v>99.631017</v>
      </c>
      <c r="E281" s="4" t="inlineStr"/>
      <c r="F281" s="18" t="n">
        <v>99.68000000000001</v>
      </c>
      <c r="G281" s="18" t="n"/>
      <c r="H281" s="16">
        <f>IF(ISNUMBER(F281),F281-N(G281),"")</f>
        <v/>
      </c>
      <c r="I281" s="15">
        <f>IF(AND(ISNUMBER(D281),ISNUMBER(H281)),(D281-H281)/100*10000,"")</f>
        <v/>
      </c>
      <c r="J281" s="18" t="n">
        <v>0.05</v>
      </c>
      <c r="K281" s="15">
        <f>IF(ISNUMBER(I281),I281+N(J281)/100*10000,"")</f>
        <v/>
      </c>
      <c r="L281" s="19" t="n">
        <v>0.267</v>
      </c>
      <c r="M281" s="4" t="inlineStr">
        <is>
          <t>Swift v2; UI shows 2 dp</t>
        </is>
      </c>
    </row>
    <row r="282">
      <c r="A282" s="4" t="inlineStr">
        <is>
          <t>Base → SOL</t>
        </is>
      </c>
      <c r="B282" s="4" t="n">
        <v>2</v>
      </c>
      <c r="C282" s="4" t="inlineStr">
        <is>
          <t>Mayan</t>
        </is>
      </c>
      <c r="D282" s="18" t="n">
        <v>99.631496</v>
      </c>
      <c r="E282" s="4" t="inlineStr"/>
      <c r="F282" s="18" t="n">
        <v>99.681</v>
      </c>
      <c r="G282" s="18" t="n"/>
      <c r="H282" s="16">
        <f>IF(ISNUMBER(F282),F282-N(G282),"")</f>
        <v/>
      </c>
      <c r="I282" s="15">
        <f>IF(AND(ISNUMBER(D282),ISNUMBER(H282)),(D282-H282)/100*10000,"")</f>
        <v/>
      </c>
      <c r="J282" s="18" t="n">
        <v>0.05</v>
      </c>
      <c r="K282" s="15">
        <f>IF(ISNUMBER(I282),I282+N(J282)/100*10000,"")</f>
        <v/>
      </c>
      <c r="L282" s="19" t="n">
        <v>0.244</v>
      </c>
      <c r="M282" s="4" t="inlineStr">
        <is>
          <t>Swift v2; UI shows 3 dp</t>
        </is>
      </c>
    </row>
    <row r="283">
      <c r="A283" s="4" t="inlineStr">
        <is>
          <t>Base → SOL</t>
        </is>
      </c>
      <c r="B283" s="4" t="n">
        <v>2</v>
      </c>
      <c r="C283" s="4" t="inlineStr">
        <is>
          <t>Mayan</t>
        </is>
      </c>
      <c r="D283" s="18" t="n">
        <v>99.63079500000001</v>
      </c>
      <c r="E283" s="4" t="inlineStr"/>
      <c r="F283" s="18" t="n">
        <v>99.68000000000001</v>
      </c>
      <c r="G283" s="18" t="n"/>
      <c r="H283" s="16">
        <f>IF(ISNUMBER(F283),F283-N(G283),"")</f>
        <v/>
      </c>
      <c r="I283" s="15">
        <f>IF(AND(ISNUMBER(D283),ISNUMBER(H283)),(D283-H283)/100*10000,"")</f>
        <v/>
      </c>
      <c r="J283" s="18" t="n">
        <v>0.05</v>
      </c>
      <c r="K283" s="15">
        <f>IF(ISNUMBER(I283),I283+N(J283)/100*10000,"")</f>
        <v/>
      </c>
      <c r="L283" s="19" t="n">
        <v>0.182</v>
      </c>
      <c r="M283" s="4" t="inlineStr">
        <is>
          <t>Swift v2; UI shows 2 dp</t>
        </is>
      </c>
    </row>
    <row r="284">
      <c r="A284" s="4" t="inlineStr">
        <is>
          <t>Base → SOL</t>
        </is>
      </c>
      <c r="B284" s="4" t="n">
        <v>3</v>
      </c>
      <c r="C284" s="4" t="inlineStr">
        <is>
          <t>Mayan</t>
        </is>
      </c>
      <c r="D284" s="18" t="n">
        <v>99.631057</v>
      </c>
      <c r="E284" s="4" t="inlineStr"/>
      <c r="F284" s="18" t="n">
        <v>99.68000000000001</v>
      </c>
      <c r="G284" s="18" t="n"/>
      <c r="H284" s="16">
        <f>IF(ISNUMBER(F284),F284-N(G284),"")</f>
        <v/>
      </c>
      <c r="I284" s="15">
        <f>IF(AND(ISNUMBER(D284),ISNUMBER(H284)),(D284-H284)/100*10000,"")</f>
        <v/>
      </c>
      <c r="J284" s="18" t="n">
        <v>0.05</v>
      </c>
      <c r="K284" s="15">
        <f>IF(ISNUMBER(I284),I284+N(J284)/100*10000,"")</f>
        <v/>
      </c>
      <c r="L284" s="19" t="n">
        <v>0.243</v>
      </c>
      <c r="M284" s="4" t="inlineStr">
        <is>
          <t>Swift v2; UI shows 2 dp</t>
        </is>
      </c>
    </row>
    <row r="285">
      <c r="A285" s="4" t="inlineStr">
        <is>
          <t>Base → SOL</t>
        </is>
      </c>
      <c r="B285" s="4" t="n">
        <v>3</v>
      </c>
      <c r="C285" s="4" t="inlineStr">
        <is>
          <t>Mayan</t>
        </is>
      </c>
      <c r="D285" s="18" t="n">
        <v>99.630927</v>
      </c>
      <c r="E285" s="4" t="inlineStr"/>
      <c r="F285" s="18" t="n">
        <v>99.68000000000001</v>
      </c>
      <c r="G285" s="18" t="n"/>
      <c r="H285" s="16">
        <f>IF(ISNUMBER(F285),F285-N(G285),"")</f>
        <v/>
      </c>
      <c r="I285" s="15">
        <f>IF(AND(ISNUMBER(D285),ISNUMBER(H285)),(D285-H285)/100*10000,"")</f>
        <v/>
      </c>
      <c r="J285" s="18" t="n">
        <v>0.05</v>
      </c>
      <c r="K285" s="15">
        <f>IF(ISNUMBER(I285),I285+N(J285)/100*10000,"")</f>
        <v/>
      </c>
      <c r="L285" s="19" t="n">
        <v>0.704</v>
      </c>
      <c r="M285" s="4" t="inlineStr">
        <is>
          <t>Swift v2; UI shows 2 dp</t>
        </is>
      </c>
    </row>
    <row r="286">
      <c r="A286" s="4" t="inlineStr">
        <is>
          <t>Base → SOL</t>
        </is>
      </c>
      <c r="B286" s="4" t="n">
        <v>1</v>
      </c>
      <c r="C286" s="4" t="inlineStr">
        <is>
          <t>Allbridge Core</t>
        </is>
      </c>
      <c r="D286" s="18" t="n">
        <v>99.85005</v>
      </c>
      <c r="E286" s="4" t="inlineStr"/>
      <c r="F286" s="18" t="n">
        <v>99.90000000000001</v>
      </c>
      <c r="G286" s="18" t="n"/>
      <c r="H286" s="16">
        <f>IF(ISNUMBER(F286),F286-N(G286),"")</f>
        <v/>
      </c>
      <c r="I286" s="15">
        <f>IF(AND(ISNUMBER(D286),ISNUMBER(H286)),(D286-H286)/100*10000,"")</f>
        <v/>
      </c>
      <c r="J286" s="18" t="n">
        <v>0.05</v>
      </c>
      <c r="K286" s="15">
        <f>IF(ISNUMBER(I286),I286+N(J286)/100*10000,"")</f>
        <v/>
      </c>
      <c r="L286" s="19" t="n">
        <v>0.17</v>
      </c>
      <c r="M286" s="4" t="inlineStr">
        <is>
          <t>+0.000136 ETH (relayer fee, fee=native) charged on top of 100 input (not converted)</t>
        </is>
      </c>
    </row>
    <row r="287">
      <c r="A287" s="4" t="inlineStr">
        <is>
          <t>Base → SOL</t>
        </is>
      </c>
      <c r="B287" s="4" t="n">
        <v>2</v>
      </c>
      <c r="C287" s="4" t="inlineStr">
        <is>
          <t>Allbridge Core</t>
        </is>
      </c>
      <c r="D287" s="18" t="n">
        <v>99.85005</v>
      </c>
      <c r="E287" s="4" t="inlineStr"/>
      <c r="F287" s="18" t="n">
        <v>99.90000000000001</v>
      </c>
      <c r="G287" s="18" t="n"/>
      <c r="H287" s="16">
        <f>IF(ISNUMBER(F287),F287-N(G287),"")</f>
        <v/>
      </c>
      <c r="I287" s="15">
        <f>IF(AND(ISNUMBER(D287),ISNUMBER(H287)),(D287-H287)/100*10000,"")</f>
        <v/>
      </c>
      <c r="J287" s="18" t="n">
        <v>0.05</v>
      </c>
      <c r="K287" s="15">
        <f>IF(ISNUMBER(I287),I287+N(J287)/100*10000,"")</f>
        <v/>
      </c>
      <c r="L287" s="19" t="n">
        <v>0.134</v>
      </c>
      <c r="M287" s="4" t="inlineStr">
        <is>
          <t>+0.000136 ETH (relayer fee, fee=native) charged on top of 100 input (not converted)</t>
        </is>
      </c>
    </row>
    <row r="288">
      <c r="A288" s="4" t="inlineStr">
        <is>
          <t>Base → SOL</t>
        </is>
      </c>
      <c r="B288" s="4" t="n">
        <v>3</v>
      </c>
      <c r="C288" s="4" t="inlineStr">
        <is>
          <t>Allbridge Core</t>
        </is>
      </c>
      <c r="D288" s="18" t="n">
        <v>99.85005</v>
      </c>
      <c r="E288" s="4" t="inlineStr"/>
      <c r="F288" s="18" t="n">
        <v>99.90000000000001</v>
      </c>
      <c r="G288" s="18" t="n"/>
      <c r="H288" s="16">
        <f>IF(ISNUMBER(F288),F288-N(G288),"")</f>
        <v/>
      </c>
      <c r="I288" s="15">
        <f>IF(AND(ISNUMBER(D288),ISNUMBER(H288)),(D288-H288)/100*10000,"")</f>
        <v/>
      </c>
      <c r="J288" s="18" t="n">
        <v>0.05</v>
      </c>
      <c r="K288" s="15">
        <f>IF(ISNUMBER(I288),I288+N(J288)/100*10000,"")</f>
        <v/>
      </c>
      <c r="L288" s="19" t="n">
        <v>0.355</v>
      </c>
      <c r="M288" s="4" t="inlineStr">
        <is>
          <t>+0.000136 ETH (relayer fee, fee=native) charged on top of 100 input (not converted)</t>
        </is>
      </c>
    </row>
    <row r="289">
      <c r="A289" s="4" t="inlineStr">
        <is>
          <t>Base → SOL</t>
        </is>
      </c>
      <c r="B289" s="4" t="n">
        <v>1</v>
      </c>
      <c r="C289" s="4" t="inlineStr">
        <is>
          <t>CCTP (via Portal)</t>
        </is>
      </c>
      <c r="D289" s="18" t="n">
        <v>99.777855</v>
      </c>
      <c r="E289" s="4" t="inlineStr"/>
      <c r="F289" s="18" t="n">
        <v>99.977001</v>
      </c>
      <c r="G289" s="18" t="n"/>
      <c r="H289" s="16">
        <f>IF(ISNUMBER(F289),F289-N(G289),"")</f>
        <v/>
      </c>
      <c r="I289" s="15">
        <f>IF(AND(ISNUMBER(D289),ISNUMBER(H289)),(D289-H289)/100*10000,"")</f>
        <v/>
      </c>
      <c r="J289" s="18" t="n">
        <v>0.05</v>
      </c>
      <c r="K289" s="15">
        <f>IF(ISNUMBER(I289),I289+N(J289)/100*10000,"")</f>
        <v/>
      </c>
      <c r="L289" s="19" t="n">
        <v>2.601</v>
      </c>
      <c r="M289" s="4" t="inlineStr">
        <is>
          <t>via Portal (CCTPv2FastExecutorRoute); executor fee hidden until wallet connect</t>
        </is>
      </c>
    </row>
    <row r="290">
      <c r="A290" s="4" t="inlineStr">
        <is>
          <t>Base → SOL</t>
        </is>
      </c>
      <c r="B290" s="4" t="n">
        <v>2</v>
      </c>
      <c r="C290" s="4" t="inlineStr">
        <is>
          <t>CCTP (via Portal)</t>
        </is>
      </c>
      <c r="D290" s="18" t="n">
        <v>99.783158</v>
      </c>
      <c r="E290" s="4" t="inlineStr"/>
      <c r="F290" s="18" t="n">
        <v>99.977001</v>
      </c>
      <c r="G290" s="18" t="n"/>
      <c r="H290" s="16">
        <f>IF(ISNUMBER(F290),F290-N(G290),"")</f>
        <v/>
      </c>
      <c r="I290" s="15">
        <f>IF(AND(ISNUMBER(D290),ISNUMBER(H290)),(D290-H290)/100*10000,"")</f>
        <v/>
      </c>
      <c r="J290" s="18" t="n">
        <v>0.05</v>
      </c>
      <c r="K290" s="15">
        <f>IF(ISNUMBER(I290),I290+N(J290)/100*10000,"")</f>
        <v/>
      </c>
      <c r="L290" s="19" t="n">
        <v>2.686</v>
      </c>
      <c r="M290" s="4" t="inlineStr">
        <is>
          <t>via Portal (CCTPv2FastExecutorRoute); executor fee hidden until wallet connect</t>
        </is>
      </c>
    </row>
    <row r="291">
      <c r="A291" s="4" t="inlineStr">
        <is>
          <t>Base → SOL</t>
        </is>
      </c>
      <c r="B291" s="4" t="n">
        <v>3</v>
      </c>
      <c r="C291" s="4" t="inlineStr">
        <is>
          <t>CCTP (via Portal)</t>
        </is>
      </c>
      <c r="D291" s="18" t="n">
        <v>99.783158</v>
      </c>
      <c r="E291" s="4" t="inlineStr"/>
      <c r="F291" s="18" t="n">
        <v>99.977001</v>
      </c>
      <c r="G291" s="18" t="n"/>
      <c r="H291" s="16">
        <f>IF(ISNUMBER(F291),F291-N(G291),"")</f>
        <v/>
      </c>
      <c r="I291" s="15">
        <f>IF(AND(ISNUMBER(D291),ISNUMBER(H291)),(D291-H291)/100*10000,"")</f>
        <v/>
      </c>
      <c r="J291" s="18" t="n">
        <v>0.05</v>
      </c>
      <c r="K291" s="15">
        <f>IF(ISNUMBER(I291),I291+N(J291)/100*10000,"")</f>
        <v/>
      </c>
      <c r="L291" s="19" t="n">
        <v>2.767</v>
      </c>
      <c r="M291" s="4" t="inlineStr">
        <is>
          <t>via Portal (CCTPv2FastExecutorRoute); executor fee hidden until wallet connect</t>
        </is>
      </c>
    </row>
    <row r="292">
      <c r="A292" s="4" t="inlineStr">
        <is>
          <t>Base → SOL</t>
        </is>
      </c>
      <c r="B292" s="4" t="n">
        <v>1</v>
      </c>
      <c r="C292" s="4" t="inlineStr">
        <is>
          <t>Husher</t>
        </is>
      </c>
      <c r="D292" s="18" t="n">
        <v>99.45025</v>
      </c>
      <c r="E292" s="4" t="inlineStr"/>
      <c r="F292" s="18" t="n">
        <v>99.34999999999999</v>
      </c>
      <c r="G292" s="18" t="n"/>
      <c r="H292" s="16">
        <f>IF(ISNUMBER(F292),F292-N(G292),"")</f>
        <v/>
      </c>
      <c r="I292" s="15">
        <f>IF(AND(ISNUMBER(D292),ISNUMBER(H292)),(D292-H292)/100*10000,"")</f>
        <v/>
      </c>
      <c r="J292" s="18" t="n">
        <v>0.05</v>
      </c>
      <c r="K292" s="15">
        <f>IF(ISNUMBER(I292),I292+N(J292)/100*10000,"")</f>
        <v/>
      </c>
      <c r="L292" s="19" t="n">
        <v>0.332</v>
      </c>
      <c r="M292" s="4" t="inlineStr"/>
    </row>
    <row r="293">
      <c r="A293" s="4" t="inlineStr">
        <is>
          <t>Base → SOL</t>
        </is>
      </c>
      <c r="B293" s="4" t="n">
        <v>2</v>
      </c>
      <c r="C293" s="4" t="inlineStr">
        <is>
          <t>Husher</t>
        </is>
      </c>
      <c r="D293" s="18" t="n">
        <v>99.45025</v>
      </c>
      <c r="E293" s="4" t="inlineStr"/>
      <c r="F293" s="18" t="n">
        <v>99.34999999999999</v>
      </c>
      <c r="G293" s="18" t="n"/>
      <c r="H293" s="16">
        <f>IF(ISNUMBER(F293),F293-N(G293),"")</f>
        <v/>
      </c>
      <c r="I293" s="15">
        <f>IF(AND(ISNUMBER(D293),ISNUMBER(H293)),(D293-H293)/100*10000,"")</f>
        <v/>
      </c>
      <c r="J293" s="18" t="n">
        <v>0.05</v>
      </c>
      <c r="K293" s="15">
        <f>IF(ISNUMBER(I293),I293+N(J293)/100*10000,"")</f>
        <v/>
      </c>
      <c r="L293" s="19" t="n">
        <v>0.214</v>
      </c>
      <c r="M293" s="4" t="inlineStr"/>
    </row>
    <row r="294">
      <c r="A294" s="4" t="inlineStr">
        <is>
          <t>Base → SOL</t>
        </is>
      </c>
      <c r="B294" s="4" t="n">
        <v>3</v>
      </c>
      <c r="C294" s="4" t="inlineStr">
        <is>
          <t>Husher</t>
        </is>
      </c>
      <c r="D294" s="18" t="n">
        <v>99.45025</v>
      </c>
      <c r="E294" s="4" t="inlineStr"/>
      <c r="F294" s="18" t="n">
        <v>99.34999999999999</v>
      </c>
      <c r="G294" s="18" t="n"/>
      <c r="H294" s="16">
        <f>IF(ISNUMBER(F294),F294-N(G294),"")</f>
        <v/>
      </c>
      <c r="I294" s="15">
        <f>IF(AND(ISNUMBER(D294),ISNUMBER(H294)),(D294-H294)/100*10000,"")</f>
        <v/>
      </c>
      <c r="J294" s="18" t="n">
        <v>0.05</v>
      </c>
      <c r="K294" s="15">
        <f>IF(ISNUMBER(I294),I294+N(J294)/100*10000,"")</f>
        <v/>
      </c>
      <c r="L294" s="19" t="n">
        <v>0.498</v>
      </c>
      <c r="M294" s="4" t="inlineStr"/>
    </row>
    <row r="295">
      <c r="A295" s="4" t="inlineStr">
        <is>
          <t>Base → SOL</t>
        </is>
      </c>
      <c r="B295" s="4" t="n">
        <v>1</v>
      </c>
      <c r="C295" s="4" t="inlineStr">
        <is>
          <t>Layerswap</t>
        </is>
      </c>
      <c r="D295" s="18" t="n">
        <v>99.591808</v>
      </c>
      <c r="E295" s="4" t="inlineStr"/>
      <c r="F295" s="18" t="n">
        <v>99.67345899999999</v>
      </c>
      <c r="G295" s="18" t="n"/>
      <c r="H295" s="16">
        <f>IF(ISNUMBER(F295),F295-N(G295),"")</f>
        <v/>
      </c>
      <c r="I295" s="15">
        <f>IF(AND(ISNUMBER(D295),ISNUMBER(H295)),(D295-H295)/100*10000,"")</f>
        <v/>
      </c>
      <c r="J295" s="18" t="n">
        <v>0.05</v>
      </c>
      <c r="K295" s="15">
        <f>IF(ISNUMBER(I295),I295+N(J295)/100*10000,"")</f>
        <v/>
      </c>
      <c r="L295" s="19" t="n">
        <v>1.471</v>
      </c>
      <c r="M295" s="4" t="inlineStr"/>
    </row>
    <row r="296">
      <c r="A296" s="4" t="inlineStr">
        <is>
          <t>Base → SOL</t>
        </is>
      </c>
      <c r="B296" s="4" t="n">
        <v>2</v>
      </c>
      <c r="C296" s="4" t="inlineStr">
        <is>
          <t>Layerswap</t>
        </is>
      </c>
      <c r="D296" s="18" t="n">
        <v>99.59188399999999</v>
      </c>
      <c r="E296" s="4" t="inlineStr"/>
      <c r="F296" s="18" t="n">
        <v>99.673535</v>
      </c>
      <c r="G296" s="18" t="n"/>
      <c r="H296" s="16">
        <f>IF(ISNUMBER(F296),F296-N(G296),"")</f>
        <v/>
      </c>
      <c r="I296" s="15">
        <f>IF(AND(ISNUMBER(D296),ISNUMBER(H296)),(D296-H296)/100*10000,"")</f>
        <v/>
      </c>
      <c r="J296" s="18" t="n">
        <v>0.05</v>
      </c>
      <c r="K296" s="15">
        <f>IF(ISNUMBER(I296),I296+N(J296)/100*10000,"")</f>
        <v/>
      </c>
      <c r="L296" s="19" t="n">
        <v>1.156</v>
      </c>
      <c r="M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Layerswap</t>
        </is>
      </c>
      <c r="D297" s="18" t="n">
        <v>99.591835</v>
      </c>
      <c r="E297" s="4" t="inlineStr"/>
      <c r="F297" s="18" t="n">
        <v>99.673486</v>
      </c>
      <c r="G297" s="18" t="n"/>
      <c r="H297" s="16">
        <f>IF(ISNUMBER(F297),F297-N(G297),"")</f>
        <v/>
      </c>
      <c r="I297" s="15">
        <f>IF(AND(ISNUMBER(D297),ISNUMBER(H297)),(D297-H297)/100*10000,"")</f>
        <v/>
      </c>
      <c r="J297" s="18" t="n">
        <v>0.05</v>
      </c>
      <c r="K297" s="15">
        <f>IF(ISNUMBER(I297),I297+N(J297)/100*10000,"")</f>
        <v/>
      </c>
      <c r="L297" s="19" t="n">
        <v>1.26</v>
      </c>
      <c r="M297" s="4" t="inlineStr"/>
    </row>
    <row r="298">
      <c r="A298" s="4" t="inlineStr">
        <is>
          <t>Base → SOL</t>
        </is>
      </c>
      <c r="B298" s="4" t="n">
        <v>1</v>
      </c>
      <c r="C298" s="4" t="inlineStr">
        <is>
          <t>Meson</t>
        </is>
      </c>
      <c r="D298" s="18" t="n">
        <v>99.45025</v>
      </c>
      <c r="E298" s="4" t="inlineStr"/>
      <c r="F298" s="18" t="n">
        <v>99.59999999999999</v>
      </c>
      <c r="G298" s="18" t="n"/>
      <c r="H298" s="16">
        <f>IF(ISNUMBER(F298),F298-N(G298),"")</f>
        <v/>
      </c>
      <c r="I298" s="15">
        <f>IF(AND(ISNUMBER(D298),ISNUMBER(H298)),(D298-H298)/100*10000,"")</f>
        <v/>
      </c>
      <c r="J298" s="18" t="n">
        <v>0.05</v>
      </c>
      <c r="K298" s="15">
        <f>IF(ISNUMBER(I298),I298+N(J298)/100*10000,"")</f>
        <v/>
      </c>
      <c r="L298" s="19" t="n">
        <v>0.681</v>
      </c>
      <c r="M298" s="4" t="inlineStr"/>
    </row>
    <row r="299">
      <c r="A299" s="4" t="inlineStr">
        <is>
          <t>Base → SOL</t>
        </is>
      </c>
      <c r="B299" s="4" t="n">
        <v>2</v>
      </c>
      <c r="C299" s="4" t="inlineStr">
        <is>
          <t>Meson</t>
        </is>
      </c>
      <c r="D299" s="18" t="n">
        <v>99.45025</v>
      </c>
      <c r="E299" s="4" t="inlineStr"/>
      <c r="F299" s="18" t="n">
        <v>99.59999999999999</v>
      </c>
      <c r="G299" s="18" t="n"/>
      <c r="H299" s="16">
        <f>IF(ISNUMBER(F299),F299-N(G299),"")</f>
        <v/>
      </c>
      <c r="I299" s="15">
        <f>IF(AND(ISNUMBER(D299),ISNUMBER(H299)),(D299-H299)/100*10000,"")</f>
        <v/>
      </c>
      <c r="J299" s="18" t="n">
        <v>0.05</v>
      </c>
      <c r="K299" s="15">
        <f>IF(ISNUMBER(I299),I299+N(J299)/100*10000,"")</f>
        <v/>
      </c>
      <c r="L299" s="19" t="n">
        <v>0.772</v>
      </c>
      <c r="M299" s="4" t="inlineStr"/>
    </row>
    <row r="300">
      <c r="A300" s="4" t="inlineStr">
        <is>
          <t>Base → SOL</t>
        </is>
      </c>
      <c r="B300" s="4" t="n">
        <v>3</v>
      </c>
      <c r="C300" s="4" t="inlineStr">
        <is>
          <t>Meson</t>
        </is>
      </c>
      <c r="D300" s="18" t="n">
        <v>99.45025</v>
      </c>
      <c r="E300" s="4" t="inlineStr"/>
      <c r="F300" s="18" t="n">
        <v>99.59999999999999</v>
      </c>
      <c r="G300" s="18" t="n"/>
      <c r="H300" s="16">
        <f>IF(ISNUMBER(F300),F300-N(G300),"")</f>
        <v/>
      </c>
      <c r="I300" s="15">
        <f>IF(AND(ISNUMBER(D300),ISNUMBER(H300)),(D300-H300)/100*10000,"")</f>
        <v/>
      </c>
      <c r="J300" s="18" t="n">
        <v>0.05</v>
      </c>
      <c r="K300" s="15">
        <f>IF(ISNUMBER(I300),I300+N(J300)/100*10000,"")</f>
        <v/>
      </c>
      <c r="L300" s="19" t="n">
        <v>0.442</v>
      </c>
      <c r="M300" s="4" t="inlineStr"/>
    </row>
    <row r="301">
      <c r="A301" s="4" t="inlineStr">
        <is>
          <t>Base → SOL</t>
        </is>
      </c>
      <c r="B301" s="4" t="n">
        <v>1</v>
      </c>
      <c r="C301" s="4" t="inlineStr">
        <is>
          <t>SimpleSwap</t>
        </is>
      </c>
      <c r="D301" s="18" t="n">
        <v>97.699749</v>
      </c>
      <c r="E301" s="4" t="inlineStr"/>
      <c r="F301" s="18" t="n"/>
      <c r="G301" s="18" t="n"/>
      <c r="H301" s="16">
        <f>IF(ISNUMBER(F301),F301-N(G301),"")</f>
        <v/>
      </c>
      <c r="I301" s="15">
        <f>IF(AND(ISNUMBER(D301),ISNUMBER(H301)),(D301-H301)/100*10000,"")</f>
        <v/>
      </c>
      <c r="J301" s="18" t="n">
        <v>0.05</v>
      </c>
      <c r="K301" s="15">
        <f>IF(ISNUMBER(I301),I301+N(J301)/100*10000,"")</f>
        <v/>
      </c>
      <c r="L301" s="19" t="n"/>
      <c r="M301" s="4" t="inlineStr">
        <is>
          <t>selected card: None; best card None</t>
        </is>
      </c>
    </row>
    <row r="302">
      <c r="A302" s="4" t="inlineStr">
        <is>
          <t>Base → SOL</t>
        </is>
      </c>
      <c r="B302" s="4" t="n">
        <v>2</v>
      </c>
      <c r="C302" s="4" t="inlineStr">
        <is>
          <t>SimpleSwap</t>
        </is>
      </c>
      <c r="D302" s="18" t="n">
        <v>97.699746</v>
      </c>
      <c r="E302" s="4" t="inlineStr"/>
      <c r="F302" s="18" t="n"/>
      <c r="G302" s="18" t="n"/>
      <c r="H302" s="16">
        <f>IF(ISNUMBER(F302),F302-N(G302),"")</f>
        <v/>
      </c>
      <c r="I302" s="15">
        <f>IF(AND(ISNUMBER(D302),ISNUMBER(H302)),(D302-H302)/100*10000,"")</f>
        <v/>
      </c>
      <c r="J302" s="18" t="n">
        <v>0.05</v>
      </c>
      <c r="K302" s="15">
        <f>IF(ISNUMBER(I302),I302+N(J302)/100*10000,"")</f>
        <v/>
      </c>
      <c r="L302" s="19" t="n"/>
      <c r="M302" s="4" t="inlineStr">
        <is>
          <t>selected card: None; best card None</t>
        </is>
      </c>
    </row>
    <row r="303">
      <c r="A303" s="4" t="inlineStr">
        <is>
          <t>Base → SOL</t>
        </is>
      </c>
      <c r="B303" s="4" t="n">
        <v>3</v>
      </c>
      <c r="C303" s="4" t="inlineStr">
        <is>
          <t>SimpleSwap</t>
        </is>
      </c>
      <c r="D303" s="18" t="n">
        <v>97.699893</v>
      </c>
      <c r="E303" s="4" t="inlineStr"/>
      <c r="F303" s="18" t="n">
        <v>98.49063200000001</v>
      </c>
      <c r="G303" s="18" t="n"/>
      <c r="H303" s="16">
        <f>IF(ISNUMBER(F303),F303-N(G303),"")</f>
        <v/>
      </c>
      <c r="I303" s="15">
        <f>IF(AND(ISNUMBER(D303),ISNUMBER(H303)),(D303-H303)/100*10000,"")</f>
        <v/>
      </c>
      <c r="J303" s="18" t="n">
        <v>0.05</v>
      </c>
      <c r="K303" s="15">
        <f>IF(ISNUMBER(I303),I303+N(J303)/100*10000,"")</f>
        <v/>
      </c>
      <c r="L303" s="19" t="n">
        <v>2.138</v>
      </c>
      <c r="M303" s="4" t="inlineStr">
        <is>
          <t>selected card: Best rate / Decentralized; best card 98.490632</t>
        </is>
      </c>
    </row>
    <row r="304">
      <c r="A304" s="4" t="inlineStr">
        <is>
          <t>Base → SOL</t>
        </is>
      </c>
      <c r="B304" s="4" t="n">
        <v>1</v>
      </c>
      <c r="C304" s="4" t="inlineStr">
        <is>
          <t>Skip Go</t>
        </is>
      </c>
      <c r="D304" s="18" t="n">
        <v>99.681442</v>
      </c>
      <c r="E304" s="4" t="inlineStr"/>
      <c r="F304" s="18" t="n">
        <v>99.71571</v>
      </c>
      <c r="G304" s="18" t="n"/>
      <c r="H304" s="16">
        <f>IF(ISNUMBER(F304),F304-N(G304),"")</f>
        <v/>
      </c>
      <c r="I304" s="15">
        <f>IF(AND(ISNUMBER(D304),ISNUMBER(H304)),(D304-H304)/100*10000,"")</f>
        <v/>
      </c>
      <c r="J304" s="18" t="n">
        <v>0.05</v>
      </c>
      <c r="K304" s="15">
        <f>IF(ISNUMBER(I304),I304+N(J304)/100*10000,"")</f>
        <v/>
      </c>
      <c r="L304" s="19" t="n">
        <v>0.975</v>
      </c>
      <c r="M304" s="4" t="inlineStr"/>
    </row>
    <row r="305">
      <c r="A305" s="4" t="inlineStr">
        <is>
          <t>Base → SOL</t>
        </is>
      </c>
      <c r="B305" s="4" t="n">
        <v>2</v>
      </c>
      <c r="C305" s="4" t="inlineStr">
        <is>
          <t>Skip Go</t>
        </is>
      </c>
      <c r="D305" s="18" t="n">
        <v>99.681579</v>
      </c>
      <c r="E305" s="4" t="inlineStr"/>
      <c r="F305" s="18" t="n">
        <v>99.71585</v>
      </c>
      <c r="G305" s="18" t="n"/>
      <c r="H305" s="16">
        <f>IF(ISNUMBER(F305),F305-N(G305),"")</f>
        <v/>
      </c>
      <c r="I305" s="15">
        <f>IF(AND(ISNUMBER(D305),ISNUMBER(H305)),(D305-H305)/100*10000,"")</f>
        <v/>
      </c>
      <c r="J305" s="18" t="n">
        <v>0.05</v>
      </c>
      <c r="K305" s="15">
        <f>IF(ISNUMBER(I305),I305+N(J305)/100*10000,"")</f>
        <v/>
      </c>
      <c r="L305" s="19" t="n">
        <v>1.32</v>
      </c>
      <c r="M305" s="4" t="inlineStr"/>
    </row>
    <row r="306">
      <c r="A306" s="4" t="inlineStr">
        <is>
          <t>Base → SOL</t>
        </is>
      </c>
      <c r="B306" s="4" t="n">
        <v>3</v>
      </c>
      <c r="C306" s="4" t="inlineStr">
        <is>
          <t>Skip Go</t>
        </is>
      </c>
      <c r="D306" s="18" t="n">
        <v>99.681579</v>
      </c>
      <c r="E306" s="4" t="inlineStr"/>
      <c r="F306" s="18" t="n">
        <v>99.71585</v>
      </c>
      <c r="G306" s="18" t="n"/>
      <c r="H306" s="16">
        <f>IF(ISNUMBER(F306),F306-N(G306),"")</f>
        <v/>
      </c>
      <c r="I306" s="15">
        <f>IF(AND(ISNUMBER(D306),ISNUMBER(H306)),(D306-H306)/100*10000,"")</f>
        <v/>
      </c>
      <c r="J306" s="18" t="n">
        <v>0.05</v>
      </c>
      <c r="K306" s="15">
        <f>IF(ISNUMBER(I306),I306+N(J306)/100*10000,"")</f>
        <v/>
      </c>
      <c r="L306" s="19" t="n">
        <v>1.082</v>
      </c>
      <c r="M306" s="4" t="inlineStr"/>
    </row>
    <row r="307">
      <c r="A307" s="4" t="inlineStr">
        <is>
          <t>Base → SOL</t>
        </is>
      </c>
      <c r="B307" s="4" t="n">
        <v>1</v>
      </c>
      <c r="C307" s="4" t="inlineStr">
        <is>
          <t>Symbiosis</t>
        </is>
      </c>
      <c r="D307" s="18" t="n">
        <v>98.40766600000001</v>
      </c>
      <c r="E307" s="4" t="inlineStr"/>
      <c r="F307" s="18" t="n">
        <v>98.40936000000001</v>
      </c>
      <c r="G307" s="18" t="n"/>
      <c r="H307" s="16">
        <f>IF(ISNUMBER(F307),F307-N(G307),"")</f>
        <v/>
      </c>
      <c r="I307" s="15">
        <f>IF(AND(ISNUMBER(D307),ISNUMBER(H307)),(D307-H307)/100*10000,"")</f>
        <v/>
      </c>
      <c r="J307" s="18" t="n">
        <v>0.05</v>
      </c>
      <c r="K307" s="15">
        <f>IF(ISNUMBER(I307),I307+N(J307)/100*10000,"")</f>
        <v/>
      </c>
      <c r="L307" s="19" t="n">
        <v>2.031</v>
      </c>
      <c r="M307" s="4" t="inlineStr"/>
    </row>
    <row r="308">
      <c r="A308" s="4" t="inlineStr">
        <is>
          <t>Base → SOL</t>
        </is>
      </c>
      <c r="B308" s="4" t="n">
        <v>2</v>
      </c>
      <c r="C308" s="4" t="inlineStr">
        <is>
          <t>Symbiosis</t>
        </is>
      </c>
      <c r="D308" s="18" t="n">
        <v>98.40826</v>
      </c>
      <c r="E308" s="4" t="inlineStr"/>
      <c r="F308" s="18" t="n">
        <v>98.395017</v>
      </c>
      <c r="G308" s="18" t="n"/>
      <c r="H308" s="16">
        <f>IF(ISNUMBER(F308),F308-N(G308),"")</f>
        <v/>
      </c>
      <c r="I308" s="15">
        <f>IF(AND(ISNUMBER(D308),ISNUMBER(H308)),(D308-H308)/100*10000,"")</f>
        <v/>
      </c>
      <c r="J308" s="18" t="n">
        <v>0.05</v>
      </c>
      <c r="K308" s="15">
        <f>IF(ISNUMBER(I308),I308+N(J308)/100*10000,"")</f>
        <v/>
      </c>
      <c r="L308" s="19" t="n">
        <v>2.218</v>
      </c>
      <c r="M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Symbiosis</t>
        </is>
      </c>
      <c r="D309" s="18" t="n">
        <v>98.41780900000001</v>
      </c>
      <c r="E309" s="4" t="inlineStr"/>
      <c r="F309" s="18" t="n">
        <v>98.39485500000001</v>
      </c>
      <c r="G309" s="18" t="n"/>
      <c r="H309" s="16">
        <f>IF(ISNUMBER(F309),F309-N(G309),"")</f>
        <v/>
      </c>
      <c r="I309" s="15">
        <f>IF(AND(ISNUMBER(D309),ISNUMBER(H309)),(D309-H309)/100*10000,"")</f>
        <v/>
      </c>
      <c r="J309" s="18" t="n">
        <v>0.05</v>
      </c>
      <c r="K309" s="15">
        <f>IF(ISNUMBER(I309),I309+N(J309)/100*10000,"")</f>
        <v/>
      </c>
      <c r="L309" s="19" t="n">
        <v>2.295</v>
      </c>
      <c r="M309" s="4" t="inlineStr"/>
    </row>
  </sheetData>
  <autoFilter ref="A4:M309"/>
  <conditionalFormatting sqref="K5:K309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V5:V74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25" customWidth="1" min="4" max="4"/>
    <col width="25" customWidth="1" min="5" max="5"/>
    <col width="25" customWidth="1" min="6" max="6"/>
    <col width="11" customWidth="1" min="7" max="7"/>
    <col width="13" customWidth="1" min="8" max="8"/>
    <col width="16" customWidth="1" min="9" max="9"/>
    <col width="66" customWidth="1" min="10" max="10"/>
    <col width="16" customWidth="1" min="11" max="11"/>
    <col width="66" customWidth="1" min="12" max="12"/>
  </cols>
  <sheetData>
    <row r="1" ht="30" customHeight="1">
      <c r="A1" s="17" t="inlineStr">
        <is>
          <t>Route</t>
        </is>
      </c>
      <c r="B1" s="17" t="inlineStr">
        <is>
          <t>Sample</t>
        </is>
      </c>
      <c r="C1" s="17" t="inlineStr">
        <is>
          <t>Site</t>
        </is>
      </c>
      <c r="D1" s="17" t="inlineStr">
        <is>
          <t>requestStart (UTC)</t>
        </is>
      </c>
      <c r="E1" s="17" t="inlineStr">
        <is>
          <t>quoteVisible (UTC)</t>
        </is>
      </c>
      <c r="F1" s="17" t="inlineStr">
        <is>
          <t>screenshotAt (UTC)</t>
        </is>
      </c>
      <c r="G1" s="17" t="inlineStr">
        <is>
          <t>Δ vs Bridg (s)</t>
        </is>
      </c>
      <c r="H1" s="17" t="inlineStr">
        <is>
          <t>Out (USDC)</t>
        </is>
      </c>
      <c r="I1" s="17" t="inlineStr">
        <is>
          <t>Crop screenshot</t>
        </is>
      </c>
      <c r="J1" s="17" t="inlineStr">
        <is>
          <t>Crop SHA-256</t>
        </is>
      </c>
      <c r="K1" s="17" t="inlineStr">
        <is>
          <t>Full-page screenshot</t>
        </is>
      </c>
      <c r="L1" s="17" t="inlineStr">
        <is>
          <t>Full SHA-256</t>
        </is>
      </c>
    </row>
    <row r="2">
      <c r="A2" s="4" t="inlineStr">
        <is>
          <t>SOL → ETH</t>
        </is>
      </c>
      <c r="B2" s="4" t="n">
        <v>1</v>
      </c>
      <c r="C2" s="4" t="inlineStr">
        <is>
          <t>Bridg</t>
        </is>
      </c>
      <c r="D2" s="4" t="inlineStr">
        <is>
          <t>2026-09-23T08:49:32.082Z</t>
        </is>
      </c>
      <c r="E2" s="4" t="inlineStr">
        <is>
          <t>2026-09-23T08:49:32.975Z</t>
        </is>
      </c>
      <c r="F2" s="4" t="inlineStr">
        <is>
          <t>2026-09-23T08:49:35.119Z</t>
        </is>
      </c>
      <c r="G2" s="20" t="n"/>
      <c r="H2" s="18" t="n">
        <v>99.940005</v>
      </c>
      <c r="I2" s="21" t="inlineStr">
        <is>
          <t>open</t>
        </is>
      </c>
      <c r="J2" s="22" t="inlineStr">
        <is>
          <t>4730e3bba424084d9f4928b2ea803728194fb22d29fedef86e7403df3ebbe9ee</t>
        </is>
      </c>
      <c r="K2" s="21" t="inlineStr">
        <is>
          <t>open</t>
        </is>
      </c>
      <c r="L2" s="22" t="inlineStr">
        <is>
          <t>cb59f70753633adccf92f4210205820069d152c9381874d60263ce0c91522470</t>
        </is>
      </c>
    </row>
    <row r="3">
      <c r="A3" s="4" t="inlineStr">
        <is>
          <t>SOL → ETH</t>
        </is>
      </c>
      <c r="B3" s="4" t="n">
        <v>1</v>
      </c>
      <c r="C3" s="4" t="inlineStr">
        <is>
          <t>Bridg</t>
        </is>
      </c>
      <c r="D3" s="4" t="inlineStr">
        <is>
          <t>2026-09-23T09:38:07.965Z</t>
        </is>
      </c>
      <c r="E3" s="4" t="inlineStr">
        <is>
          <t>2026-09-23T09:38:09.089Z</t>
        </is>
      </c>
      <c r="F3" s="4" t="inlineStr">
        <is>
          <t>2026-09-23T09:38:12.995Z</t>
        </is>
      </c>
      <c r="G3" s="20" t="n"/>
      <c r="H3" s="18" t="n">
        <v>99.693094</v>
      </c>
      <c r="I3" s="21" t="inlineStr">
        <is>
          <t>open</t>
        </is>
      </c>
      <c r="J3" s="22" t="inlineStr">
        <is>
          <t>af9363e42b133acbe74a5e2de21e65d23fdfec16f6743e18c2d3e64aa0a49723</t>
        </is>
      </c>
      <c r="K3" s="21" t="inlineStr">
        <is>
          <t>open</t>
        </is>
      </c>
      <c r="L3" s="22" t="inlineStr">
        <is>
          <t>2664760a7384d993748fa1a69c1b7621b16dae0daf56805b9197c1c4d0a4809c</t>
        </is>
      </c>
    </row>
    <row r="4">
      <c r="A4" s="4" t="inlineStr">
        <is>
          <t>SOL → ETH</t>
        </is>
      </c>
      <c r="B4" s="4" t="n">
        <v>1</v>
      </c>
      <c r="C4" s="4" t="inlineStr">
        <is>
          <t>Relay</t>
        </is>
      </c>
      <c r="D4" s="4" t="inlineStr">
        <is>
          <t>2026-09-23T08:49:32.082Z</t>
        </is>
      </c>
      <c r="E4" s="4" t="inlineStr">
        <is>
          <t>2026-09-23T08:49:33.507Z</t>
        </is>
      </c>
      <c r="F4" s="4" t="inlineStr">
        <is>
          <t>2026-09-23T08:49:35.969Z</t>
        </is>
      </c>
      <c r="G4" s="20" t="n">
        <v>0.532</v>
      </c>
      <c r="H4" s="18" t="n">
        <v>99.786475</v>
      </c>
      <c r="I4" s="21" t="inlineStr">
        <is>
          <t>open</t>
        </is>
      </c>
      <c r="J4" s="22" t="inlineStr">
        <is>
          <t>53743b249efac6d8a21093b6db6923734f0e02a280d2a931bf3206fef9cdc3c7</t>
        </is>
      </c>
      <c r="K4" s="21" t="inlineStr">
        <is>
          <t>open</t>
        </is>
      </c>
      <c r="L4" s="22" t="inlineStr">
        <is>
          <t>b519349d6284ead617c87b1d95e7ebe19aa82d2a5048e7dd76ca69cb7848286b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4" t="inlineStr">
        <is>
          <t>2026-09-23T09:38:07.965Z</t>
        </is>
      </c>
      <c r="E5" s="4" t="inlineStr">
        <is>
          <t>2026-09-23T09:38:09.958Z</t>
        </is>
      </c>
      <c r="F5" s="4" t="inlineStr">
        <is>
          <t>2026-09-23T09:38:12.383Z</t>
        </is>
      </c>
      <c r="G5" s="20" t="n">
        <v>0.869</v>
      </c>
      <c r="H5" s="18" t="n">
        <v>99.898059</v>
      </c>
      <c r="I5" s="21" t="inlineStr">
        <is>
          <t>open</t>
        </is>
      </c>
      <c r="J5" s="22" t="inlineStr">
        <is>
          <t>6be7019ab3060a68aa957166920ebc948ee71a527635504c7c676ee24a2f13ea</t>
        </is>
      </c>
      <c r="K5" s="21" t="inlineStr">
        <is>
          <t>open</t>
        </is>
      </c>
      <c r="L5" s="22" t="inlineStr">
        <is>
          <t>8679f4f3be85e238149a248b201fb41249dbdf2745eed8b799c1fcd21bd1788d</t>
        </is>
      </c>
    </row>
    <row r="6">
      <c r="A6" s="4" t="inlineStr">
        <is>
          <t>SOL → ETH</t>
        </is>
      </c>
      <c r="B6" s="4" t="n">
        <v>1</v>
      </c>
      <c r="C6" s="4" t="inlineStr">
        <is>
          <t>deBridge</t>
        </is>
      </c>
      <c r="D6" s="4" t="inlineStr">
        <is>
          <t>2026-09-23T08:49:32.082Z</t>
        </is>
      </c>
      <c r="E6" s="4" t="inlineStr">
        <is>
          <t>2026-09-23T08:49:33.527Z</t>
        </is>
      </c>
      <c r="F6" s="4" t="inlineStr">
        <is>
          <t>2026-09-23T08:49:35.969Z</t>
        </is>
      </c>
      <c r="G6" s="20" t="n">
        <v>0.552</v>
      </c>
      <c r="H6" s="18" t="n">
        <v>99.920018</v>
      </c>
      <c r="I6" s="21" t="inlineStr">
        <is>
          <t>open</t>
        </is>
      </c>
      <c r="J6" s="22" t="inlineStr">
        <is>
          <t>b606f62347a33f14c255b4b81b3dd38c3f17c24f99a1c165b5a480722e78e359</t>
        </is>
      </c>
      <c r="K6" s="21" t="inlineStr">
        <is>
          <t>open</t>
        </is>
      </c>
      <c r="L6" s="22" t="inlineStr">
        <is>
          <t>fcdfc30ed1cd9477ee6a39363ef270764863f80f558c07a53413d5239aa6df41</t>
        </is>
      </c>
    </row>
    <row r="7">
      <c r="A7" s="4" t="inlineStr">
        <is>
          <t>SOL → ETH</t>
        </is>
      </c>
      <c r="B7" s="4" t="n">
        <v>1</v>
      </c>
      <c r="C7" s="4" t="inlineStr">
        <is>
          <t>deBridge</t>
        </is>
      </c>
      <c r="D7" s="4" t="inlineStr">
        <is>
          <t>2026-09-23T09:38:07.966Z</t>
        </is>
      </c>
      <c r="E7" s="4" t="inlineStr">
        <is>
          <t>2026-09-23T09:38:10.135Z</t>
        </is>
      </c>
      <c r="F7" s="4" t="inlineStr">
        <is>
          <t>2026-09-23T09:38:12.386Z</t>
        </is>
      </c>
      <c r="G7" s="20" t="n">
        <v>1.046</v>
      </c>
      <c r="H7" s="18" t="n">
        <v>99.880033</v>
      </c>
      <c r="I7" s="21" t="inlineStr">
        <is>
          <t>open</t>
        </is>
      </c>
      <c r="J7" s="22" t="inlineStr">
        <is>
          <t>d21ffa23ee4cfbc784e8d739e529c4d927e3a71d3dfc0255820ccefdcabc6c9f</t>
        </is>
      </c>
      <c r="K7" s="21" t="inlineStr">
        <is>
          <t>open</t>
        </is>
      </c>
      <c r="L7" s="22" t="inlineStr">
        <is>
          <t>d436b2f9b580f5a57c6e1f0dfadea176275f5d8208fdd08ac32f312481c4b225</t>
        </is>
      </c>
    </row>
    <row r="8">
      <c r="A8" s="4" t="inlineStr">
        <is>
          <t>SOL → ETH</t>
        </is>
      </c>
      <c r="B8" s="4" t="n">
        <v>1</v>
      </c>
      <c r="C8" s="4" t="inlineStr">
        <is>
          <t>LI.FI (Jumper)</t>
        </is>
      </c>
      <c r="D8" s="4" t="inlineStr">
        <is>
          <t>2026-09-23T08:49:32.083Z</t>
        </is>
      </c>
      <c r="E8" s="4" t="inlineStr">
        <is>
          <t>2026-09-23T08:49:35.557Z</t>
        </is>
      </c>
      <c r="F8" s="4" t="inlineStr">
        <is>
          <t>2026-09-23T08:49:37.781Z</t>
        </is>
      </c>
      <c r="G8" s="20" t="n">
        <v>2.582</v>
      </c>
      <c r="H8" s="18" t="n">
        <v>99.786475</v>
      </c>
      <c r="I8" s="21" t="inlineStr">
        <is>
          <t>open</t>
        </is>
      </c>
      <c r="J8" s="22" t="inlineStr">
        <is>
          <t>23056f4785268b1b95028b6e7f71cc675fc55edddd0a768c4fb4c7744334c736</t>
        </is>
      </c>
      <c r="K8" s="21" t="inlineStr">
        <is>
          <t>open</t>
        </is>
      </c>
      <c r="L8" s="22" t="inlineStr">
        <is>
          <t>50edbffabe46aeb71da4159beea9c9177b71bc1d92b92ff7f7de28d54f88aaaa</t>
        </is>
      </c>
    </row>
    <row r="9">
      <c r="A9" s="4" t="inlineStr">
        <is>
          <t>SOL → ETH</t>
        </is>
      </c>
      <c r="B9" s="4" t="n">
        <v>1</v>
      </c>
      <c r="C9" s="4" t="inlineStr">
        <is>
          <t>LI.FI (Jumper)</t>
        </is>
      </c>
      <c r="D9" s="4" t="inlineStr">
        <is>
          <t>2026-09-23T09:38:07.967Z</t>
        </is>
      </c>
      <c r="E9" s="4" t="inlineStr">
        <is>
          <t>2026-09-23T09:38:09.980Z</t>
        </is>
      </c>
      <c r="F9" s="4" t="inlineStr">
        <is>
          <t>2026-09-23T09:38:12.333Z</t>
        </is>
      </c>
      <c r="G9" s="20" t="n">
        <v>0.891</v>
      </c>
      <c r="H9" s="18" t="n">
        <v>99.898059</v>
      </c>
      <c r="I9" s="21" t="inlineStr">
        <is>
          <t>open</t>
        </is>
      </c>
      <c r="J9" s="22" t="inlineStr">
        <is>
          <t>b642468ed00f4c74f0d562c207abc1bb304f9a9a5225cd06d76461039ad5de39</t>
        </is>
      </c>
      <c r="K9" s="21" t="inlineStr">
        <is>
          <t>open</t>
        </is>
      </c>
      <c r="L9" s="22" t="inlineStr">
        <is>
          <t>4db552134a65a5cc680f7a74bd1f4d4f2deebc89e2ca64e63f25a37a39ab8f80</t>
        </is>
      </c>
    </row>
    <row r="10">
      <c r="A10" s="4" t="inlineStr">
        <is>
          <t>SOL → ETH</t>
        </is>
      </c>
      <c r="B10" s="4" t="n">
        <v>1</v>
      </c>
      <c r="C10" s="4" t="inlineStr">
        <is>
          <t>Across</t>
        </is>
      </c>
      <c r="D10" s="4" t="inlineStr">
        <is>
          <t>2026-09-23T08:49:32.082Z</t>
        </is>
      </c>
      <c r="E10" s="4" t="inlineStr">
        <is>
          <t>2026-09-23T08:49:33.273Z</t>
        </is>
      </c>
      <c r="F10" s="4" t="inlineStr">
        <is>
          <t>2026-09-23T08:49:35.396Z</t>
        </is>
      </c>
      <c r="G10" s="20" t="n">
        <v>0.298</v>
      </c>
      <c r="H10" s="18" t="n">
        <v>99.98999999999999</v>
      </c>
      <c r="I10" s="21" t="inlineStr">
        <is>
          <t>open</t>
        </is>
      </c>
      <c r="J10" s="22" t="inlineStr">
        <is>
          <t>709dc2a606cd691a3f85fe57ea25dd1ed68f53d80b3b6d3909dae87848c2e06b</t>
        </is>
      </c>
      <c r="K10" s="21" t="inlineStr">
        <is>
          <t>open</t>
        </is>
      </c>
      <c r="L10" s="22" t="inlineStr">
        <is>
          <t>1e3beb3ded9e56450e8ad7f25e55af132fdddbe6b9f026a41910667740c888ce</t>
        </is>
      </c>
    </row>
    <row r="11">
      <c r="A11" s="4" t="inlineStr">
        <is>
          <t>SOL → ETH</t>
        </is>
      </c>
      <c r="B11" s="4" t="n">
        <v>1</v>
      </c>
      <c r="C11" s="4" t="inlineStr">
        <is>
          <t>Across</t>
        </is>
      </c>
      <c r="D11" s="4" t="inlineStr">
        <is>
          <t>2026-09-23T09:38:07.965Z</t>
        </is>
      </c>
      <c r="E11" s="4" t="inlineStr">
        <is>
          <t>2026-09-23T09:38:09.461Z</t>
        </is>
      </c>
      <c r="F11" s="4" t="inlineStr">
        <is>
          <t>2026-09-23T09:38:11.596Z</t>
        </is>
      </c>
      <c r="G11" s="20" t="n">
        <v>0.372</v>
      </c>
      <c r="H11" s="18" t="n">
        <v>99.98999999999999</v>
      </c>
      <c r="I11" s="21" t="inlineStr">
        <is>
          <t>open</t>
        </is>
      </c>
      <c r="J11" s="22" t="inlineStr">
        <is>
          <t>e6f06d5292a44e04191cf1a6faf1383ff60916079761425e4577a51dbe35feb5</t>
        </is>
      </c>
      <c r="K11" s="21" t="inlineStr">
        <is>
          <t>open</t>
        </is>
      </c>
      <c r="L11" s="22" t="inlineStr">
        <is>
          <t>230f49375af2879c8e50c54f553eafb376135faa94069138330d1d543a476f00</t>
        </is>
      </c>
    </row>
    <row r="12">
      <c r="A12" s="4" t="inlineStr">
        <is>
          <t>SOL → ETH</t>
        </is>
      </c>
      <c r="B12" s="4" t="n">
        <v>1</v>
      </c>
      <c r="C12" s="4" t="inlineStr">
        <is>
          <t>Mayan</t>
        </is>
      </c>
      <c r="D12" s="4" t="inlineStr">
        <is>
          <t>2026-09-23T08:49:32.081Z</t>
        </is>
      </c>
      <c r="E12" s="4" t="inlineStr">
        <is>
          <t>2026-09-23T08:49:33.230Z</t>
        </is>
      </c>
      <c r="F12" s="4" t="inlineStr">
        <is>
          <t>2026-09-23T08:49:35.352Z</t>
        </is>
      </c>
      <c r="G12" s="20" t="n">
        <v>0.255</v>
      </c>
      <c r="H12" s="18" t="n">
        <v>99.0274</v>
      </c>
      <c r="I12" s="21" t="inlineStr">
        <is>
          <t>open</t>
        </is>
      </c>
      <c r="J12" s="22" t="inlineStr">
        <is>
          <t>a140708592870ce4084208adbf2404c8344f533a5ad5f145057fb10ea9e04c99</t>
        </is>
      </c>
      <c r="K12" s="21" t="inlineStr">
        <is>
          <t>open</t>
        </is>
      </c>
      <c r="L12" s="22" t="inlineStr">
        <is>
          <t>40832a9b9b943b68dada83f4f390ef2a926463f6a1034324c5ae8bf98ab9980a</t>
        </is>
      </c>
    </row>
    <row r="13">
      <c r="A13" s="4" t="inlineStr">
        <is>
          <t>SOL → ETH</t>
        </is>
      </c>
      <c r="B13" s="4" t="n">
        <v>1</v>
      </c>
      <c r="C13" s="4" t="inlineStr">
        <is>
          <t>Mayan</t>
        </is>
      </c>
      <c r="D13" s="4" t="inlineStr">
        <is>
          <t>2026-09-23T09:38:07.964Z</t>
        </is>
      </c>
      <c r="E13" s="4" t="inlineStr">
        <is>
          <t>2026-09-23T09:38:09.318Z</t>
        </is>
      </c>
      <c r="F13" s="4" t="inlineStr">
        <is>
          <t>2026-09-23T09:38:11.448Z</t>
        </is>
      </c>
      <c r="G13" s="20" t="n">
        <v>0.229</v>
      </c>
      <c r="H13" s="18" t="n">
        <v>99.3</v>
      </c>
      <c r="I13" s="21" t="inlineStr">
        <is>
          <t>open</t>
        </is>
      </c>
      <c r="J13" s="22" t="inlineStr">
        <is>
          <t>bb314f1ddc4149d447583f58feeac221952d521cd9ac0131df11f020f309e03b</t>
        </is>
      </c>
      <c r="K13" s="21" t="inlineStr">
        <is>
          <t>open</t>
        </is>
      </c>
      <c r="L13" s="22" t="inlineStr">
        <is>
          <t>10d47c701cbd563e7e7b241d8515ae0fc652abcb247fb7a93568f60077350631</t>
        </is>
      </c>
    </row>
    <row r="14">
      <c r="A14" s="4" t="inlineStr">
        <is>
          <t>SOL → ETH</t>
        </is>
      </c>
      <c r="B14" s="4" t="n">
        <v>1</v>
      </c>
      <c r="C14" s="4" t="inlineStr">
        <is>
          <t>Allbridge Core</t>
        </is>
      </c>
      <c r="D14" s="4" t="inlineStr">
        <is>
          <t>2026-09-23T09:38:07.968Z</t>
        </is>
      </c>
      <c r="E14" s="4" t="inlineStr">
        <is>
          <t>2026-09-23T09:38:09.215Z</t>
        </is>
      </c>
      <c r="F14" s="4" t="inlineStr">
        <is>
          <t>2026-09-23T09:38:11.477Z</t>
        </is>
      </c>
      <c r="G14" s="20" t="n">
        <v>0.126</v>
      </c>
      <c r="H14" s="18" t="n">
        <v>99.90000000000001</v>
      </c>
      <c r="I14" s="21" t="inlineStr">
        <is>
          <t>open</t>
        </is>
      </c>
      <c r="J14" s="22" t="inlineStr">
        <is>
          <t>b00563b252702d216e34dcac243fb331a435f6b92c5960efd147719337ec0231</t>
        </is>
      </c>
      <c r="K14" s="21" t="inlineStr">
        <is>
          <t>open</t>
        </is>
      </c>
      <c r="L14" s="22" t="inlineStr">
        <is>
          <t>92e59ee531000699f7b21f4fd25301d32d95c15f5fffe0108e7addc7ce866f82</t>
        </is>
      </c>
    </row>
    <row r="15">
      <c r="A15" s="4" t="inlineStr">
        <is>
          <t>SOL → ETH</t>
        </is>
      </c>
      <c r="B15" s="4" t="n">
        <v>1</v>
      </c>
      <c r="C15" s="4" t="inlineStr">
        <is>
          <t>CCTP (via Portal)</t>
        </is>
      </c>
      <c r="D15" s="4" t="inlineStr">
        <is>
          <t>2026-09-23T09:38:07.969Z</t>
        </is>
      </c>
      <c r="E15" s="4" t="inlineStr">
        <is>
          <t>2026-09-23T09:38:11.366Z</t>
        </is>
      </c>
      <c r="F15" s="4" t="inlineStr">
        <is>
          <t>2026-09-23T09:38:13.491Z</t>
        </is>
      </c>
      <c r="G15" s="20" t="n">
        <v>2.277</v>
      </c>
      <c r="H15" s="18" t="n">
        <v>99.98999999999999</v>
      </c>
      <c r="I15" s="21" t="inlineStr">
        <is>
          <t>open</t>
        </is>
      </c>
      <c r="J15" s="22" t="inlineStr">
        <is>
          <t>78e6b63937d00b725526d32b329e55207054bd599a82b3329323131d0f374add</t>
        </is>
      </c>
      <c r="K15" s="21" t="inlineStr">
        <is>
          <t>open</t>
        </is>
      </c>
      <c r="L15" s="22" t="inlineStr">
        <is>
          <t>71c41ec3f35c80c9e4774989b58f4d42e64aa5cd2cff9e0ba51460f17a2716c4</t>
        </is>
      </c>
    </row>
    <row r="16">
      <c r="A16" s="4" t="inlineStr">
        <is>
          <t>SOL → ETH</t>
        </is>
      </c>
      <c r="B16" s="4" t="n">
        <v>1</v>
      </c>
      <c r="C16" s="4" t="inlineStr">
        <is>
          <t>Husher</t>
        </is>
      </c>
      <c r="D16" s="4" t="inlineStr">
        <is>
          <t>2026-09-23T09:38:07.969Z</t>
        </is>
      </c>
      <c r="E16" s="4" t="inlineStr">
        <is>
          <t>2026-09-23T09:38:09.196Z</t>
        </is>
      </c>
      <c r="F16" s="4" t="inlineStr">
        <is>
          <t>2026-09-23T09:38:11.338Z</t>
        </is>
      </c>
      <c r="G16" s="20" t="n">
        <v>0.107</v>
      </c>
      <c r="H16" s="18" t="n">
        <v>99.05</v>
      </c>
      <c r="I16" s="21" t="inlineStr">
        <is>
          <t>open</t>
        </is>
      </c>
      <c r="J16" s="22" t="inlineStr">
        <is>
          <t>64ae99cea42e3b4cb3178079d9a4f04d4da14e67e6a6b5d76c8006ec15c3d32c</t>
        </is>
      </c>
      <c r="K16" s="21" t="inlineStr">
        <is>
          <t>open</t>
        </is>
      </c>
      <c r="L16" s="22" t="inlineStr">
        <is>
          <t>d6c43aa79174c0e5cc986a59cc85fcf2b1586c7752d5d49912be7706ffeb20b9</t>
        </is>
      </c>
    </row>
    <row r="17">
      <c r="A17" s="4" t="inlineStr">
        <is>
          <t>SOL → ETH</t>
        </is>
      </c>
      <c r="B17" s="4" t="n">
        <v>1</v>
      </c>
      <c r="C17" s="4" t="inlineStr">
        <is>
          <t>Layerswap</t>
        </is>
      </c>
      <c r="D17" s="4" t="inlineStr">
        <is>
          <t>2026-09-23T09:38:07.964Z</t>
        </is>
      </c>
      <c r="E17" s="4" t="inlineStr">
        <is>
          <t>2026-09-23T09:38:10.331Z</t>
        </is>
      </c>
      <c r="F17" s="4" t="inlineStr">
        <is>
          <t>2026-09-23T09:38:12.382Z</t>
        </is>
      </c>
      <c r="G17" s="20" t="n">
        <v>1.242</v>
      </c>
      <c r="H17" s="18" t="n">
        <v>99.730239</v>
      </c>
      <c r="I17" s="21" t="inlineStr">
        <is>
          <t>open</t>
        </is>
      </c>
      <c r="J17" s="22" t="inlineStr">
        <is>
          <t>0e3e75926c815326b9856195046d5e0fea5007df079e641ea5d48f287e7c6d96</t>
        </is>
      </c>
      <c r="K17" s="21" t="inlineStr">
        <is>
          <t>open</t>
        </is>
      </c>
      <c r="L17" s="22" t="inlineStr">
        <is>
          <t>77295624efb7d3a2eb3fe41fa0813fa2f2eed7f663e206839ee4e615593005a7</t>
        </is>
      </c>
    </row>
    <row r="18">
      <c r="A18" s="4" t="inlineStr">
        <is>
          <t>SOL → ETH</t>
        </is>
      </c>
      <c r="B18" s="4" t="n">
        <v>1</v>
      </c>
      <c r="C18" s="4" t="inlineStr">
        <is>
          <t>Meson</t>
        </is>
      </c>
      <c r="D18" s="4" t="inlineStr">
        <is>
          <t>2026-09-23T09:38:07.969Z</t>
        </is>
      </c>
      <c r="E18" s="4" t="inlineStr">
        <is>
          <t>2026-09-23T09:38:08.201Z</t>
        </is>
      </c>
      <c r="F18" s="4" t="inlineStr">
        <is>
          <t>2026-09-23T09:38:10.339Z</t>
        </is>
      </c>
      <c r="G18" s="20" t="n">
        <v>0.888</v>
      </c>
      <c r="H18" s="18" t="n">
        <v>99.70999999999999</v>
      </c>
      <c r="I18" s="21" t="inlineStr">
        <is>
          <t>open</t>
        </is>
      </c>
      <c r="J18" s="22" t="inlineStr">
        <is>
          <t>31000ccd69f14f1d14129423d149615074ccf82024d49f75bf7f56e1a31dd64a</t>
        </is>
      </c>
      <c r="K18" s="21" t="inlineStr">
        <is>
          <t>open</t>
        </is>
      </c>
      <c r="L18" s="22" t="inlineStr">
        <is>
          <t>858200645d23130318f7cf0fa6756143457e64143945265d86eaae8864744d08</t>
        </is>
      </c>
    </row>
    <row r="19">
      <c r="A19" s="4" t="inlineStr">
        <is>
          <t>SOL → ETH</t>
        </is>
      </c>
      <c r="B19" s="4" t="n">
        <v>1</v>
      </c>
      <c r="C19" s="4" t="inlineStr">
        <is>
          <t>SimpleSwap</t>
        </is>
      </c>
      <c r="D19" s="4" t="inlineStr">
        <is>
          <t>2026-09-23T09:38:07.970Z</t>
        </is>
      </c>
      <c r="E19" s="4" t="inlineStr">
        <is>
          <t>2026-09-23T09:38:10.823Z</t>
        </is>
      </c>
      <c r="F19" s="4" t="inlineStr">
        <is>
          <t>2026-09-23T09:38:13.072Z</t>
        </is>
      </c>
      <c r="G19" s="20" t="n">
        <v>1.734</v>
      </c>
      <c r="H19" s="18" t="n">
        <v>98.19881700000001</v>
      </c>
      <c r="I19" s="21" t="inlineStr">
        <is>
          <t>open</t>
        </is>
      </c>
      <c r="J19" s="22" t="inlineStr">
        <is>
          <t>44f0daa938277844575772229471502f6622a941779c4a05544e9a0f77a45d4b</t>
        </is>
      </c>
      <c r="K19" s="21" t="inlineStr">
        <is>
          <t>open</t>
        </is>
      </c>
      <c r="L19" s="22" t="inlineStr">
        <is>
          <t>e96d399f985b39179f14be669d8bcee2673cfaf55cf0d0c90140d3b82fa17596</t>
        </is>
      </c>
    </row>
    <row r="20">
      <c r="A20" s="4" t="inlineStr">
        <is>
          <t>SOL → ETH</t>
        </is>
      </c>
      <c r="B20" s="4" t="n">
        <v>1</v>
      </c>
      <c r="C20" s="4" t="inlineStr">
        <is>
          <t>Skip Go</t>
        </is>
      </c>
      <c r="D20" s="4" t="inlineStr">
        <is>
          <t>2026-09-23T09:38:07.965Z</t>
        </is>
      </c>
      <c r="E20" s="4" t="inlineStr">
        <is>
          <t>2026-09-23T09:38:10.434Z</t>
        </is>
      </c>
      <c r="F20" s="4" t="inlineStr">
        <is>
          <t>2026-09-23T09:38:12.686Z</t>
        </is>
      </c>
      <c r="G20" s="20" t="n">
        <v>1.345</v>
      </c>
      <c r="H20" s="18" t="n">
        <v>99.68411</v>
      </c>
      <c r="I20" s="21" t="inlineStr">
        <is>
          <t>open</t>
        </is>
      </c>
      <c r="J20" s="22" t="inlineStr">
        <is>
          <t>950f1d32cfa87e434a2a41fde1aa4b3b3db8ffefde8e69884cece3e6a2efa71f</t>
        </is>
      </c>
      <c r="K20" s="21" t="inlineStr">
        <is>
          <t>open</t>
        </is>
      </c>
      <c r="L20" s="22" t="inlineStr">
        <is>
          <t>0fdcba2f7b1117fa48ad2af074fd3d65884e672cdc8d1fb77bc7685bf42d02a8</t>
        </is>
      </c>
    </row>
    <row r="21">
      <c r="A21" s="4" t="inlineStr">
        <is>
          <t>SOL → ETH</t>
        </is>
      </c>
      <c r="B21" s="4" t="n">
        <v>1</v>
      </c>
      <c r="C21" s="4" t="inlineStr">
        <is>
          <t>Symbiosis</t>
        </is>
      </c>
      <c r="D21" s="4" t="inlineStr">
        <is>
          <t>2026-09-23T09:38:07.965Z</t>
        </is>
      </c>
      <c r="E21" s="4" t="inlineStr">
        <is>
          <t>2026-09-23T09:38:10.880Z</t>
        </is>
      </c>
      <c r="F21" s="4" t="inlineStr">
        <is>
          <t>2026-09-23T09:38:12.989Z</t>
        </is>
      </c>
      <c r="G21" s="20" t="n">
        <v>1.791</v>
      </c>
      <c r="H21" s="18" t="n">
        <v>98.94288400000001</v>
      </c>
      <c r="I21" s="21" t="inlineStr">
        <is>
          <t>open</t>
        </is>
      </c>
      <c r="J21" s="22" t="inlineStr">
        <is>
          <t>a875b3528bdf85859f3dc03c479fcaa84b396485077ace4de540446693aa201f</t>
        </is>
      </c>
      <c r="K21" s="21" t="inlineStr">
        <is>
          <t>open</t>
        </is>
      </c>
      <c r="L21" s="22" t="inlineStr">
        <is>
          <t>22f14cdbef3062eca362da476dab59377b079f413b77a40b6341e9c3a88b699f</t>
        </is>
      </c>
    </row>
    <row r="22">
      <c r="A22" s="4" t="inlineStr">
        <is>
          <t>SOL → ETH</t>
        </is>
      </c>
      <c r="B22" s="4" t="n">
        <v>2</v>
      </c>
      <c r="C22" s="4" t="inlineStr">
        <is>
          <t>Bridg</t>
        </is>
      </c>
      <c r="D22" s="4" t="inlineStr">
        <is>
          <t>2026-09-23T08:52:29.654Z</t>
        </is>
      </c>
      <c r="E22" s="4" t="inlineStr">
        <is>
          <t>2026-09-23T08:52:30.364Z</t>
        </is>
      </c>
      <c r="F22" s="4" t="inlineStr">
        <is>
          <t>2026-09-23T08:52:33.815Z</t>
        </is>
      </c>
      <c r="G22" s="20" t="n"/>
      <c r="H22" s="18" t="n">
        <v>99.89001</v>
      </c>
      <c r="I22" s="21" t="inlineStr">
        <is>
          <t>open</t>
        </is>
      </c>
      <c r="J22" s="22" t="inlineStr">
        <is>
          <t>aeb4cefda2ab3e1a7d81dec673f82a1a92be3516a9edaf38ea06b36614e690e5</t>
        </is>
      </c>
      <c r="K22" s="21" t="inlineStr">
        <is>
          <t>open</t>
        </is>
      </c>
      <c r="L22" s="22" t="inlineStr">
        <is>
          <t>b9590af2939983616a938a398303ac850bb4fe5dd69fe8d97751c4496ac7932c</t>
        </is>
      </c>
    </row>
    <row r="23">
      <c r="A23" s="4" t="inlineStr">
        <is>
          <t>SOL → ETH</t>
        </is>
      </c>
      <c r="B23" s="4" t="n">
        <v>2</v>
      </c>
      <c r="C23" s="4" t="inlineStr">
        <is>
          <t>Bridg</t>
        </is>
      </c>
      <c r="D23" s="4" t="inlineStr">
        <is>
          <t>2026-09-23T09:42:20.971Z</t>
        </is>
      </c>
      <c r="E23" s="4" t="inlineStr">
        <is>
          <t>2026-09-23T09:42:22.015Z</t>
        </is>
      </c>
      <c r="F23" s="4" t="inlineStr">
        <is>
          <t>2026-09-23T09:42:26.500Z</t>
        </is>
      </c>
      <c r="G23" s="20" t="n"/>
      <c r="H23" s="18" t="n">
        <v>99.940005</v>
      </c>
      <c r="I23" s="21" t="inlineStr">
        <is>
          <t>open</t>
        </is>
      </c>
      <c r="J23" s="22" t="inlineStr">
        <is>
          <t>80035537277c702ec80f94fe5680207112eadb18b1a118fad12ae72c8cd61df5</t>
        </is>
      </c>
      <c r="K23" s="21" t="inlineStr">
        <is>
          <t>open</t>
        </is>
      </c>
      <c r="L23" s="22" t="inlineStr">
        <is>
          <t>d7b9c70c75608b977b57ea593e99850174fdd0bf9bf1acc3aaaefc479c6c63e6</t>
        </is>
      </c>
    </row>
    <row r="24">
      <c r="A24" s="4" t="inlineStr">
        <is>
          <t>SOL → ETH</t>
        </is>
      </c>
      <c r="B24" s="4" t="n">
        <v>2</v>
      </c>
      <c r="C24" s="4" t="inlineStr">
        <is>
          <t>Relay</t>
        </is>
      </c>
      <c r="D24" s="4" t="inlineStr">
        <is>
          <t>2026-09-23T08:52:29.654Z</t>
        </is>
      </c>
      <c r="E24" s="4" t="inlineStr">
        <is>
          <t>2026-09-23T08:52:31.626Z</t>
        </is>
      </c>
      <c r="F24" s="4" t="inlineStr">
        <is>
          <t>2026-09-23T08:52:33.814Z</t>
        </is>
      </c>
      <c r="G24" s="20" t="n">
        <v>1.262</v>
      </c>
      <c r="H24" s="18" t="n">
        <v>99.725416</v>
      </c>
      <c r="I24" s="21" t="inlineStr">
        <is>
          <t>open</t>
        </is>
      </c>
      <c r="J24" s="22" t="inlineStr">
        <is>
          <t>6efb728dc2fb70189a5371b1b2a86c8c16c7c64a8c08c93119ab7e877f465d20</t>
        </is>
      </c>
      <c r="K24" s="21" t="inlineStr">
        <is>
          <t>open</t>
        </is>
      </c>
      <c r="L24" s="22" t="inlineStr">
        <is>
          <t>3e335cf20aea5f170daacb5023d5406c3fffebbe5caebe1421f6fdab6ffe5de5</t>
        </is>
      </c>
    </row>
    <row r="25">
      <c r="A25" s="4" t="inlineStr">
        <is>
          <t>SOL → ETH</t>
        </is>
      </c>
      <c r="B25" s="4" t="n">
        <v>2</v>
      </c>
      <c r="C25" s="4" t="inlineStr">
        <is>
          <t>Relay</t>
        </is>
      </c>
      <c r="D25" s="4" t="inlineStr">
        <is>
          <t>2026-09-23T09:42:20.972Z</t>
        </is>
      </c>
      <c r="E25" s="4" t="inlineStr">
        <is>
          <t>2026-09-23T09:42:22.881Z</t>
        </is>
      </c>
      <c r="F25" s="4" t="inlineStr">
        <is>
          <t>2026-09-23T09:42:25.409Z</t>
        </is>
      </c>
      <c r="G25" s="20" t="n">
        <v>0.866</v>
      </c>
      <c r="H25" s="18" t="n">
        <v>99.889167</v>
      </c>
      <c r="I25" s="21" t="inlineStr">
        <is>
          <t>open</t>
        </is>
      </c>
      <c r="J25" s="22" t="inlineStr">
        <is>
          <t>45e09916fe850389d6504093bd55510ec8d97daba140c100237b66d1c5af27dc</t>
        </is>
      </c>
      <c r="K25" s="21" t="inlineStr">
        <is>
          <t>open</t>
        </is>
      </c>
      <c r="L25" s="22" t="inlineStr">
        <is>
          <t>be649a4b43e298bcba6ac8ad58042c50d74facc79395a36368a2720aa069d508</t>
        </is>
      </c>
    </row>
    <row r="26">
      <c r="A26" s="4" t="inlineStr">
        <is>
          <t>SOL → ETH</t>
        </is>
      </c>
      <c r="B26" s="4" t="n">
        <v>2</v>
      </c>
      <c r="C26" s="4" t="inlineStr">
        <is>
          <t>deBridge</t>
        </is>
      </c>
      <c r="D26" s="4" t="inlineStr">
        <is>
          <t>2026-09-23T08:52:29.654Z</t>
        </is>
      </c>
      <c r="E26" s="4" t="inlineStr">
        <is>
          <t>2026-09-23T08:52:31.126Z</t>
        </is>
      </c>
      <c r="F26" s="4" t="inlineStr">
        <is>
          <t>2026-09-23T08:52:33.508Z</t>
        </is>
      </c>
      <c r="G26" s="20" t="n">
        <v>0.762</v>
      </c>
      <c r="H26" s="18" t="n">
        <v>99.920018</v>
      </c>
      <c r="I26" s="21" t="inlineStr">
        <is>
          <t>open</t>
        </is>
      </c>
      <c r="J26" s="22" t="inlineStr">
        <is>
          <t>75e6b3c23f533a50c1e50751656ec89fdbf6bf87e4885f476affcc1ed2dbd551</t>
        </is>
      </c>
      <c r="K26" s="21" t="inlineStr">
        <is>
          <t>open</t>
        </is>
      </c>
      <c r="L26" s="22" t="inlineStr">
        <is>
          <t>427209fe4c0777b939012f6e7f1f125f096be65057fce88e93ae42ca413016ce</t>
        </is>
      </c>
    </row>
    <row r="27">
      <c r="A27" s="4" t="inlineStr">
        <is>
          <t>SOL → ETH</t>
        </is>
      </c>
      <c r="B27" s="4" t="n">
        <v>2</v>
      </c>
      <c r="C27" s="4" t="inlineStr">
        <is>
          <t>deBridge</t>
        </is>
      </c>
      <c r="D27" s="4" t="inlineStr">
        <is>
          <t>2026-09-23T09:42:20.973Z</t>
        </is>
      </c>
      <c r="E27" s="4" t="inlineStr">
        <is>
          <t>2026-09-23T09:42:22.549Z</t>
        </is>
      </c>
      <c r="F27" s="4" t="inlineStr">
        <is>
          <t>2026-09-23T09:42:24.848Z</t>
        </is>
      </c>
      <c r="G27" s="20" t="n">
        <v>0.534</v>
      </c>
      <c r="H27" s="18" t="n">
        <v>99.920018</v>
      </c>
      <c r="I27" s="21" t="inlineStr">
        <is>
          <t>open</t>
        </is>
      </c>
      <c r="J27" s="22" t="inlineStr">
        <is>
          <t>63d2c4abc8d18d1142e500a78549ce9bd7f4ecf29ae9b54822ba683a6f20761c</t>
        </is>
      </c>
      <c r="K27" s="21" t="inlineStr">
        <is>
          <t>open</t>
        </is>
      </c>
      <c r="L27" s="22" t="inlineStr">
        <is>
          <t>db8cd1a315c7a3679932a644172e790deb8c661c6ce1b006da71b546d4922e0b</t>
        </is>
      </c>
    </row>
    <row r="28">
      <c r="A28" s="4" t="inlineStr">
        <is>
          <t>SOL → ETH</t>
        </is>
      </c>
      <c r="B28" s="4" t="n">
        <v>2</v>
      </c>
      <c r="C28" s="4" t="inlineStr">
        <is>
          <t>LI.FI (Jumper)</t>
        </is>
      </c>
      <c r="D28" s="4" t="inlineStr">
        <is>
          <t>2026-09-23T08:52:29.654Z</t>
        </is>
      </c>
      <c r="E28" s="4" t="inlineStr">
        <is>
          <t>2026-09-23T08:52:33.905Z</t>
        </is>
      </c>
      <c r="F28" s="4" t="inlineStr">
        <is>
          <t>2026-09-23T08:52:36.034Z</t>
        </is>
      </c>
      <c r="G28" s="20" t="n">
        <v>3.541</v>
      </c>
      <c r="H28" s="18" t="n">
        <v>99.73308299999999</v>
      </c>
      <c r="I28" s="21" t="inlineStr">
        <is>
          <t>open</t>
        </is>
      </c>
      <c r="J28" s="22" t="inlineStr">
        <is>
          <t>e80504ba04b96556cec74e27e96f67be7f125e289da153d3ffd5b20dd6d5bdbe</t>
        </is>
      </c>
      <c r="K28" s="21" t="inlineStr">
        <is>
          <t>open</t>
        </is>
      </c>
      <c r="L28" s="22" t="inlineStr">
        <is>
          <t>836fc5b02b9ae9ce7d401c34428dcc267423aed273323e72edb08f0ef4b11b38</t>
        </is>
      </c>
    </row>
    <row r="29">
      <c r="A29" s="4" t="inlineStr">
        <is>
          <t>SOL → ETH</t>
        </is>
      </c>
      <c r="B29" s="4" t="n">
        <v>2</v>
      </c>
      <c r="C29" s="4" t="inlineStr">
        <is>
          <t>LI.FI (Jumper)</t>
        </is>
      </c>
      <c r="D29" s="4" t="inlineStr">
        <is>
          <t>2026-09-23T09:42:20.974Z</t>
        </is>
      </c>
      <c r="E29" s="4" t="inlineStr">
        <is>
          <t>2026-09-23T09:42:24.869Z</t>
        </is>
      </c>
      <c r="F29" s="4" t="inlineStr">
        <is>
          <t>2026-09-23T09:42:27.038Z</t>
        </is>
      </c>
      <c r="G29" s="20" t="n">
        <v>2.854</v>
      </c>
      <c r="H29" s="18" t="n">
        <v>99.889167</v>
      </c>
      <c r="I29" s="21" t="inlineStr">
        <is>
          <t>open</t>
        </is>
      </c>
      <c r="J29" s="22" t="inlineStr">
        <is>
          <t>43eea6909d8a1b45cdd59f92a183bfb2f474d3fcac27c232b897e5275fe8b5ba</t>
        </is>
      </c>
      <c r="K29" s="21" t="inlineStr">
        <is>
          <t>open</t>
        </is>
      </c>
      <c r="L29" s="22" t="inlineStr">
        <is>
          <t>8938b62f2b43d2b6576e7c1377462d32aef4f3e4685bed6291d4280731a85f2a</t>
        </is>
      </c>
    </row>
    <row r="30">
      <c r="A30" s="4" t="inlineStr">
        <is>
          <t>SOL → ETH</t>
        </is>
      </c>
      <c r="B30" s="4" t="n">
        <v>2</v>
      </c>
      <c r="C30" s="4" t="inlineStr">
        <is>
          <t>Across</t>
        </is>
      </c>
      <c r="D30" s="4" t="inlineStr">
        <is>
          <t>2026-09-23T08:52:29.653Z</t>
        </is>
      </c>
      <c r="E30" s="4" t="inlineStr">
        <is>
          <t>2026-09-23T08:52:30.873Z</t>
        </is>
      </c>
      <c r="F30" s="4" t="inlineStr">
        <is>
          <t>2026-09-23T08:52:32.994Z</t>
        </is>
      </c>
      <c r="G30" s="20" t="n">
        <v>0.509</v>
      </c>
      <c r="H30" s="18" t="n">
        <v>99.98999999999999</v>
      </c>
      <c r="I30" s="21" t="inlineStr">
        <is>
          <t>open</t>
        </is>
      </c>
      <c r="J30" s="22" t="inlineStr">
        <is>
          <t>e6f06d5292a44e04191cf1a6faf1383ff60916079761425e4577a51dbe35feb5</t>
        </is>
      </c>
      <c r="K30" s="21" t="inlineStr">
        <is>
          <t>open</t>
        </is>
      </c>
      <c r="L30" s="22" t="inlineStr">
        <is>
          <t>3bc4350e7a509d161e45b98f172c34d84fb87f8d48126d7aadc6322c20967d43</t>
        </is>
      </c>
    </row>
    <row r="31">
      <c r="A31" s="4" t="inlineStr">
        <is>
          <t>SOL → ETH</t>
        </is>
      </c>
      <c r="B31" s="4" t="n">
        <v>2</v>
      </c>
      <c r="C31" s="4" t="inlineStr">
        <is>
          <t>Across</t>
        </is>
      </c>
      <c r="D31" s="4" t="inlineStr">
        <is>
          <t>2026-09-23T09:42:20.970Z</t>
        </is>
      </c>
      <c r="E31" s="4" t="inlineStr">
        <is>
          <t>2026-09-23T09:42:22.650Z</t>
        </is>
      </c>
      <c r="F31" s="4" t="inlineStr">
        <is>
          <t>2026-09-23T09:42:24.834Z</t>
        </is>
      </c>
      <c r="G31" s="20" t="n">
        <v>0.635</v>
      </c>
      <c r="H31" s="18" t="n">
        <v>99.98999999999999</v>
      </c>
      <c r="I31" s="21" t="inlineStr">
        <is>
          <t>open</t>
        </is>
      </c>
      <c r="J31" s="22" t="inlineStr">
        <is>
          <t>e6f06d5292a44e04191cf1a6faf1383ff60916079761425e4577a51dbe35feb5</t>
        </is>
      </c>
      <c r="K31" s="21" t="inlineStr">
        <is>
          <t>open</t>
        </is>
      </c>
      <c r="L31" s="22" t="inlineStr">
        <is>
          <t>60f0201d07447f3f79ff7d30df223e315e3b71e16df3c2b6a8e8106b9b5e4f57</t>
        </is>
      </c>
    </row>
    <row r="32">
      <c r="A32" s="4" t="inlineStr">
        <is>
          <t>SOL → ETH</t>
        </is>
      </c>
      <c r="B32" s="4" t="n">
        <v>2</v>
      </c>
      <c r="C32" s="4" t="inlineStr">
        <is>
          <t>Mayan</t>
        </is>
      </c>
      <c r="D32" s="4" t="inlineStr">
        <is>
          <t>2026-09-23T08:52:29.653Z</t>
        </is>
      </c>
      <c r="E32" s="4" t="inlineStr">
        <is>
          <t>2026-09-23T08:52:30.837Z</t>
        </is>
      </c>
      <c r="F32" s="4" t="inlineStr">
        <is>
          <t>2026-09-23T08:52:32.954Z</t>
        </is>
      </c>
      <c r="G32" s="20" t="n">
        <v>0.473</v>
      </c>
      <c r="H32" s="18" t="n">
        <v>99.0044</v>
      </c>
      <c r="I32" s="21" t="inlineStr">
        <is>
          <t>open</t>
        </is>
      </c>
      <c r="J32" s="22" t="inlineStr">
        <is>
          <t>aeb880e98bb948a18f3416e0536834ab295a1b1ddbd5e5f9b387bd37e7b159a7</t>
        </is>
      </c>
      <c r="K32" s="21" t="inlineStr">
        <is>
          <t>open</t>
        </is>
      </c>
      <c r="L32" s="22" t="inlineStr">
        <is>
          <t>8316c72e5cd9b6e52382ffb38c5a90a1bc8879c06250c3af0b010a12be0ee199</t>
        </is>
      </c>
    </row>
    <row r="33">
      <c r="A33" s="4" t="inlineStr">
        <is>
          <t>SOL → ETH</t>
        </is>
      </c>
      <c r="B33" s="4" t="n">
        <v>2</v>
      </c>
      <c r="C33" s="4" t="inlineStr">
        <is>
          <t>Mayan</t>
        </is>
      </c>
      <c r="D33" s="4" t="inlineStr">
        <is>
          <t>2026-09-23T09:42:20.969Z</t>
        </is>
      </c>
      <c r="E33" s="4" t="inlineStr">
        <is>
          <t>2026-09-23T09:42:22.517Z</t>
        </is>
      </c>
      <c r="F33" s="4" t="inlineStr">
        <is>
          <t>2026-09-23T09:42:24.831Z</t>
        </is>
      </c>
      <c r="G33" s="20" t="n">
        <v>0.502</v>
      </c>
      <c r="H33" s="18" t="n">
        <v>99.3006</v>
      </c>
      <c r="I33" s="21" t="inlineStr">
        <is>
          <t>open</t>
        </is>
      </c>
      <c r="J33" s="22" t="inlineStr">
        <is>
          <t>312bfc24805c3ea458e3f3cc10e524999ca2736bb109f1598b48a92641aca3d1</t>
        </is>
      </c>
      <c r="K33" s="21" t="inlineStr">
        <is>
          <t>open</t>
        </is>
      </c>
      <c r="L33" s="22" t="inlineStr">
        <is>
          <t>9d8e62a844a9a4132e62aff179d063ca7b9e57136063942480355a2cc555c631</t>
        </is>
      </c>
    </row>
    <row r="34">
      <c r="A34" s="4" t="inlineStr">
        <is>
          <t>SOL → ETH</t>
        </is>
      </c>
      <c r="B34" s="4" t="n">
        <v>2</v>
      </c>
      <c r="C34" s="4" t="inlineStr">
        <is>
          <t>Allbridge Core</t>
        </is>
      </c>
      <c r="D34" s="4" t="inlineStr">
        <is>
          <t>2026-09-23T09:42:20.974Z</t>
        </is>
      </c>
      <c r="E34" s="4" t="inlineStr">
        <is>
          <t>2026-09-23T09:42:22.097Z</t>
        </is>
      </c>
      <c r="F34" s="4" t="inlineStr">
        <is>
          <t>2026-09-23T09:42:24.310Z</t>
        </is>
      </c>
      <c r="G34" s="20" t="n">
        <v>0.082</v>
      </c>
      <c r="H34" s="18" t="n">
        <v>99.90000000000001</v>
      </c>
      <c r="I34" s="21" t="inlineStr">
        <is>
          <t>open</t>
        </is>
      </c>
      <c r="J34" s="22" t="inlineStr">
        <is>
          <t>b00563b252702d216e34dcac243fb331a435f6b92c5960efd147719337ec0231</t>
        </is>
      </c>
      <c r="K34" s="21" t="inlineStr">
        <is>
          <t>open</t>
        </is>
      </c>
      <c r="L34" s="22" t="inlineStr">
        <is>
          <t>92e59ee531000699f7b21f4fd25301d32d95c15f5fffe0108e7addc7ce866f82</t>
        </is>
      </c>
    </row>
    <row r="35">
      <c r="A35" s="4" t="inlineStr">
        <is>
          <t>SOL → ETH</t>
        </is>
      </c>
      <c r="B35" s="4" t="n">
        <v>2</v>
      </c>
      <c r="C35" s="4" t="inlineStr">
        <is>
          <t>CCTP (via Portal)</t>
        </is>
      </c>
      <c r="D35" s="4" t="inlineStr">
        <is>
          <t>2026-09-23T09:42:20.975Z</t>
        </is>
      </c>
      <c r="E35" s="4" t="inlineStr">
        <is>
          <t>2026-09-23T09:42:24.302Z</t>
        </is>
      </c>
      <c r="F35" s="4" t="inlineStr">
        <is>
          <t>2026-09-23T09:42:26.499Z</t>
        </is>
      </c>
      <c r="G35" s="20" t="n">
        <v>2.287</v>
      </c>
      <c r="H35" s="18" t="n">
        <v>99.98999999999999</v>
      </c>
      <c r="I35" s="21" t="inlineStr">
        <is>
          <t>open</t>
        </is>
      </c>
      <c r="J35" s="22" t="inlineStr">
        <is>
          <t>78e6b63937d00b725526d32b329e55207054bd599a82b3329323131d0f374add</t>
        </is>
      </c>
      <c r="K35" s="21" t="inlineStr">
        <is>
          <t>open</t>
        </is>
      </c>
      <c r="L35" s="22" t="inlineStr">
        <is>
          <t>f9562d21a34710736622422a1b24d01ac5d8ad3f844922c0710f7a4fbb60fb89</t>
        </is>
      </c>
    </row>
    <row r="36">
      <c r="A36" s="4" t="inlineStr">
        <is>
          <t>SOL → ETH</t>
        </is>
      </c>
      <c r="B36" s="4" t="n">
        <v>2</v>
      </c>
      <c r="C36" s="4" t="inlineStr">
        <is>
          <t>Husher</t>
        </is>
      </c>
      <c r="D36" s="4" t="inlineStr">
        <is>
          <t>2026-09-23T09:42:20.976Z</t>
        </is>
      </c>
      <c r="E36" s="4" t="inlineStr">
        <is>
          <t>2026-09-23T09:42:22.295Z</t>
        </is>
      </c>
      <c r="F36" s="4" t="inlineStr">
        <is>
          <t>2026-09-23T09:42:24.438Z</t>
        </is>
      </c>
      <c r="G36" s="20" t="n">
        <v>0.28</v>
      </c>
      <c r="H36" s="18" t="n">
        <v>99.05</v>
      </c>
      <c r="I36" s="21" t="inlineStr">
        <is>
          <t>open</t>
        </is>
      </c>
      <c r="J36" s="22" t="inlineStr">
        <is>
          <t>139b1bbb22682ffe713752d1f4a1934a02e39737f9b6ee9db12cbd6e70f80043</t>
        </is>
      </c>
      <c r="K36" s="21" t="inlineStr">
        <is>
          <t>open</t>
        </is>
      </c>
      <c r="L36" s="22" t="inlineStr">
        <is>
          <t>b26f2afa7a349599e3b7a380b0a399871f869da16885c9ebc65d4d9e52047fd7</t>
        </is>
      </c>
    </row>
    <row r="37">
      <c r="A37" s="4" t="inlineStr">
        <is>
          <t>SOL → ETH</t>
        </is>
      </c>
      <c r="B37" s="4" t="n">
        <v>2</v>
      </c>
      <c r="C37" s="4" t="inlineStr">
        <is>
          <t>Layerswap</t>
        </is>
      </c>
      <c r="D37" s="4" t="inlineStr">
        <is>
          <t>2026-09-23T09:42:20.970Z</t>
        </is>
      </c>
      <c r="E37" s="4" t="inlineStr">
        <is>
          <t>2026-09-23T09:42:23.416Z</t>
        </is>
      </c>
      <c r="F37" s="4" t="inlineStr">
        <is>
          <t>2026-09-23T09:42:25.713Z</t>
        </is>
      </c>
      <c r="G37" s="20" t="n">
        <v>1.401</v>
      </c>
      <c r="H37" s="18" t="n">
        <v>99.730237</v>
      </c>
      <c r="I37" s="21" t="inlineStr">
        <is>
          <t>open</t>
        </is>
      </c>
      <c r="J37" s="22" t="inlineStr">
        <is>
          <t>67a96aa0aeea0d17fb132601085e11285ed502a1b30872055cee73e4c0fd21e1</t>
        </is>
      </c>
      <c r="K37" s="21" t="inlineStr">
        <is>
          <t>open</t>
        </is>
      </c>
      <c r="L37" s="22" t="inlineStr">
        <is>
          <t>96b05d0307ad61ea668fe6dd62f581fdad5a9f1db1d29ae44a19ea183bcdb8c6</t>
        </is>
      </c>
    </row>
    <row r="38">
      <c r="A38" s="4" t="inlineStr">
        <is>
          <t>SOL → ETH</t>
        </is>
      </c>
      <c r="B38" s="4" t="n">
        <v>2</v>
      </c>
      <c r="C38" s="4" t="inlineStr">
        <is>
          <t>Meson</t>
        </is>
      </c>
      <c r="D38" s="4" t="inlineStr">
        <is>
          <t>2026-09-23T09:42:20.976Z</t>
        </is>
      </c>
      <c r="E38" s="4" t="inlineStr">
        <is>
          <t>2026-09-23T09:42:21.238Z</t>
        </is>
      </c>
      <c r="F38" s="4" t="inlineStr">
        <is>
          <t>2026-09-23T09:42:23.374Z</t>
        </is>
      </c>
      <c r="G38" s="20" t="n">
        <v>0.777</v>
      </c>
      <c r="H38" s="18" t="n">
        <v>99.70999999999999</v>
      </c>
      <c r="I38" s="21" t="inlineStr">
        <is>
          <t>open</t>
        </is>
      </c>
      <c r="J38" s="22" t="inlineStr">
        <is>
          <t>31000ccd69f14f1d14129423d149615074ccf82024d49f75bf7f56e1a31dd64a</t>
        </is>
      </c>
      <c r="K38" s="21" t="inlineStr">
        <is>
          <t>open</t>
        </is>
      </c>
      <c r="L38" s="22" t="inlineStr">
        <is>
          <t>b8ef88ba9fd9d7d3c3a625867dd86a0a9ea01ed0ef7459150cdc8e0c77fc0e00</t>
        </is>
      </c>
    </row>
    <row r="39">
      <c r="A39" s="4" t="inlineStr">
        <is>
          <t>SOL → ETH</t>
        </is>
      </c>
      <c r="B39" s="4" t="n">
        <v>2</v>
      </c>
      <c r="C39" s="4" t="inlineStr">
        <is>
          <t>SimpleSwap</t>
        </is>
      </c>
      <c r="D39" s="4" t="inlineStr">
        <is>
          <t>2026-09-23T09:42:20.976Z</t>
        </is>
      </c>
      <c r="E39" s="4" t="inlineStr">
        <is>
          <t>2026-09-23T09:42:23.616Z</t>
        </is>
      </c>
      <c r="F39" s="4" t="inlineStr">
        <is>
          <t>2026-09-23T09:42:25.756Z</t>
        </is>
      </c>
      <c r="G39" s="20" t="n">
        <v>1.601</v>
      </c>
      <c r="H39" s="18" t="n">
        <v>98.19900699999999</v>
      </c>
      <c r="I39" s="21" t="inlineStr">
        <is>
          <t>open</t>
        </is>
      </c>
      <c r="J39" s="22" t="inlineStr">
        <is>
          <t>58a4369c94112d074be55b1681ad72afaf5f079fdf5ad103cb1383efd4e2722e</t>
        </is>
      </c>
      <c r="K39" s="21" t="inlineStr">
        <is>
          <t>open</t>
        </is>
      </c>
      <c r="L39" s="22" t="inlineStr">
        <is>
          <t>d0cf93b07360ccb967f413b2c0bb0723b5d1b919df2f95a261cf98dae0736bce</t>
        </is>
      </c>
    </row>
    <row r="40">
      <c r="A40" s="4" t="inlineStr">
        <is>
          <t>SOL → ETH</t>
        </is>
      </c>
      <c r="B40" s="4" t="n">
        <v>2</v>
      </c>
      <c r="C40" s="4" t="inlineStr">
        <is>
          <t>Skip Go</t>
        </is>
      </c>
      <c r="D40" s="4" t="inlineStr">
        <is>
          <t>2026-09-23T09:42:20.974Z</t>
        </is>
      </c>
      <c r="E40" s="4" t="inlineStr">
        <is>
          <t>2026-09-23T09:42:23.476Z</t>
        </is>
      </c>
      <c r="F40" s="4" t="inlineStr">
        <is>
          <t>2026-09-23T09:42:25.722Z</t>
        </is>
      </c>
      <c r="G40" s="20" t="n">
        <v>1.461</v>
      </c>
      <c r="H40" s="18" t="n">
        <v>99.72108</v>
      </c>
      <c r="I40" s="21" t="inlineStr">
        <is>
          <t>open</t>
        </is>
      </c>
      <c r="J40" s="22" t="inlineStr">
        <is>
          <t>7b3a276ca7d3a171f2ec7ffdf780be3d95aabbe6cc7510493b936d7c04e76f1a</t>
        </is>
      </c>
      <c r="K40" s="21" t="inlineStr">
        <is>
          <t>open</t>
        </is>
      </c>
      <c r="L40" s="22" t="inlineStr">
        <is>
          <t>79dbd59049d71941c380dafee59005223951908c5ac94f78d33b1af8c6198b5d</t>
        </is>
      </c>
    </row>
    <row r="41">
      <c r="A41" s="4" t="inlineStr">
        <is>
          <t>SOL → ETH</t>
        </is>
      </c>
      <c r="B41" s="4" t="n">
        <v>2</v>
      </c>
      <c r="C41" s="4" t="inlineStr">
        <is>
          <t>Symbiosis</t>
        </is>
      </c>
      <c r="D41" s="4" t="inlineStr">
        <is>
          <t>2026-09-23T09:42:20.973Z</t>
        </is>
      </c>
      <c r="E41" s="4" t="inlineStr">
        <is>
          <t>2026-09-23T09:42:24.100Z</t>
        </is>
      </c>
      <c r="F41" s="4" t="inlineStr">
        <is>
          <t>2026-09-23T09:42:26.195Z</t>
        </is>
      </c>
      <c r="G41" s="20" t="n">
        <v>2.085</v>
      </c>
      <c r="H41" s="18" t="n">
        <v>98.913042</v>
      </c>
      <c r="I41" s="21" t="inlineStr">
        <is>
          <t>open</t>
        </is>
      </c>
      <c r="J41" s="22" t="inlineStr">
        <is>
          <t>09b395a94bc1f000a3cefd156030053558f29d603dcb050c7325e52e031afa36</t>
        </is>
      </c>
      <c r="K41" s="21" t="inlineStr">
        <is>
          <t>open</t>
        </is>
      </c>
      <c r="L41" s="22" t="inlineStr">
        <is>
          <t>4a9d7acf0e4b970cf846fae25a25b8129297f576eecec582a1147e18e68ac39b</t>
        </is>
      </c>
    </row>
    <row r="42">
      <c r="A42" s="4" t="inlineStr">
        <is>
          <t>SOL → ETH</t>
        </is>
      </c>
      <c r="B42" s="4" t="n">
        <v>3</v>
      </c>
      <c r="C42" s="4" t="inlineStr">
        <is>
          <t>Bridg</t>
        </is>
      </c>
      <c r="D42" s="4" t="inlineStr">
        <is>
          <t>2026-09-23T08:55:24.663Z</t>
        </is>
      </c>
      <c r="E42" s="4" t="inlineStr">
        <is>
          <t>2026-09-23T08:55:25.556Z</t>
        </is>
      </c>
      <c r="F42" s="4" t="inlineStr">
        <is>
          <t>2026-09-23T08:55:28.886Z</t>
        </is>
      </c>
      <c r="G42" s="20" t="n"/>
      <c r="H42" s="18" t="n">
        <v>99.940005</v>
      </c>
      <c r="I42" s="21" t="inlineStr">
        <is>
          <t>open</t>
        </is>
      </c>
      <c r="J42" s="22" t="inlineStr">
        <is>
          <t>2501e6a37e9d8c99c15a3e1be1fdade8439e8e96abfd0d416f3b8d9148474bf7</t>
        </is>
      </c>
      <c r="K42" s="21" t="inlineStr">
        <is>
          <t>open</t>
        </is>
      </c>
      <c r="L42" s="22" t="inlineStr">
        <is>
          <t>3a597115e2c3e8357cb841aec0833586328a8b403c0dc2d5cedf6e3c90810024</t>
        </is>
      </c>
    </row>
    <row r="43">
      <c r="A43" s="4" t="inlineStr">
        <is>
          <t>SOL → ETH</t>
        </is>
      </c>
      <c r="B43" s="4" t="n">
        <v>3</v>
      </c>
      <c r="C43" s="4" t="inlineStr">
        <is>
          <t>Bridg</t>
        </is>
      </c>
      <c r="D43" s="4" t="inlineStr">
        <is>
          <t>2026-09-23T09:46:22.196Z</t>
        </is>
      </c>
      <c r="E43" s="4" t="inlineStr">
        <is>
          <t>2026-09-23T09:46:23.222Z</t>
        </is>
      </c>
      <c r="F43" s="4" t="inlineStr">
        <is>
          <t>2026-09-23T09:46:25.363Z</t>
        </is>
      </c>
      <c r="G43" s="20" t="n"/>
      <c r="H43" s="18" t="n">
        <v>99.940005</v>
      </c>
      <c r="I43" s="21" t="inlineStr">
        <is>
          <t>open</t>
        </is>
      </c>
      <c r="J43" s="22" t="inlineStr">
        <is>
          <t>ba93c7ecb74697188972fbd1c64408edda671a04329f1b0cacbc862329084343</t>
        </is>
      </c>
      <c r="K43" s="21" t="inlineStr">
        <is>
          <t>open</t>
        </is>
      </c>
      <c r="L43" s="22" t="inlineStr">
        <is>
          <t>2e569dfbdfdf10fb6b00fc4298d5812648c06fed2e86bd3e1a9759be55baaeee</t>
        </is>
      </c>
    </row>
    <row r="44">
      <c r="A44" s="4" t="inlineStr">
        <is>
          <t>SOL → ETH</t>
        </is>
      </c>
      <c r="B44" s="4" t="n">
        <v>3</v>
      </c>
      <c r="C44" s="4" t="inlineStr">
        <is>
          <t>Bridg</t>
        </is>
      </c>
      <c r="D44" s="4" t="inlineStr">
        <is>
          <t>2026-09-23T09:46:39.564Z</t>
        </is>
      </c>
      <c r="E44" s="4" t="inlineStr">
        <is>
          <t>2026-09-23T09:46:40.434Z</t>
        </is>
      </c>
      <c r="F44" s="4" t="inlineStr">
        <is>
          <t>2026-09-23T09:46:42.586Z</t>
        </is>
      </c>
      <c r="G44" s="20" t="n"/>
      <c r="H44" s="18" t="n">
        <v>99.940005</v>
      </c>
      <c r="I44" s="21" t="inlineStr">
        <is>
          <t>open</t>
        </is>
      </c>
      <c r="J44" s="22" t="inlineStr">
        <is>
          <t>8179ed299f644ec28212f01c8745c8323562d8c47b53a50354c6d336c7483038</t>
        </is>
      </c>
      <c r="K44" s="21" t="inlineStr">
        <is>
          <t>open</t>
        </is>
      </c>
      <c r="L44" s="22" t="inlineStr">
        <is>
          <t>7c182e6b5bdc4026e8106bf585ba48eac63f3ff617f289ff4c23b0172eda604e</t>
        </is>
      </c>
    </row>
    <row r="45">
      <c r="A45" s="4" t="inlineStr">
        <is>
          <t>SOL → ETH</t>
        </is>
      </c>
      <c r="B45" s="4" t="n">
        <v>3</v>
      </c>
      <c r="C45" s="4" t="inlineStr">
        <is>
          <t>Relay</t>
        </is>
      </c>
      <c r="D45" s="4" t="inlineStr">
        <is>
          <t>2026-09-23T08:55:24.664Z</t>
        </is>
      </c>
      <c r="E45" s="4" t="inlineStr">
        <is>
          <t>2026-09-23T08:55:26.105Z</t>
        </is>
      </c>
      <c r="F45" s="4" t="inlineStr">
        <is>
          <t>2026-09-23T08:55:28.276Z</t>
        </is>
      </c>
      <c r="G45" s="20" t="n">
        <v>0.549</v>
      </c>
      <c r="H45" s="18" t="n">
        <v>99.86262000000001</v>
      </c>
      <c r="I45" s="21" t="inlineStr">
        <is>
          <t>open</t>
        </is>
      </c>
      <c r="J45" s="22" t="inlineStr">
        <is>
          <t>4c2f7120b3f7c1caba863a49453a528123efdf04a0eb9351b794f480364cda27</t>
        </is>
      </c>
      <c r="K45" s="21" t="inlineStr">
        <is>
          <t>open</t>
        </is>
      </c>
      <c r="L45" s="22" t="inlineStr">
        <is>
          <t>09566fbbf82e93936568890c0c12e0f7c41d74afb460a522d64d8a1d8dd68cac</t>
        </is>
      </c>
    </row>
    <row r="46">
      <c r="A46" s="4" t="inlineStr">
        <is>
          <t>SOL → ETH</t>
        </is>
      </c>
      <c r="B46" s="4" t="n">
        <v>3</v>
      </c>
      <c r="C46" s="4" t="inlineStr">
        <is>
          <t>Relay</t>
        </is>
      </c>
      <c r="D46" s="4" t="inlineStr">
        <is>
          <t>2026-09-23T09:46:22.193Z</t>
        </is>
      </c>
      <c r="E46" s="4" t="inlineStr">
        <is>
          <t>2026-09-23T09:46:24.053Z</t>
        </is>
      </c>
      <c r="F46" s="4" t="inlineStr">
        <is>
          <t>2026-09-23T09:46:26.160Z</t>
        </is>
      </c>
      <c r="G46" s="20" t="n">
        <v>0.831</v>
      </c>
      <c r="H46" s="18" t="n">
        <v>99.89036900000001</v>
      </c>
      <c r="I46" s="21" t="inlineStr">
        <is>
          <t>open</t>
        </is>
      </c>
      <c r="J46" s="22" t="inlineStr">
        <is>
          <t>8d5fa2fad1512d07a1cbf9ae59de310414bf912619ad0dc97142951d6dee245d</t>
        </is>
      </c>
      <c r="K46" s="21" t="inlineStr">
        <is>
          <t>open</t>
        </is>
      </c>
      <c r="L46" s="22" t="inlineStr">
        <is>
          <t>5501a857cd75e6e2cf4b185db0e0ab8acaa9a2f7c4967299383a9e9a654f152a</t>
        </is>
      </c>
    </row>
    <row r="47">
      <c r="A47" s="4" t="inlineStr">
        <is>
          <t>SOL → ETH</t>
        </is>
      </c>
      <c r="B47" s="4" t="n">
        <v>3</v>
      </c>
      <c r="C47" s="4" t="inlineStr">
        <is>
          <t>deBridge</t>
        </is>
      </c>
      <c r="D47" s="4" t="inlineStr">
        <is>
          <t>2026-09-23T08:55:24.664Z</t>
        </is>
      </c>
      <c r="E47" s="4" t="inlineStr">
        <is>
          <t>2026-09-23T08:55:26.867Z</t>
        </is>
      </c>
      <c r="F47" s="4" t="inlineStr">
        <is>
          <t>2026-09-23T08:55:28.885Z</t>
        </is>
      </c>
      <c r="G47" s="20" t="n">
        <v>1.311</v>
      </c>
      <c r="H47" s="18" t="n">
        <v>99.88003399999999</v>
      </c>
      <c r="I47" s="21" t="inlineStr">
        <is>
          <t>open</t>
        </is>
      </c>
      <c r="J47" s="22" t="inlineStr">
        <is>
          <t>001e621ddcb0c55281ad9947ac006cbb9be60088604308ac71e1d6cc0a2be8d9</t>
        </is>
      </c>
      <c r="K47" s="21" t="inlineStr">
        <is>
          <t>open</t>
        </is>
      </c>
      <c r="L47" s="22" t="inlineStr">
        <is>
          <t>6e70f5fe59c2a1ee6cc57c89226d481b0bbc235441dd3a1816e9d99a3a1dc7e3</t>
        </is>
      </c>
    </row>
    <row r="48">
      <c r="A48" s="4" t="inlineStr">
        <is>
          <t>SOL → ETH</t>
        </is>
      </c>
      <c r="B48" s="4" t="n">
        <v>3</v>
      </c>
      <c r="C48" s="4" t="inlineStr">
        <is>
          <t>deBridge</t>
        </is>
      </c>
      <c r="D48" s="4" t="inlineStr">
        <is>
          <t>2026-09-23T09:46:22.194Z</t>
        </is>
      </c>
      <c r="E48" s="4" t="inlineStr">
        <is>
          <t>2026-09-23T09:46:24.306Z</t>
        </is>
      </c>
      <c r="F48" s="4" t="inlineStr">
        <is>
          <t>2026-09-23T09:46:26.483Z</t>
        </is>
      </c>
      <c r="G48" s="20" t="n">
        <v>1.084</v>
      </c>
      <c r="H48" s="18" t="n">
        <v>99.880033</v>
      </c>
      <c r="I48" s="21" t="inlineStr">
        <is>
          <t>open</t>
        </is>
      </c>
      <c r="J48" s="22" t="inlineStr">
        <is>
          <t>de8e554be73a69465a41f9845af58f8f0ee32649f3d205c804d7a4994cf7c107</t>
        </is>
      </c>
      <c r="K48" s="21" t="inlineStr">
        <is>
          <t>open</t>
        </is>
      </c>
      <c r="L48" s="22" t="inlineStr">
        <is>
          <t>7912db870663ccaf1aa7f4892aeff97c71e953fb76e57c9c9eb95df844022aab</t>
        </is>
      </c>
    </row>
    <row r="49">
      <c r="A49" s="4" t="inlineStr">
        <is>
          <t>SOL → ETH</t>
        </is>
      </c>
      <c r="B49" s="4" t="n">
        <v>3</v>
      </c>
      <c r="C49" s="4" t="inlineStr">
        <is>
          <t>LI.FI (Jumper)</t>
        </is>
      </c>
      <c r="D49" s="4" t="inlineStr">
        <is>
          <t>2026-09-23T08:55:24.664Z</t>
        </is>
      </c>
      <c r="E49" s="4" t="inlineStr">
        <is>
          <t>2026-09-23T08:55:29.315Z</t>
        </is>
      </c>
      <c r="F49" s="4" t="inlineStr">
        <is>
          <t>2026-09-23T08:55:31.449Z</t>
        </is>
      </c>
      <c r="G49" s="20" t="n">
        <v>3.759</v>
      </c>
      <c r="H49" s="18" t="n">
        <v>99.86478200000001</v>
      </c>
      <c r="I49" s="21" t="inlineStr">
        <is>
          <t>open</t>
        </is>
      </c>
      <c r="J49" s="22" t="inlineStr">
        <is>
          <t>7885adb3f676657ed322004b42965ae8f618c804d518b855e9750fcd12411bc3</t>
        </is>
      </c>
      <c r="K49" s="21" t="inlineStr">
        <is>
          <t>open</t>
        </is>
      </c>
      <c r="L49" s="22" t="inlineStr">
        <is>
          <t>e608a590c08568d9aa37b38c031afc9d319591e7fef0a7de540d74ffe286a009</t>
        </is>
      </c>
    </row>
    <row r="50">
      <c r="A50" s="4" t="inlineStr">
        <is>
          <t>SOL → ETH</t>
        </is>
      </c>
      <c r="B50" s="4" t="n">
        <v>3</v>
      </c>
      <c r="C50" s="4" t="inlineStr">
        <is>
          <t>LI.FI (Jumper)</t>
        </is>
      </c>
      <c r="D50" s="4" t="inlineStr">
        <is>
          <t>2026-09-23T09:46:22.196Z</t>
        </is>
      </c>
      <c r="E50" s="4" t="inlineStr">
        <is>
          <t>2026-09-23T09:46:26.127Z</t>
        </is>
      </c>
      <c r="F50" s="4" t="inlineStr">
        <is>
          <t>2026-09-23T09:46:28.303Z</t>
        </is>
      </c>
      <c r="G50" s="20" t="n">
        <v>2.905</v>
      </c>
      <c r="H50" s="18" t="n">
        <v>99.89036900000001</v>
      </c>
      <c r="I50" s="21" t="inlineStr">
        <is>
          <t>open</t>
        </is>
      </c>
      <c r="J50" s="22" t="inlineStr">
        <is>
          <t>93d75755142ba1bb564b047e5f763458c3b65e6f731abea794852fb70f21f9d3</t>
        </is>
      </c>
      <c r="K50" s="21" t="inlineStr">
        <is>
          <t>open</t>
        </is>
      </c>
      <c r="L50" s="22" t="inlineStr">
        <is>
          <t>64c5e1df2c62a099aedf2730f307e4388b2246751804468889e7184498937e00</t>
        </is>
      </c>
    </row>
    <row r="51">
      <c r="A51" s="4" t="inlineStr">
        <is>
          <t>SOL → ETH</t>
        </is>
      </c>
      <c r="B51" s="4" t="n">
        <v>3</v>
      </c>
      <c r="C51" s="4" t="inlineStr">
        <is>
          <t>Across</t>
        </is>
      </c>
      <c r="D51" s="4" t="inlineStr">
        <is>
          <t>2026-09-23T08:55:24.664Z</t>
        </is>
      </c>
      <c r="E51" s="4" t="inlineStr">
        <is>
          <t>2026-09-23T08:55:25.628Z</t>
        </is>
      </c>
      <c r="F51" s="4" t="inlineStr">
        <is>
          <t>2026-09-23T08:55:27.753Z</t>
        </is>
      </c>
      <c r="G51" s="20" t="n">
        <v>0.07199999999999999</v>
      </c>
      <c r="H51" s="18" t="n">
        <v>99.98999999999999</v>
      </c>
      <c r="I51" s="21" t="inlineStr">
        <is>
          <t>open</t>
        </is>
      </c>
      <c r="J51" s="22" t="inlineStr">
        <is>
          <t>e6f06d5292a44e04191cf1a6faf1383ff60916079761425e4577a51dbe35feb5</t>
        </is>
      </c>
      <c r="K51" s="21" t="inlineStr">
        <is>
          <t>open</t>
        </is>
      </c>
      <c r="L51" s="22" t="inlineStr">
        <is>
          <t>4d4936f3b78af5c24a1260cd5679d8f290055e2a749cffd565e1afe3f9f8e079</t>
        </is>
      </c>
    </row>
    <row r="52">
      <c r="A52" s="4" t="inlineStr">
        <is>
          <t>SOL → ETH</t>
        </is>
      </c>
      <c r="B52" s="4" t="n">
        <v>3</v>
      </c>
      <c r="C52" s="4" t="inlineStr">
        <is>
          <t>Across</t>
        </is>
      </c>
      <c r="D52" s="4" t="inlineStr">
        <is>
          <t>2026-09-23T09:46:22.193Z</t>
        </is>
      </c>
      <c r="E52" s="4" t="inlineStr">
        <is>
          <t>2026-09-23T09:46:23.317Z</t>
        </is>
      </c>
      <c r="F52" s="4" t="inlineStr">
        <is>
          <t>2026-09-23T09:46:25.450Z</t>
        </is>
      </c>
      <c r="G52" s="20" t="n">
        <v>0.095</v>
      </c>
      <c r="H52" s="18" t="n">
        <v>99.98999999999999</v>
      </c>
      <c r="I52" s="21" t="inlineStr">
        <is>
          <t>open</t>
        </is>
      </c>
      <c r="J52" s="22" t="inlineStr">
        <is>
          <t>709dc2a606cd691a3f85fe57ea25dd1ed68f53d80b3b6d3909dae87848c2e06b</t>
        </is>
      </c>
      <c r="K52" s="21" t="inlineStr">
        <is>
          <t>open</t>
        </is>
      </c>
      <c r="L52" s="22" t="inlineStr">
        <is>
          <t>fb32846ff9eea3b3d04c8046ae4f93e4e964417cdece035cddfd6d7a99b107f7</t>
        </is>
      </c>
    </row>
    <row r="53">
      <c r="A53" s="4" t="inlineStr">
        <is>
          <t>SOL → ETH</t>
        </is>
      </c>
      <c r="B53" s="4" t="n">
        <v>3</v>
      </c>
      <c r="C53" s="4" t="inlineStr">
        <is>
          <t>Mayan</t>
        </is>
      </c>
      <c r="D53" s="4" t="inlineStr">
        <is>
          <t>2026-09-23T08:55:24.663Z</t>
        </is>
      </c>
      <c r="E53" s="4" t="inlineStr">
        <is>
          <t>2026-09-23T08:55:26.058Z</t>
        </is>
      </c>
      <c r="F53" s="4" t="inlineStr">
        <is>
          <t>2026-09-23T08:55:28.251Z</t>
        </is>
      </c>
      <c r="G53" s="20" t="n">
        <v>0.502</v>
      </c>
      <c r="H53" s="18" t="n">
        <v>99.0132</v>
      </c>
      <c r="I53" s="21" t="inlineStr">
        <is>
          <t>open</t>
        </is>
      </c>
      <c r="J53" s="22" t="inlineStr">
        <is>
          <t>90ede8a8205395dc0cc5ae4ab5f7000f960a86babb982573d3253f3492b4b190</t>
        </is>
      </c>
      <c r="K53" s="21" t="inlineStr">
        <is>
          <t>open</t>
        </is>
      </c>
      <c r="L53" s="22" t="inlineStr">
        <is>
          <t>92da24954300717e374fdc28f1c7fe2da5e38389a14e9ad80a0c74735c6c23d2</t>
        </is>
      </c>
    </row>
    <row r="54">
      <c r="A54" s="4" t="inlineStr">
        <is>
          <t>SOL → ETH</t>
        </is>
      </c>
      <c r="B54" s="4" t="n">
        <v>3</v>
      </c>
      <c r="C54" s="4" t="inlineStr">
        <is>
          <t>Mayan</t>
        </is>
      </c>
      <c r="D54" s="4" t="inlineStr">
        <is>
          <t>2026-09-23T09:46:22.192Z</t>
        </is>
      </c>
      <c r="E54" s="4" t="inlineStr">
        <is>
          <t>2026-09-23T09:46:23.406Z</t>
        </is>
      </c>
      <c r="F54" s="4" t="inlineStr">
        <is>
          <t>2026-09-23T09:46:25.524Z</t>
        </is>
      </c>
      <c r="G54" s="20" t="n">
        <v>0.184</v>
      </c>
      <c r="H54" s="18" t="n">
        <v>99.4068</v>
      </c>
      <c r="I54" s="21" t="inlineStr">
        <is>
          <t>open</t>
        </is>
      </c>
      <c r="J54" s="22" t="inlineStr">
        <is>
          <t>ae396db7ba49437f64a9da6bf4e6ce4002ae3ed575e7a21d16202a9d13538cf0</t>
        </is>
      </c>
      <c r="K54" s="21" t="inlineStr">
        <is>
          <t>open</t>
        </is>
      </c>
      <c r="L54" s="22" t="inlineStr">
        <is>
          <t>7fc4ae9fd5f4f95ac2041b8781f99ff06747548cd965acd37bed93211df3c52d</t>
        </is>
      </c>
    </row>
    <row r="55">
      <c r="A55" s="4" t="inlineStr">
        <is>
          <t>SOL → ETH</t>
        </is>
      </c>
      <c r="B55" s="4" t="n">
        <v>3</v>
      </c>
      <c r="C55" s="4" t="inlineStr">
        <is>
          <t>Allbridge Core</t>
        </is>
      </c>
      <c r="D55" s="4" t="inlineStr">
        <is>
          <t>2026-09-23T09:46:22.194Z</t>
        </is>
      </c>
      <c r="E55" s="4" t="inlineStr">
        <is>
          <t>2026-09-23T09:46:23.247Z</t>
        </is>
      </c>
      <c r="F55" s="4" t="inlineStr">
        <is>
          <t>2026-09-23T09:46:25.484Z</t>
        </is>
      </c>
      <c r="G55" s="20" t="n">
        <v>0.025</v>
      </c>
      <c r="H55" s="18" t="n">
        <v>99.90000000000001</v>
      </c>
      <c r="I55" s="21" t="inlineStr">
        <is>
          <t>open</t>
        </is>
      </c>
      <c r="J55" s="22" t="inlineStr">
        <is>
          <t>44ca3a6aadd951623a7c8a480807f4fee2e6f99f861c10c055b5531058ad03b1</t>
        </is>
      </c>
      <c r="K55" s="21" t="inlineStr">
        <is>
          <t>open</t>
        </is>
      </c>
      <c r="L55" s="22" t="inlineStr">
        <is>
          <t>834ed8af78c3822f5d43eb316a6c3b619ee587d900011c6f34c7e9e7fdf57526</t>
        </is>
      </c>
    </row>
    <row r="56">
      <c r="A56" s="4" t="inlineStr">
        <is>
          <t>SOL → ETH</t>
        </is>
      </c>
      <c r="B56" s="4" t="n">
        <v>3</v>
      </c>
      <c r="C56" s="4" t="inlineStr">
        <is>
          <t>CCTP (via Portal)</t>
        </is>
      </c>
      <c r="D56" s="4" t="inlineStr">
        <is>
          <t>2026-09-23T09:46:22.197Z</t>
        </is>
      </c>
      <c r="E56" s="4" t="inlineStr">
        <is>
          <t>2026-09-23T09:46:25.437Z</t>
        </is>
      </c>
      <c r="F56" s="4" t="inlineStr">
        <is>
          <t>2026-09-23T09:46:27.703Z</t>
        </is>
      </c>
      <c r="G56" s="20" t="n">
        <v>2.215</v>
      </c>
      <c r="H56" s="18" t="n">
        <v>99.98999999999999</v>
      </c>
      <c r="I56" s="21" t="inlineStr">
        <is>
          <t>open</t>
        </is>
      </c>
      <c r="J56" s="22" t="inlineStr">
        <is>
          <t>2072abafa0613ade0da8ed71cd3b3b8e5b1ea4aaac1b6e565096380325bb8e62</t>
        </is>
      </c>
      <c r="K56" s="21" t="inlineStr">
        <is>
          <t>open</t>
        </is>
      </c>
      <c r="L56" s="22" t="inlineStr">
        <is>
          <t>a2a9aefa8c551988b9cdcce5acbc603f0fff696285b164ae410cbf958929d09e</t>
        </is>
      </c>
    </row>
    <row r="57">
      <c r="A57" s="4" t="inlineStr">
        <is>
          <t>SOL → ETH</t>
        </is>
      </c>
      <c r="B57" s="4" t="n">
        <v>3</v>
      </c>
      <c r="C57" s="4" t="inlineStr">
        <is>
          <t>Husher</t>
        </is>
      </c>
      <c r="D57" s="4" t="inlineStr">
        <is>
          <t>2026-09-23T09:46:22.196Z</t>
        </is>
      </c>
      <c r="E57" s="4" t="inlineStr">
        <is>
          <t>2026-09-23T09:46:23.531Z</t>
        </is>
      </c>
      <c r="F57" s="4" t="inlineStr">
        <is>
          <t>2026-09-23T09:46:25.682Z</t>
        </is>
      </c>
      <c r="G57" s="20" t="n">
        <v>0.309</v>
      </c>
      <c r="H57" s="18" t="n">
        <v>99.05</v>
      </c>
      <c r="I57" s="21" t="inlineStr">
        <is>
          <t>open</t>
        </is>
      </c>
      <c r="J57" s="22" t="inlineStr">
        <is>
          <t>a3b8bcb78725d5b48faa6773b260cd194b8267f988055b685d16e4638dc719ec</t>
        </is>
      </c>
      <c r="K57" s="21" t="inlineStr">
        <is>
          <t>open</t>
        </is>
      </c>
      <c r="L57" s="22" t="inlineStr">
        <is>
          <t>205d5f4ab91493e0332cad4cf793ad1288911c496e90fbaa7f64e4b688ce2c7b</t>
        </is>
      </c>
    </row>
    <row r="58">
      <c r="A58" s="4" t="inlineStr">
        <is>
          <t>SOL → ETH</t>
        </is>
      </c>
      <c r="B58" s="4" t="n">
        <v>3</v>
      </c>
      <c r="C58" s="4" t="inlineStr">
        <is>
          <t>Layerswap</t>
        </is>
      </c>
      <c r="D58" s="4" t="inlineStr">
        <is>
          <t>2026-09-23T09:46:22.193Z</t>
        </is>
      </c>
      <c r="E58" s="4" t="inlineStr">
        <is>
          <t>2026-09-23T09:46:24.512Z</t>
        </is>
      </c>
      <c r="F58" s="4" t="inlineStr">
        <is>
          <t>2026-09-23T09:46:26.794Z</t>
        </is>
      </c>
      <c r="G58" s="20" t="n">
        <v>1.29</v>
      </c>
      <c r="H58" s="18" t="n">
        <v>99.730239</v>
      </c>
      <c r="I58" s="21" t="inlineStr">
        <is>
          <t>open</t>
        </is>
      </c>
      <c r="J58" s="22" t="inlineStr">
        <is>
          <t>6502991ef0eded7d77f10ad0a76803f4ac42f92575db92af18f3e59776896db4</t>
        </is>
      </c>
      <c r="K58" s="21" t="inlineStr">
        <is>
          <t>open</t>
        </is>
      </c>
      <c r="L58" s="22" t="inlineStr">
        <is>
          <t>7265a0523936ad01f0e626f6794e776f703c7fd7fe029ea5f80212ce430330bf</t>
        </is>
      </c>
    </row>
    <row r="59">
      <c r="A59" s="4" t="inlineStr">
        <is>
          <t>SOL → ETH</t>
        </is>
      </c>
      <c r="B59" s="4" t="n">
        <v>3</v>
      </c>
      <c r="C59" s="4" t="inlineStr">
        <is>
          <t>Meson</t>
        </is>
      </c>
      <c r="D59" s="4" t="inlineStr">
        <is>
          <t>2026-09-23T09:46:22.197Z</t>
        </is>
      </c>
      <c r="E59" s="4" t="inlineStr">
        <is>
          <t>2026-09-23T09:46:22.516Z</t>
        </is>
      </c>
      <c r="F59" s="4" t="inlineStr">
        <is>
          <t>2026-09-23T09:46:24.654Z</t>
        </is>
      </c>
      <c r="G59" s="20" t="n">
        <v>0.706</v>
      </c>
      <c r="H59" s="18" t="n">
        <v>99.72</v>
      </c>
      <c r="I59" s="21" t="inlineStr">
        <is>
          <t>open</t>
        </is>
      </c>
      <c r="J59" s="22" t="inlineStr">
        <is>
          <t>234d21ce72f7d873a41dd09e2b8eecb4b40ea10f2676b90481949e1d89fe445b</t>
        </is>
      </c>
      <c r="K59" s="21" t="inlineStr">
        <is>
          <t>open</t>
        </is>
      </c>
      <c r="L59" s="22" t="inlineStr">
        <is>
          <t>add67e3768b0e94c0f8b29a924b0754555220f66b30a182815d2afdbdc04e4f3</t>
        </is>
      </c>
    </row>
    <row r="60">
      <c r="A60" s="4" t="inlineStr">
        <is>
          <t>SOL → ETH</t>
        </is>
      </c>
      <c r="B60" s="4" t="n">
        <v>3</v>
      </c>
      <c r="C60" s="4" t="inlineStr">
        <is>
          <t>SimpleSwap</t>
        </is>
      </c>
      <c r="D60" s="4" t="inlineStr">
        <is>
          <t>2026-09-23T09:46:22.197Z</t>
        </is>
      </c>
      <c r="E60" s="4" t="inlineStr">
        <is>
          <t>2026-09-23T09:46:28.242Z</t>
        </is>
      </c>
      <c r="F60" s="4" t="inlineStr">
        <is>
          <t>2026-09-23T09:46:30.485Z</t>
        </is>
      </c>
      <c r="G60" s="20" t="n">
        <v>5.02</v>
      </c>
      <c r="H60" s="18" t="n">
        <v>98.19890599999999</v>
      </c>
      <c r="I60" s="21" t="inlineStr">
        <is>
          <t>open</t>
        </is>
      </c>
      <c r="J60" s="22" t="inlineStr">
        <is>
          <t>ced76e512b88dc7f6cf1fe54dafda29fc028dc851eaec1c82a390c090fb6589d</t>
        </is>
      </c>
      <c r="K60" s="21" t="inlineStr">
        <is>
          <t>open</t>
        </is>
      </c>
      <c r="L60" s="22" t="inlineStr">
        <is>
          <t>6517896d5a86676ebca3e5cd922263d21add0c346d82365071880568acff682b</t>
        </is>
      </c>
    </row>
    <row r="61">
      <c r="A61" s="4" t="inlineStr">
        <is>
          <t>SOL → ETH</t>
        </is>
      </c>
      <c r="B61" s="4" t="n">
        <v>3</v>
      </c>
      <c r="C61" s="4" t="inlineStr">
        <is>
          <t>SimpleSwap</t>
        </is>
      </c>
      <c r="D61" s="4" t="inlineStr">
        <is>
          <t>2026-09-23T09:46:39.564Z</t>
        </is>
      </c>
      <c r="E61" s="4" t="inlineStr">
        <is>
          <t>2026-09-23T09:46:42.264Z</t>
        </is>
      </c>
      <c r="F61" s="4" t="inlineStr">
        <is>
          <t>2026-09-23T09:46:44.448Z</t>
        </is>
      </c>
      <c r="G61" s="20" t="n">
        <v>1.83</v>
      </c>
      <c r="H61" s="18" t="n">
        <v>98.19890599999999</v>
      </c>
      <c r="I61" s="21" t="inlineStr">
        <is>
          <t>open</t>
        </is>
      </c>
      <c r="J61" s="22" t="inlineStr">
        <is>
          <t>ced76e512b88dc7f6cf1fe54dafda29fc028dc851eaec1c82a390c090fb6589d</t>
        </is>
      </c>
      <c r="K61" s="21" t="inlineStr">
        <is>
          <t>open</t>
        </is>
      </c>
      <c r="L61" s="22" t="inlineStr">
        <is>
          <t>2fddb2cb64a1a4a2e2cd9c63ef1e39b23dc67962c409ade88b4e30537ad1408e</t>
        </is>
      </c>
    </row>
    <row r="62">
      <c r="A62" s="4" t="inlineStr">
        <is>
          <t>SOL → ETH</t>
        </is>
      </c>
      <c r="B62" s="4" t="n">
        <v>3</v>
      </c>
      <c r="C62" s="4" t="inlineStr">
        <is>
          <t>Skip Go</t>
        </is>
      </c>
      <c r="D62" s="4" t="inlineStr">
        <is>
          <t>2026-09-23T09:46:22.195Z</t>
        </is>
      </c>
      <c r="E62" s="4" t="inlineStr">
        <is>
          <t>2026-09-23T09:46:24.843Z</t>
        </is>
      </c>
      <c r="F62" s="4" t="inlineStr">
        <is>
          <t>2026-09-23T09:46:27.097Z</t>
        </is>
      </c>
      <c r="G62" s="20" t="n">
        <v>1.621</v>
      </c>
      <c r="H62" s="18" t="n">
        <v>99.72108</v>
      </c>
      <c r="I62" s="21" t="inlineStr">
        <is>
          <t>open</t>
        </is>
      </c>
      <c r="J62" s="22" t="inlineStr">
        <is>
          <t>599595f177534ac5153cd1d2466e6524b61ae906ff783dab4dd216d79e1c4eb0</t>
        </is>
      </c>
      <c r="K62" s="21" t="inlineStr">
        <is>
          <t>open</t>
        </is>
      </c>
      <c r="L62" s="22" t="inlineStr">
        <is>
          <t>e04af10b85c9837c3dc12e6cd57e6df8c8e409e46a119bdc738f908d9b0ec03a</t>
        </is>
      </c>
    </row>
    <row r="63">
      <c r="A63" s="4" t="inlineStr">
        <is>
          <t>SOL → ETH</t>
        </is>
      </c>
      <c r="B63" s="4" t="n">
        <v>3</v>
      </c>
      <c r="C63" s="4" t="inlineStr">
        <is>
          <t>Symbiosis</t>
        </is>
      </c>
      <c r="D63" s="4" t="inlineStr">
        <is>
          <t>2026-09-23T09:46:22.195Z</t>
        </is>
      </c>
      <c r="E63" s="4" t="inlineStr">
        <is>
          <t>2026-09-23T09:46:24.961Z</t>
        </is>
      </c>
      <c r="F63" s="4" t="inlineStr">
        <is>
          <t>2026-09-23T09:46:27.088Z</t>
        </is>
      </c>
      <c r="G63" s="20" t="n">
        <v>1.739</v>
      </c>
      <c r="H63" s="18" t="n">
        <v>98.943273</v>
      </c>
      <c r="I63" s="21" t="inlineStr">
        <is>
          <t>open</t>
        </is>
      </c>
      <c r="J63" s="22" t="inlineStr">
        <is>
          <t>d36c004f1c3da9d5ea6c4c1e7c9cb23f9842255bd6957bfc7d1590bcbf98f82a</t>
        </is>
      </c>
      <c r="K63" s="21" t="inlineStr">
        <is>
          <t>open</t>
        </is>
      </c>
      <c r="L63" s="22" t="inlineStr">
        <is>
          <t>248e8d75e34016e3c0bcac07e8b1bbcba2b2c5679b5dc5bf09e5ae31b76a25e7</t>
        </is>
      </c>
    </row>
    <row r="64">
      <c r="A64" s="4" t="inlineStr">
        <is>
          <t>ETH → SOL</t>
        </is>
      </c>
      <c r="B64" s="4" t="n">
        <v>1</v>
      </c>
      <c r="C64" s="4" t="inlineStr">
        <is>
          <t>Bridg</t>
        </is>
      </c>
      <c r="D64" s="4" t="inlineStr">
        <is>
          <t>2026-09-23T08:49:56.913Z</t>
        </is>
      </c>
      <c r="E64" s="4" t="inlineStr">
        <is>
          <t>2026-09-23T08:49:57.799Z</t>
        </is>
      </c>
      <c r="F64" s="4" t="inlineStr">
        <is>
          <t>2026-09-23T08:50:01.456Z</t>
        </is>
      </c>
      <c r="G64" s="20" t="n"/>
      <c r="H64" s="18" t="n">
        <v>99.85005</v>
      </c>
      <c r="I64" s="21" t="inlineStr">
        <is>
          <t>open</t>
        </is>
      </c>
      <c r="J64" s="22" t="inlineStr">
        <is>
          <t>1a6a178cec0ca659806373ec0eced1de4a4aaa2f780fd1843a85aa4f423aba1b</t>
        </is>
      </c>
      <c r="K64" s="21" t="inlineStr">
        <is>
          <t>open</t>
        </is>
      </c>
      <c r="L64" s="22" t="inlineStr">
        <is>
          <t>204b276ca9026f8bd5a7aeadeb4a77fbba4d7531ee3faa68c738a3126dc321fd</t>
        </is>
      </c>
    </row>
    <row r="65">
      <c r="A65" s="4" t="inlineStr">
        <is>
          <t>ETH → SOL</t>
        </is>
      </c>
      <c r="B65" s="4" t="n">
        <v>1</v>
      </c>
      <c r="C65" s="4" t="inlineStr">
        <is>
          <t>Bridg</t>
        </is>
      </c>
      <c r="D65" s="4" t="inlineStr">
        <is>
          <t>2026-09-23T09:38:34.979Z</t>
        </is>
      </c>
      <c r="E65" s="4" t="inlineStr">
        <is>
          <t>2026-09-23T09:38:36.130Z</t>
        </is>
      </c>
      <c r="F65" s="4" t="inlineStr">
        <is>
          <t>2026-09-23T09:38:40.158Z</t>
        </is>
      </c>
      <c r="G65" s="20" t="n"/>
      <c r="H65" s="18" t="n">
        <v>99.85005</v>
      </c>
      <c r="I65" s="21" t="inlineStr">
        <is>
          <t>open</t>
        </is>
      </c>
      <c r="J65" s="22" t="inlineStr">
        <is>
          <t>b7f7aaeedab664127b78fb8573b0901e3c5c1eada82b48d9306956222ebc685c</t>
        </is>
      </c>
      <c r="K65" s="21" t="inlineStr">
        <is>
          <t>open</t>
        </is>
      </c>
      <c r="L65" s="22" t="inlineStr">
        <is>
          <t>2294928e4ada1ddf794102b7d659283ea6420d36a414c68fbfe08f4b5d3d8fc2</t>
        </is>
      </c>
    </row>
    <row r="66">
      <c r="A66" s="4" t="inlineStr">
        <is>
          <t>ETH → SOL</t>
        </is>
      </c>
      <c r="B66" s="4" t="n">
        <v>1</v>
      </c>
      <c r="C66" s="4" t="inlineStr">
        <is>
          <t>Bridg</t>
        </is>
      </c>
      <c r="D66" s="4" t="inlineStr">
        <is>
          <t>2026-09-23T09:39:31.023Z</t>
        </is>
      </c>
      <c r="E66" s="4" t="inlineStr">
        <is>
          <t>2026-09-23T09:39:31.893Z</t>
        </is>
      </c>
      <c r="F66" s="4" t="inlineStr">
        <is>
          <t>2026-09-23T09:39:34.043Z</t>
        </is>
      </c>
      <c r="G66" s="20" t="n"/>
      <c r="H66" s="18" t="n">
        <v>99.85005</v>
      </c>
      <c r="I66" s="21" t="inlineStr">
        <is>
          <t>open</t>
        </is>
      </c>
      <c r="J66" s="22" t="inlineStr">
        <is>
          <t>2927293573c48e14838d8bc7b6fd88a6ba8d76db53c3e91056e5c2b116dc9514</t>
        </is>
      </c>
      <c r="K66" s="21" t="inlineStr">
        <is>
          <t>open</t>
        </is>
      </c>
      <c r="L66" s="22" t="inlineStr">
        <is>
          <t>bad4415772471a7ae2924a0510022ff2f57ae9fbc0f09be7a040f968f5c492a6</t>
        </is>
      </c>
    </row>
    <row r="67">
      <c r="A67" s="4" t="inlineStr">
        <is>
          <t>ETH → SOL</t>
        </is>
      </c>
      <c r="B67" s="4" t="n">
        <v>1</v>
      </c>
      <c r="C67" s="4" t="inlineStr">
        <is>
          <t>Relay</t>
        </is>
      </c>
      <c r="D67" s="4" t="inlineStr">
        <is>
          <t>2026-09-23T08:49:56.914Z</t>
        </is>
      </c>
      <c r="E67" s="4" t="inlineStr">
        <is>
          <t>2026-09-23T08:49:58.351Z</t>
        </is>
      </c>
      <c r="F67" s="4" t="inlineStr">
        <is>
          <t>2026-09-23T08:50:00.542Z</t>
        </is>
      </c>
      <c r="G67" s="20" t="n">
        <v>0.552</v>
      </c>
      <c r="H67" s="18" t="n">
        <v>99.945561</v>
      </c>
      <c r="I67" s="21" t="inlineStr">
        <is>
          <t>open</t>
        </is>
      </c>
      <c r="J67" s="22" t="inlineStr">
        <is>
          <t>cbb5338402dc3d310572925e63904b0db4a1fb048bef4cef18cd9a353788583f</t>
        </is>
      </c>
      <c r="K67" s="21" t="inlineStr">
        <is>
          <t>open</t>
        </is>
      </c>
      <c r="L67" s="22" t="inlineStr">
        <is>
          <t>36d620d6272487181d6a4d218c32855ed6e7ee8099c8a9167506c37a610dfeba</t>
        </is>
      </c>
    </row>
    <row r="68">
      <c r="A68" s="4" t="inlineStr">
        <is>
          <t>ETH → SOL</t>
        </is>
      </c>
      <c r="B68" s="4" t="n">
        <v>1</v>
      </c>
      <c r="C68" s="4" t="inlineStr">
        <is>
          <t>Relay</t>
        </is>
      </c>
      <c r="D68" s="4" t="inlineStr">
        <is>
          <t>2026-09-23T09:38:34.978Z</t>
        </is>
      </c>
      <c r="E68" s="4" t="inlineStr">
        <is>
          <t>2026-09-23T09:38:36.608Z</t>
        </is>
      </c>
      <c r="F68" s="4" t="inlineStr">
        <is>
          <t>2026-09-23T09:38:38.901Z</t>
        </is>
      </c>
      <c r="G68" s="20" t="n">
        <v>0.478</v>
      </c>
      <c r="H68" s="18" t="n">
        <v>99.94557</v>
      </c>
      <c r="I68" s="21" t="inlineStr">
        <is>
          <t>open</t>
        </is>
      </c>
      <c r="J68" s="22" t="inlineStr">
        <is>
          <t>964c264425f29585c16a403704611023141152eb4572522638355e0e5330f606</t>
        </is>
      </c>
      <c r="K68" s="21" t="inlineStr">
        <is>
          <t>open</t>
        </is>
      </c>
      <c r="L68" s="22" t="inlineStr">
        <is>
          <t>2455ecec24f084d0f3813c008de7e9fcaaa729b25e3feadbc2779aabcbfd35d3</t>
        </is>
      </c>
    </row>
    <row r="69">
      <c r="A69" s="4" t="inlineStr">
        <is>
          <t>ETH → SOL</t>
        </is>
      </c>
      <c r="B69" s="4" t="n">
        <v>1</v>
      </c>
      <c r="C69" s="4" t="inlineStr">
        <is>
          <t>deBridge</t>
        </is>
      </c>
      <c r="D69" s="4" t="inlineStr">
        <is>
          <t>2026-09-23T08:49:56.914Z</t>
        </is>
      </c>
      <c r="E69" s="4" t="inlineStr">
        <is>
          <t>2026-09-23T08:49:58.359Z</t>
        </is>
      </c>
      <c r="F69" s="4" t="inlineStr">
        <is>
          <t>2026-09-23T08:50:00.541Z</t>
        </is>
      </c>
      <c r="G69" s="20" t="n">
        <v>0.5600000000000001</v>
      </c>
      <c r="H69" s="18" t="n">
        <v>99.920018</v>
      </c>
      <c r="I69" s="21" t="inlineStr">
        <is>
          <t>open</t>
        </is>
      </c>
      <c r="J69" s="22" t="inlineStr">
        <is>
          <t>7634965ce2d3e7f6640207525a2f740d806a287caa5ab427999eb9de3bd4ca25</t>
        </is>
      </c>
      <c r="K69" s="21" t="inlineStr">
        <is>
          <t>open</t>
        </is>
      </c>
      <c r="L69" s="22" t="inlineStr">
        <is>
          <t>07255de4635037fad13c60433ed8830fb4e622a150c34f827dd7351ea1a55a9f</t>
        </is>
      </c>
    </row>
    <row r="70">
      <c r="A70" s="4" t="inlineStr">
        <is>
          <t>ETH → SOL</t>
        </is>
      </c>
      <c r="B70" s="4" t="n">
        <v>1</v>
      </c>
      <c r="C70" s="4" t="inlineStr">
        <is>
          <t>deBridge</t>
        </is>
      </c>
      <c r="D70" s="4" t="inlineStr">
        <is>
          <t>2026-09-23T09:38:34.979Z</t>
        </is>
      </c>
      <c r="E70" s="4" t="inlineStr">
        <is>
          <t>2026-09-23T09:38:36.312Z</t>
        </is>
      </c>
      <c r="F70" s="4" t="inlineStr">
        <is>
          <t>2026-09-23T09:38:38.509Z</t>
        </is>
      </c>
      <c r="G70" s="20" t="n">
        <v>0.182</v>
      </c>
      <c r="H70" s="18" t="n">
        <v>99.920018</v>
      </c>
      <c r="I70" s="21" t="inlineStr">
        <is>
          <t>open</t>
        </is>
      </c>
      <c r="J70" s="22" t="inlineStr">
        <is>
          <t>6038577f0c8595f63eda54aeaadcc6179cb7b4780624cb4adcfbad6cf8dc0655</t>
        </is>
      </c>
      <c r="K70" s="21" t="inlineStr">
        <is>
          <t>open</t>
        </is>
      </c>
      <c r="L70" s="22" t="inlineStr">
        <is>
          <t>96a86791cb6b0542ccfbcd6d485e8032670a1b42d5fff6bbc93775ee42a6dfa1</t>
        </is>
      </c>
    </row>
    <row r="71">
      <c r="A71" s="4" t="inlineStr">
        <is>
          <t>ETH → SOL</t>
        </is>
      </c>
      <c r="B71" s="4" t="n">
        <v>1</v>
      </c>
      <c r="C71" s="4" t="inlineStr">
        <is>
          <t>LI.FI (Jumper)</t>
        </is>
      </c>
      <c r="D71" s="4" t="inlineStr">
        <is>
          <t>2026-09-23T08:49:56.915Z</t>
        </is>
      </c>
      <c r="E71" s="4" t="inlineStr">
        <is>
          <t>2026-09-23T08:49:59.708Z</t>
        </is>
      </c>
      <c r="F71" s="4" t="inlineStr">
        <is>
          <t>2026-09-23T08:50:01.723Z</t>
        </is>
      </c>
      <c r="G71" s="20" t="n">
        <v>1.909</v>
      </c>
      <c r="H71" s="18" t="n">
        <v>99.945561</v>
      </c>
      <c r="I71" s="21" t="inlineStr">
        <is>
          <t>open</t>
        </is>
      </c>
      <c r="J71" s="22" t="inlineStr">
        <is>
          <t>497f3b4272b2f14b9d30671a6ed55445a45972a67d715838df7577b9a44b4b8b</t>
        </is>
      </c>
      <c r="K71" s="21" t="inlineStr">
        <is>
          <t>open</t>
        </is>
      </c>
      <c r="L71" s="22" t="inlineStr">
        <is>
          <t>632326cfefa676b1d2a446ceeaaab021a653f78e534233dd8517009670149a2a</t>
        </is>
      </c>
    </row>
    <row r="72">
      <c r="A72" s="4" t="inlineStr">
        <is>
          <t>ETH → SOL</t>
        </is>
      </c>
      <c r="B72" s="4" t="n">
        <v>1</v>
      </c>
      <c r="C72" s="4" t="inlineStr">
        <is>
          <t>LI.FI (Jumper)</t>
        </is>
      </c>
      <c r="D72" s="4" t="inlineStr">
        <is>
          <t>2026-09-23T09:38:34.981Z</t>
        </is>
      </c>
      <c r="E72" s="4" t="inlineStr">
        <is>
          <t>2026-09-23T09:39:17.660Z</t>
        </is>
      </c>
      <c r="F72" s="4" t="inlineStr">
        <is>
          <t>2026-09-23T09:39:19.802Z</t>
        </is>
      </c>
      <c r="G72" s="20" t="n">
        <v>41.53</v>
      </c>
      <c r="H72" s="18" t="n">
        <v>99.94557</v>
      </c>
      <c r="I72" s="21" t="inlineStr">
        <is>
          <t>open</t>
        </is>
      </c>
      <c r="J72" s="22" t="inlineStr">
        <is>
          <t>49df87189c443b0108482c712457a3b6ef143a71edfb4f9512023739d581153a</t>
        </is>
      </c>
      <c r="K72" s="21" t="inlineStr">
        <is>
          <t>open</t>
        </is>
      </c>
      <c r="L72" s="22" t="inlineStr">
        <is>
          <t>1b3cc6b0c939d61254b385f67912392ae306bfc44ff8c15260dfd75ffead16b1</t>
        </is>
      </c>
    </row>
    <row r="73">
      <c r="A73" s="4" t="inlineStr">
        <is>
          <t>ETH → SOL</t>
        </is>
      </c>
      <c r="B73" s="4" t="n">
        <v>1</v>
      </c>
      <c r="C73" s="4" t="inlineStr">
        <is>
          <t>LI.FI (Jumper)</t>
        </is>
      </c>
      <c r="D73" s="4" t="inlineStr">
        <is>
          <t>2026-09-23T09:39:31.023Z</t>
        </is>
      </c>
      <c r="E73" s="4" t="inlineStr">
        <is>
          <t>2026-09-23T09:39:32.929Z</t>
        </is>
      </c>
      <c r="F73" s="4" t="inlineStr">
        <is>
          <t>2026-09-23T09:39:35.092Z</t>
        </is>
      </c>
      <c r="G73" s="20" t="n">
        <v>1.036</v>
      </c>
      <c r="H73" s="18" t="n">
        <v>99.945573</v>
      </c>
      <c r="I73" s="21" t="inlineStr">
        <is>
          <t>open</t>
        </is>
      </c>
      <c r="J73" s="22" t="inlineStr">
        <is>
          <t>5c3cf2537777a7b16fe6c2292d0fbcf059a8c7fdc13338735597bb176062018e</t>
        </is>
      </c>
      <c r="K73" s="21" t="inlineStr">
        <is>
          <t>open</t>
        </is>
      </c>
      <c r="L73" s="22" t="inlineStr">
        <is>
          <t>260477eeed96775062b1b3491ef88b99fc105732cc4044b5bb3c61614944a480</t>
        </is>
      </c>
    </row>
    <row r="74">
      <c r="A74" s="4" t="inlineStr">
        <is>
          <t>ETH → SOL</t>
        </is>
      </c>
      <c r="B74" s="4" t="n">
        <v>1</v>
      </c>
      <c r="C74" s="4" t="inlineStr">
        <is>
          <t>Across</t>
        </is>
      </c>
      <c r="D74" s="4" t="inlineStr">
        <is>
          <t>2026-09-23T08:49:56.914Z</t>
        </is>
      </c>
      <c r="E74" s="4" t="inlineStr">
        <is>
          <t>2026-09-23T08:49:57.874Z</t>
        </is>
      </c>
      <c r="F74" s="4" t="inlineStr">
        <is>
          <t>2026-09-23T08:50:00.000Z</t>
        </is>
      </c>
      <c r="G74" s="20" t="n">
        <v>0.075</v>
      </c>
      <c r="H74" s="18" t="n">
        <v>99.98999999999999</v>
      </c>
      <c r="I74" s="21" t="inlineStr">
        <is>
          <t>open</t>
        </is>
      </c>
      <c r="J74" s="22" t="inlineStr">
        <is>
          <t>5c222636d245f05df7db78ce841b96079b9465c4ecd24e04168f55e76c12feb7</t>
        </is>
      </c>
      <c r="K74" s="21" t="inlineStr">
        <is>
          <t>open</t>
        </is>
      </c>
      <c r="L74" s="22" t="inlineStr">
        <is>
          <t>2c6d8f4235d1028654c290293494c733f28ff9068ef0bfecc6e99ff16868fb30</t>
        </is>
      </c>
    </row>
    <row r="75">
      <c r="A75" s="4" t="inlineStr">
        <is>
          <t>ETH → SOL</t>
        </is>
      </c>
      <c r="B75" s="4" t="n">
        <v>1</v>
      </c>
      <c r="C75" s="4" t="inlineStr">
        <is>
          <t>Across</t>
        </is>
      </c>
      <c r="D75" s="4" t="inlineStr">
        <is>
          <t>2026-09-23T09:38:34.977Z</t>
        </is>
      </c>
      <c r="E75" s="4" t="inlineStr">
        <is>
          <t>2026-09-23T09:38:36.132Z</t>
        </is>
      </c>
      <c r="F75" s="4" t="inlineStr">
        <is>
          <t>2026-09-23T09:38:38.257Z</t>
        </is>
      </c>
      <c r="G75" s="20" t="n">
        <v>0.002</v>
      </c>
      <c r="H75" s="18" t="n">
        <v>99.98999999999999</v>
      </c>
      <c r="I75" s="21" t="inlineStr">
        <is>
          <t>open</t>
        </is>
      </c>
      <c r="J75" s="22" t="inlineStr">
        <is>
          <t>5c222636d245f05df7db78ce841b96079b9465c4ecd24e04168f55e76c12feb7</t>
        </is>
      </c>
      <c r="K75" s="21" t="inlineStr">
        <is>
          <t>open</t>
        </is>
      </c>
      <c r="L75" s="22" t="inlineStr">
        <is>
          <t>85d8df825bd1042d7b0562fda45b4111abb8d46759de251d2eef85551cd20116</t>
        </is>
      </c>
    </row>
    <row r="76">
      <c r="A76" s="4" t="inlineStr">
        <is>
          <t>ETH → SOL</t>
        </is>
      </c>
      <c r="B76" s="4" t="n">
        <v>1</v>
      </c>
      <c r="C76" s="4" t="inlineStr">
        <is>
          <t>Mayan</t>
        </is>
      </c>
      <c r="D76" s="4" t="inlineStr">
        <is>
          <t>2026-09-23T08:49:56.913Z</t>
        </is>
      </c>
      <c r="E76" s="4" t="inlineStr">
        <is>
          <t>2026-09-23T08:49:58.050Z</t>
        </is>
      </c>
      <c r="F76" s="4" t="inlineStr">
        <is>
          <t>2026-09-23T08:50:00.175Z</t>
        </is>
      </c>
      <c r="G76" s="20" t="n">
        <v>0.251</v>
      </c>
      <c r="H76" s="18" t="n">
        <v>99.51900000000001</v>
      </c>
      <c r="I76" s="21" t="inlineStr">
        <is>
          <t>open</t>
        </is>
      </c>
      <c r="J76" s="22" t="inlineStr">
        <is>
          <t>cfba519fabb169284797354183c222cf6390e77a54ecb72e1ee34eea28f02f49</t>
        </is>
      </c>
      <c r="K76" s="21" t="inlineStr">
        <is>
          <t>open</t>
        </is>
      </c>
      <c r="L76" s="22" t="inlineStr">
        <is>
          <t>9ffb678b31e3db6ac43b97685900ffc235a9a61c8fd9e1dd3fdaf6e4ef84cc31</t>
        </is>
      </c>
    </row>
    <row r="77">
      <c r="A77" s="4" t="inlineStr">
        <is>
          <t>ETH → SOL</t>
        </is>
      </c>
      <c r="B77" s="4" t="n">
        <v>1</v>
      </c>
      <c r="C77" s="4" t="inlineStr">
        <is>
          <t>Mayan</t>
        </is>
      </c>
      <c r="D77" s="4" t="inlineStr">
        <is>
          <t>2026-09-23T09:38:34.977Z</t>
        </is>
      </c>
      <c r="E77" s="4" t="inlineStr">
        <is>
          <t>2026-09-23T09:38:36.227Z</t>
        </is>
      </c>
      <c r="F77" s="4" t="inlineStr">
        <is>
          <t>2026-09-23T09:38:38.353Z</t>
        </is>
      </c>
      <c r="G77" s="20" t="n">
        <v>0.097</v>
      </c>
      <c r="H77" s="18" t="n">
        <v>99.539</v>
      </c>
      <c r="I77" s="21" t="inlineStr">
        <is>
          <t>open</t>
        </is>
      </c>
      <c r="J77" s="22" t="inlineStr">
        <is>
          <t>c4a828f38a035155eb25bf8df4c3cb3143ccc146cfe3b63d748ae315d797afef</t>
        </is>
      </c>
      <c r="K77" s="21" t="inlineStr">
        <is>
          <t>open</t>
        </is>
      </c>
      <c r="L77" s="22" t="inlineStr">
        <is>
          <t>b418c0182abc699d92a8165f5dcfe55daa40ce1c7f7767ae4948c7d169d173a6</t>
        </is>
      </c>
    </row>
    <row r="78">
      <c r="A78" s="4" t="inlineStr">
        <is>
          <t>ETH → SOL</t>
        </is>
      </c>
      <c r="B78" s="4" t="n">
        <v>1</v>
      </c>
      <c r="C78" s="4" t="inlineStr">
        <is>
          <t>Allbridge Core</t>
        </is>
      </c>
      <c r="D78" s="4" t="inlineStr">
        <is>
          <t>2026-09-23T09:38:34.982Z</t>
        </is>
      </c>
      <c r="E78" s="4" t="inlineStr">
        <is>
          <t>2026-09-23T09:38:36.152Z</t>
        </is>
      </c>
      <c r="F78" s="4" t="inlineStr">
        <is>
          <t>2026-09-23T09:38:38.363Z</t>
        </is>
      </c>
      <c r="G78" s="20" t="n">
        <v>0.022</v>
      </c>
      <c r="H78" s="18" t="n">
        <v>99.90000000000001</v>
      </c>
      <c r="I78" s="21" t="inlineStr">
        <is>
          <t>open</t>
        </is>
      </c>
      <c r="J78" s="22" t="inlineStr">
        <is>
          <t>e394cf3af1b5de0633213f8b9ba0765782dbce165ca3ac295a3603c3cc1ed2ab</t>
        </is>
      </c>
      <c r="K78" s="21" t="inlineStr">
        <is>
          <t>open</t>
        </is>
      </c>
      <c r="L78" s="22" t="inlineStr">
        <is>
          <t>8dd8e4dedaac0671b38ddeec8480e97b7e0037f7d1342f63b93cd1806728eafc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CCTP (via Portal)</t>
        </is>
      </c>
      <c r="D79" s="4" t="inlineStr">
        <is>
          <t>2026-09-23T09:38:34.982Z</t>
        </is>
      </c>
      <c r="E79" s="4" t="inlineStr">
        <is>
          <t>2026-09-23T09:38:38.401Z</t>
        </is>
      </c>
      <c r="F79" s="4" t="inlineStr">
        <is>
          <t>2026-09-23T09:38:40.461Z</t>
        </is>
      </c>
      <c r="G79" s="20" t="n">
        <v>2.271</v>
      </c>
      <c r="H79" s="18" t="n">
        <v>99.980001</v>
      </c>
      <c r="I79" s="21" t="inlineStr">
        <is>
          <t>open</t>
        </is>
      </c>
      <c r="J79" s="22" t="inlineStr">
        <is>
          <t>962db000d2f512bfada3e26b1305ca22101492cf5970591eb8c9c3c52801587d</t>
        </is>
      </c>
      <c r="K79" s="21" t="inlineStr">
        <is>
          <t>open</t>
        </is>
      </c>
      <c r="L79" s="22" t="inlineStr">
        <is>
          <t>7efb7f693d38ed23e4b7e889f81dcabe73cf3ed19fa195a356ce1b4f19b8b46f</t>
        </is>
      </c>
    </row>
    <row r="80">
      <c r="A80" s="4" t="inlineStr">
        <is>
          <t>ETH → SOL</t>
        </is>
      </c>
      <c r="B80" s="4" t="n">
        <v>1</v>
      </c>
      <c r="C80" s="4" t="inlineStr">
        <is>
          <t>Husher</t>
        </is>
      </c>
      <c r="D80" s="4" t="inlineStr">
        <is>
          <t>2026-09-23T09:38:34.982Z</t>
        </is>
      </c>
      <c r="E80" s="4" t="inlineStr">
        <is>
          <t>2026-09-23T09:38:36.292Z</t>
        </is>
      </c>
      <c r="F80" s="4" t="inlineStr">
        <is>
          <t>2026-09-23T09:38:38.419Z</t>
        </is>
      </c>
      <c r="G80" s="20" t="n">
        <v>0.162</v>
      </c>
      <c r="H80" s="18" t="n">
        <v>99.34999999999999</v>
      </c>
      <c r="I80" s="21" t="inlineStr">
        <is>
          <t>open</t>
        </is>
      </c>
      <c r="J80" s="22" t="inlineStr">
        <is>
          <t>c4b8c135aff52e7a789161bae1707dcd5b73d5e01ddfc21f5c88422a4ebe5021</t>
        </is>
      </c>
      <c r="K80" s="21" t="inlineStr">
        <is>
          <t>open</t>
        </is>
      </c>
      <c r="L80" s="22" t="inlineStr">
        <is>
          <t>e940e01a2994e9743898ff889e8ea6fe4bfc50403352db0866e97495316dc992</t>
        </is>
      </c>
    </row>
    <row r="81">
      <c r="A81" s="4" t="inlineStr">
        <is>
          <t>ETH → SOL</t>
        </is>
      </c>
      <c r="B81" s="4" t="n">
        <v>1</v>
      </c>
      <c r="C81" s="4" t="inlineStr">
        <is>
          <t>Layerswap</t>
        </is>
      </c>
      <c r="D81" s="4" t="inlineStr">
        <is>
          <t>2026-09-23T09:38:34.977Z</t>
        </is>
      </c>
      <c r="E81" s="4" t="inlineStr">
        <is>
          <t>2026-09-23T09:38:37.101Z</t>
        </is>
      </c>
      <c r="F81" s="4" t="inlineStr">
        <is>
          <t>2026-09-23T09:38:39.243Z</t>
        </is>
      </c>
      <c r="G81" s="20" t="n">
        <v>0.971</v>
      </c>
      <c r="H81" s="18" t="n">
        <v>99.67344799999999</v>
      </c>
      <c r="I81" s="21" t="inlineStr">
        <is>
          <t>open</t>
        </is>
      </c>
      <c r="J81" s="22" t="inlineStr">
        <is>
          <t>40ea6f4f5fce32dc62672337c658b622411c807cbe3e3375339cc48748df0057</t>
        </is>
      </c>
      <c r="K81" s="21" t="inlineStr">
        <is>
          <t>open</t>
        </is>
      </c>
      <c r="L81" s="22" t="inlineStr">
        <is>
          <t>8cb3b47ae7d3a7c3dadfd98d061fc4896030669b19b9ba76679ce734ec568bc3</t>
        </is>
      </c>
    </row>
    <row r="82">
      <c r="A82" s="4" t="inlineStr">
        <is>
          <t>ETH → SOL</t>
        </is>
      </c>
      <c r="B82" s="4" t="n">
        <v>1</v>
      </c>
      <c r="C82" s="4" t="inlineStr">
        <is>
          <t>Meson</t>
        </is>
      </c>
      <c r="D82" s="4" t="inlineStr">
        <is>
          <t>2026-09-23T09:38:34.982Z</t>
        </is>
      </c>
      <c r="E82" s="4" t="inlineStr">
        <is>
          <t>2026-09-23T09:38:35.286Z</t>
        </is>
      </c>
      <c r="F82" s="4" t="inlineStr">
        <is>
          <t>2026-09-23T09:38:37.424Z</t>
        </is>
      </c>
      <c r="G82" s="20" t="n">
        <v>0.844</v>
      </c>
      <c r="H82" s="18" t="n">
        <v>99.09999999999999</v>
      </c>
      <c r="I82" s="21" t="inlineStr">
        <is>
          <t>open</t>
        </is>
      </c>
      <c r="J82" s="22" t="inlineStr">
        <is>
          <t>a8a32326d59c3d46f7fed55a3b4f39afd50c8a5e4c223a57b96e865e4185afcd</t>
        </is>
      </c>
      <c r="K82" s="21" t="inlineStr">
        <is>
          <t>open</t>
        </is>
      </c>
      <c r="L82" s="22" t="inlineStr">
        <is>
          <t>b483b32584f2ab3a28e8d666c5d55b5f8cd955fc4e161cbb7ef3f05f0ab31429</t>
        </is>
      </c>
    </row>
    <row r="83">
      <c r="A83" s="4" t="inlineStr">
        <is>
          <t>ETH → SOL</t>
        </is>
      </c>
      <c r="B83" s="4" t="n">
        <v>1</v>
      </c>
      <c r="C83" s="4" t="inlineStr">
        <is>
          <t>Skip Go</t>
        </is>
      </c>
      <c r="D83" s="4" t="inlineStr">
        <is>
          <t>2026-09-23T09:38:34.980Z</t>
        </is>
      </c>
      <c r="E83" s="4" t="inlineStr">
        <is>
          <t>2026-09-23T09:38:37.504Z</t>
        </is>
      </c>
      <c r="F83" s="4" t="inlineStr">
        <is>
          <t>2026-09-23T09:38:39.547Z</t>
        </is>
      </c>
      <c r="G83" s="20" t="n">
        <v>1.374</v>
      </c>
      <c r="H83" s="18" t="n">
        <v>99.71930999999999</v>
      </c>
      <c r="I83" s="21" t="inlineStr">
        <is>
          <t>open</t>
        </is>
      </c>
      <c r="J83" s="22" t="inlineStr">
        <is>
          <t>381feecc2990a22b316989197084cb9ee04a365fb445fc9bc89decf0928a0515</t>
        </is>
      </c>
      <c r="K83" s="21" t="inlineStr">
        <is>
          <t>open</t>
        </is>
      </c>
      <c r="L83" s="22" t="inlineStr">
        <is>
          <t>4abcab11fd87771dd9a9b473a1622a1ff236eb7e25cc3838d566e858dfef47f3</t>
        </is>
      </c>
    </row>
    <row r="84">
      <c r="A84" s="4" t="inlineStr">
        <is>
          <t>ETH → SOL</t>
        </is>
      </c>
      <c r="B84" s="4" t="n">
        <v>1</v>
      </c>
      <c r="C84" s="4" t="inlineStr">
        <is>
          <t>Symbiosis</t>
        </is>
      </c>
      <c r="D84" s="4" t="inlineStr">
        <is>
          <t>2026-09-23T09:38:34.978Z</t>
        </is>
      </c>
      <c r="E84" s="4" t="inlineStr">
        <is>
          <t>2026-09-23T09:38:37.549Z</t>
        </is>
      </c>
      <c r="F84" s="4" t="inlineStr">
        <is>
          <t>2026-09-23T09:38:39.852Z</t>
        </is>
      </c>
      <c r="G84" s="20" t="n">
        <v>1.419</v>
      </c>
      <c r="H84" s="18" t="n">
        <v>98.94045699999999</v>
      </c>
      <c r="I84" s="21" t="inlineStr">
        <is>
          <t>open</t>
        </is>
      </c>
      <c r="J84" s="22" t="inlineStr">
        <is>
          <t>475c8ff54653b2fd36959f8c9fb1fd12e2bdab2b165691c648f07677a1071e5b</t>
        </is>
      </c>
      <c r="K84" s="21" t="inlineStr">
        <is>
          <t>open</t>
        </is>
      </c>
      <c r="L84" s="22" t="inlineStr">
        <is>
          <t>c784e222aef3c334af1685b856839dc20ae74c01c9934b1859d96fde22f180f0</t>
        </is>
      </c>
    </row>
    <row r="85">
      <c r="A85" s="4" t="inlineStr">
        <is>
          <t>ETH → SOL</t>
        </is>
      </c>
      <c r="B85" s="4" t="n">
        <v>2</v>
      </c>
      <c r="C85" s="4" t="inlineStr">
        <is>
          <t>Bridg</t>
        </is>
      </c>
      <c r="D85" s="4" t="inlineStr">
        <is>
          <t>2026-09-23T08:52:55.333Z</t>
        </is>
      </c>
      <c r="E85" s="4" t="inlineStr">
        <is>
          <t>2026-09-23T08:52:56.258Z</t>
        </is>
      </c>
      <c r="F85" s="4" t="inlineStr">
        <is>
          <t>2026-09-23T08:52:59.668Z</t>
        </is>
      </c>
      <c r="G85" s="20" t="n"/>
      <c r="H85" s="18" t="n">
        <v>99.85005</v>
      </c>
      <c r="I85" s="21" t="inlineStr">
        <is>
          <t>open</t>
        </is>
      </c>
      <c r="J85" s="22" t="inlineStr">
        <is>
          <t>83de615bcd9fda8304e55c2868d6516a874442ce330e915c3a668e22c643127d</t>
        </is>
      </c>
      <c r="K85" s="21" t="inlineStr">
        <is>
          <t>open</t>
        </is>
      </c>
      <c r="L85" s="22" t="inlineStr">
        <is>
          <t>f0023ffe7df031cda8df7134e63b253d5c05dbc48d7e6511c3bd5511dfb1d54c</t>
        </is>
      </c>
    </row>
    <row r="86">
      <c r="A86" s="4" t="inlineStr">
        <is>
          <t>ETH → SOL</t>
        </is>
      </c>
      <c r="B86" s="4" t="n">
        <v>2</v>
      </c>
      <c r="C86" s="4" t="inlineStr">
        <is>
          <t>Bridg</t>
        </is>
      </c>
      <c r="D86" s="4" t="inlineStr">
        <is>
          <t>2026-09-23T09:42:50.107Z</t>
        </is>
      </c>
      <c r="E86" s="4" t="inlineStr">
        <is>
          <t>2026-09-23T09:42:51.234Z</t>
        </is>
      </c>
      <c r="F86" s="4" t="inlineStr">
        <is>
          <t>2026-09-23T09:42:55.057Z</t>
        </is>
      </c>
      <c r="G86" s="20" t="n"/>
      <c r="H86" s="18" t="n">
        <v>99.85005</v>
      </c>
      <c r="I86" s="21" t="inlineStr">
        <is>
          <t>open</t>
        </is>
      </c>
      <c r="J86" s="22" t="inlineStr">
        <is>
          <t>8584195958a5949698c6e2eee74b0077661e50282ab50df8a2881dd792d87653</t>
        </is>
      </c>
      <c r="K86" s="21" t="inlineStr">
        <is>
          <t>open</t>
        </is>
      </c>
      <c r="L86" s="22" t="inlineStr">
        <is>
          <t>c9d5b705a35221f22a6b13088e6a4cf5d49b43d6e8ad6216b7a1272766b0e820</t>
        </is>
      </c>
    </row>
    <row r="87">
      <c r="A87" s="4" t="inlineStr">
        <is>
          <t>ETH → SOL</t>
        </is>
      </c>
      <c r="B87" s="4" t="n">
        <v>2</v>
      </c>
      <c r="C87" s="4" t="inlineStr">
        <is>
          <t>Relay</t>
        </is>
      </c>
      <c r="D87" s="4" t="inlineStr">
        <is>
          <t>2026-09-23T08:52:55.333Z</t>
        </is>
      </c>
      <c r="E87" s="4" t="inlineStr">
        <is>
          <t>2026-09-23T08:52:57.053Z</t>
        </is>
      </c>
      <c r="F87" s="4" t="inlineStr">
        <is>
          <t>2026-09-23T08:52:59.361Z</t>
        </is>
      </c>
      <c r="G87" s="20" t="n">
        <v>0.795</v>
      </c>
      <c r="H87" s="18" t="n">
        <v>99.945582</v>
      </c>
      <c r="I87" s="21" t="inlineStr">
        <is>
          <t>open</t>
        </is>
      </c>
      <c r="J87" s="22" t="inlineStr">
        <is>
          <t>b03f39aadff286915c25c1dde30c23c57a7ab50a64175f8561d9b3ad116be35c</t>
        </is>
      </c>
      <c r="K87" s="21" t="inlineStr">
        <is>
          <t>open</t>
        </is>
      </c>
      <c r="L87" s="22" t="inlineStr">
        <is>
          <t>109a1051d0b04681e5e8b92277ab23e5cb87ca456195910cd1f5bef204fe174d</t>
        </is>
      </c>
    </row>
    <row r="88">
      <c r="A88" s="4" t="inlineStr">
        <is>
          <t>ETH → SOL</t>
        </is>
      </c>
      <c r="B88" s="4" t="n">
        <v>2</v>
      </c>
      <c r="C88" s="4" t="inlineStr">
        <is>
          <t>Relay</t>
        </is>
      </c>
      <c r="D88" s="4" t="inlineStr">
        <is>
          <t>2026-09-23T09:42:50.108Z</t>
        </is>
      </c>
      <c r="E88" s="4" t="inlineStr">
        <is>
          <t>2026-09-23T09:42:51.989Z</t>
        </is>
      </c>
      <c r="F88" s="4" t="inlineStr">
        <is>
          <t>2026-09-23T09:42:54.012Z</t>
        </is>
      </c>
      <c r="G88" s="20" t="n">
        <v>0.755</v>
      </c>
      <c r="H88" s="18" t="n">
        <v>99.94557399999999</v>
      </c>
      <c r="I88" s="21" t="inlineStr">
        <is>
          <t>open</t>
        </is>
      </c>
      <c r="J88" s="22" t="inlineStr">
        <is>
          <t>c4ec6e43ece1a294c088a25c8b5d8f466d7e975b227a7490c7818fda7ab71cbe</t>
        </is>
      </c>
      <c r="K88" s="21" t="inlineStr">
        <is>
          <t>open</t>
        </is>
      </c>
      <c r="L88" s="22" t="inlineStr">
        <is>
          <t>c9c2b8f8f5659b691d7d6872d94f67b213748e7131699c2d958710fbacbd2156</t>
        </is>
      </c>
    </row>
    <row r="89">
      <c r="A89" s="4" t="inlineStr">
        <is>
          <t>ETH → SOL</t>
        </is>
      </c>
      <c r="B89" s="4" t="n">
        <v>2</v>
      </c>
      <c r="C89" s="4" t="inlineStr">
        <is>
          <t>deBridge</t>
        </is>
      </c>
      <c r="D89" s="4" t="inlineStr">
        <is>
          <t>2026-09-23T08:52:55.333Z</t>
        </is>
      </c>
      <c r="E89" s="4" t="inlineStr">
        <is>
          <t>2026-09-23T08:52:56.812Z</t>
        </is>
      </c>
      <c r="F89" s="4" t="inlineStr">
        <is>
          <t>2026-09-23T08:52:59.055Z</t>
        </is>
      </c>
      <c r="G89" s="20" t="n">
        <v>0.554</v>
      </c>
      <c r="H89" s="18" t="n">
        <v>99.920018</v>
      </c>
      <c r="I89" s="21" t="inlineStr">
        <is>
          <t>open</t>
        </is>
      </c>
      <c r="J89" s="22" t="inlineStr">
        <is>
          <t>2c831ad2bf4db8c5679867fd40f1ee9bc9185f0bd7a7fa431cefa327d131ecc7</t>
        </is>
      </c>
      <c r="K89" s="21" t="inlineStr">
        <is>
          <t>open</t>
        </is>
      </c>
      <c r="L89" s="22" t="inlineStr">
        <is>
          <t>1531ffdda372f33fb93ce225589dcadbc9ad261598e9f66d707f96e8801e0625</t>
        </is>
      </c>
    </row>
    <row r="90">
      <c r="A90" s="4" t="inlineStr">
        <is>
          <t>ETH → SOL</t>
        </is>
      </c>
      <c r="B90" s="4" t="n">
        <v>2</v>
      </c>
      <c r="C90" s="4" t="inlineStr">
        <is>
          <t>deBridge</t>
        </is>
      </c>
      <c r="D90" s="4" t="inlineStr">
        <is>
          <t>2026-09-23T09:42:50.109Z</t>
        </is>
      </c>
      <c r="E90" s="4" t="inlineStr">
        <is>
          <t>2026-09-23T09:42:52.228Z</t>
        </is>
      </c>
      <c r="F90" s="4" t="inlineStr">
        <is>
          <t>2026-09-23T09:42:54.435Z</t>
        </is>
      </c>
      <c r="G90" s="20" t="n">
        <v>0.994</v>
      </c>
      <c r="H90" s="18" t="n">
        <v>99.920018</v>
      </c>
      <c r="I90" s="21" t="inlineStr">
        <is>
          <t>open</t>
        </is>
      </c>
      <c r="J90" s="22" t="inlineStr">
        <is>
          <t>8b60a20a090099518d8a6b0d3b53230f0175bf98a807fe217320e3338c79b58c</t>
        </is>
      </c>
      <c r="K90" s="21" t="inlineStr">
        <is>
          <t>open</t>
        </is>
      </c>
      <c r="L90" s="22" t="inlineStr">
        <is>
          <t>b14c0c4a71101125e72b321d3be5675ee3ae5e604cc8e3a36a1df3e649037b12</t>
        </is>
      </c>
    </row>
    <row r="91">
      <c r="A91" s="4" t="inlineStr">
        <is>
          <t>ETH → SOL</t>
        </is>
      </c>
      <c r="B91" s="4" t="n">
        <v>2</v>
      </c>
      <c r="C91" s="4" t="inlineStr">
        <is>
          <t>LI.FI (Jumper)</t>
        </is>
      </c>
      <c r="D91" s="4" t="inlineStr">
        <is>
          <t>2026-09-23T08:52:55.333Z</t>
        </is>
      </c>
      <c r="E91" s="4" t="inlineStr">
        <is>
          <t>2026-09-23T08:52:57.988Z</t>
        </is>
      </c>
      <c r="F91" s="4" t="inlineStr">
        <is>
          <t>2026-09-23T08:53:00.240Z</t>
        </is>
      </c>
      <c r="G91" s="20" t="n">
        <v>1.73</v>
      </c>
      <c r="H91" s="18" t="n">
        <v>99.945582</v>
      </c>
      <c r="I91" s="21" t="inlineStr">
        <is>
          <t>open</t>
        </is>
      </c>
      <c r="J91" s="22" t="inlineStr">
        <is>
          <t>ebca18f4bdddb628a9a1447e70084a5cf8922078b879bbb8695bcdd3ebe8a48d</t>
        </is>
      </c>
      <c r="K91" s="21" t="inlineStr">
        <is>
          <t>open</t>
        </is>
      </c>
      <c r="L91" s="22" t="inlineStr">
        <is>
          <t>309a5caa090d36a4bf63e3af2529c9cf4a05b51489c77a973fb6d2b08863ef6e</t>
        </is>
      </c>
    </row>
    <row r="92">
      <c r="A92" s="4" t="inlineStr">
        <is>
          <t>ETH → SOL</t>
        </is>
      </c>
      <c r="B92" s="4" t="n">
        <v>2</v>
      </c>
      <c r="C92" s="4" t="inlineStr">
        <is>
          <t>LI.FI (Jumper)</t>
        </is>
      </c>
      <c r="D92" s="4" t="inlineStr">
        <is>
          <t>2026-09-23T09:42:50.110Z</t>
        </is>
      </c>
      <c r="E92" s="4" t="inlineStr">
        <is>
          <t>2026-09-23T09:42:52.248Z</t>
        </is>
      </c>
      <c r="F92" s="4" t="inlineStr">
        <is>
          <t>2026-09-23T09:42:54.416Z</t>
        </is>
      </c>
      <c r="G92" s="20" t="n">
        <v>1.014</v>
      </c>
      <c r="H92" s="18" t="n">
        <v>99.94557399999999</v>
      </c>
      <c r="I92" s="21" t="inlineStr">
        <is>
          <t>open</t>
        </is>
      </c>
      <c r="J92" s="22" t="inlineStr">
        <is>
          <t>800db935e587ebc475fd8474e64ed17d91baf216cb6115ede9c7f31516aa9271</t>
        </is>
      </c>
      <c r="K92" s="21" t="inlineStr">
        <is>
          <t>open</t>
        </is>
      </c>
      <c r="L92" s="22" t="inlineStr">
        <is>
          <t>fc889e3e42f5bbf71df4db6fc91f74dfb426c4b611ae13f7a3dfeab08959198d</t>
        </is>
      </c>
    </row>
    <row r="93">
      <c r="A93" s="4" t="inlineStr">
        <is>
          <t>ETH → SOL</t>
        </is>
      </c>
      <c r="B93" s="4" t="n">
        <v>2</v>
      </c>
      <c r="C93" s="4" t="inlineStr">
        <is>
          <t>Across</t>
        </is>
      </c>
      <c r="D93" s="4" t="inlineStr">
        <is>
          <t>2026-09-23T08:52:55.333Z</t>
        </is>
      </c>
      <c r="E93" s="4" t="inlineStr">
        <is>
          <t>2026-09-23T08:52:56.320Z</t>
        </is>
      </c>
      <c r="F93" s="4" t="inlineStr">
        <is>
          <t>2026-09-23T08:52:58.443Z</t>
        </is>
      </c>
      <c r="G93" s="20" t="n">
        <v>0.062</v>
      </c>
      <c r="H93" s="18" t="n">
        <v>99.98999999999999</v>
      </c>
      <c r="I93" s="21" t="inlineStr">
        <is>
          <t>open</t>
        </is>
      </c>
      <c r="J93" s="22" t="inlineStr">
        <is>
          <t>5c222636d245f05df7db78ce841b96079b9465c4ecd24e04168f55e76c12feb7</t>
        </is>
      </c>
      <c r="K93" s="21" t="inlineStr">
        <is>
          <t>open</t>
        </is>
      </c>
      <c r="L93" s="22" t="inlineStr">
        <is>
          <t>0e8171538d5d4521b722a02c7dfc189dc95328f9821e372d76797237bcad24c3</t>
        </is>
      </c>
    </row>
    <row r="94">
      <c r="A94" s="4" t="inlineStr">
        <is>
          <t>ETH → SOL</t>
        </is>
      </c>
      <c r="B94" s="4" t="n">
        <v>2</v>
      </c>
      <c r="C94" s="4" t="inlineStr">
        <is>
          <t>Across</t>
        </is>
      </c>
      <c r="D94" s="4" t="inlineStr">
        <is>
          <t>2026-09-23T09:42:50.110Z</t>
        </is>
      </c>
      <c r="E94" s="4" t="inlineStr">
        <is>
          <t>2026-09-23T09:42:51.268Z</t>
        </is>
      </c>
      <c r="F94" s="4" t="inlineStr">
        <is>
          <t>2026-09-23T09:42:53.402Z</t>
        </is>
      </c>
      <c r="G94" s="20" t="n">
        <v>0.034</v>
      </c>
      <c r="H94" s="18" t="n">
        <v>99.98999999999999</v>
      </c>
      <c r="I94" s="21" t="inlineStr">
        <is>
          <t>open</t>
        </is>
      </c>
      <c r="J94" s="22" t="inlineStr">
        <is>
          <t>c765b4de243ed04b4908840ea61c2f2d7725964e0a0bdbb6823646989ed1d21c</t>
        </is>
      </c>
      <c r="K94" s="21" t="inlineStr">
        <is>
          <t>open</t>
        </is>
      </c>
      <c r="L94" s="22" t="inlineStr">
        <is>
          <t>8a196fa1d5f1f954084160159ad80cee57ab9877fe7cd4d94f4b1a81a887ab33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Mayan</t>
        </is>
      </c>
      <c r="D95" s="4" t="inlineStr">
        <is>
          <t>2026-09-23T08:52:55.332Z</t>
        </is>
      </c>
      <c r="E95" s="4" t="inlineStr">
        <is>
          <t>2026-09-23T08:52:56.509Z</t>
        </is>
      </c>
      <c r="F95" s="4" t="inlineStr">
        <is>
          <t>2026-09-23T08:52:58.631Z</t>
        </is>
      </c>
      <c r="G95" s="20" t="n">
        <v>0.251</v>
      </c>
      <c r="H95" s="18" t="n">
        <v>99.47880000000001</v>
      </c>
      <c r="I95" s="21" t="inlineStr">
        <is>
          <t>open</t>
        </is>
      </c>
      <c r="J95" s="22" t="inlineStr">
        <is>
          <t>135bbd2054befd8ca90a4ca78856d9d8f4bed80eab1a639ba2d97f22b3d2c359</t>
        </is>
      </c>
      <c r="K95" s="21" t="inlineStr">
        <is>
          <t>open</t>
        </is>
      </c>
      <c r="L95" s="22" t="inlineStr">
        <is>
          <t>fa2436893ea2dd91c0a898c047fd0f16cbb91ff9f50859376b61e036a0ec008e</t>
        </is>
      </c>
    </row>
    <row r="96">
      <c r="A96" s="4" t="inlineStr">
        <is>
          <t>ETH → SOL</t>
        </is>
      </c>
      <c r="B96" s="4" t="n">
        <v>2</v>
      </c>
      <c r="C96" s="4" t="inlineStr">
        <is>
          <t>Mayan</t>
        </is>
      </c>
      <c r="D96" s="4" t="inlineStr">
        <is>
          <t>2026-09-23T09:42:50.106Z</t>
        </is>
      </c>
      <c r="E96" s="4" t="inlineStr">
        <is>
          <t>2026-09-23T09:42:51.412Z</t>
        </is>
      </c>
      <c r="F96" s="4" t="inlineStr">
        <is>
          <t>2026-09-23T09:42:53.529Z</t>
        </is>
      </c>
      <c r="G96" s="20" t="n">
        <v>0.178</v>
      </c>
      <c r="H96" s="18" t="n">
        <v>99.54600000000001</v>
      </c>
      <c r="I96" s="21" t="inlineStr">
        <is>
          <t>open</t>
        </is>
      </c>
      <c r="J96" s="22" t="inlineStr">
        <is>
          <t>5662e29aceb39eae3555b81c2de2c598179608b12873ea3f2893cbbe866128a1</t>
        </is>
      </c>
      <c r="K96" s="21" t="inlineStr">
        <is>
          <t>open</t>
        </is>
      </c>
      <c r="L96" s="22" t="inlineStr">
        <is>
          <t>bd7948c355d6a67b15bfe660c9d268dd86a3c8be5551f484d4c6513f0ebab238</t>
        </is>
      </c>
    </row>
    <row r="97">
      <c r="A97" s="4" t="inlineStr">
        <is>
          <t>ETH → SOL</t>
        </is>
      </c>
      <c r="B97" s="4" t="n">
        <v>2</v>
      </c>
      <c r="C97" s="4" t="inlineStr">
        <is>
          <t>Allbridge Core</t>
        </is>
      </c>
      <c r="D97" s="4" t="inlineStr">
        <is>
          <t>2026-09-23T09:42:50.110Z</t>
        </is>
      </c>
      <c r="E97" s="4" t="inlineStr">
        <is>
          <t>2026-09-23T09:42:51.302Z</t>
        </is>
      </c>
      <c r="F97" s="4" t="inlineStr">
        <is>
          <t>2026-09-23T09:42:53.503Z</t>
        </is>
      </c>
      <c r="G97" s="20" t="n">
        <v>0.068</v>
      </c>
      <c r="H97" s="18" t="n">
        <v>99.90000000000001</v>
      </c>
      <c r="I97" s="21" t="inlineStr">
        <is>
          <t>open</t>
        </is>
      </c>
      <c r="J97" s="22" t="inlineStr">
        <is>
          <t>21f21c658940e07fd6220ca80e7cee2092dbf3ae4085682804c28ba18ee2b57e</t>
        </is>
      </c>
      <c r="K97" s="21" t="inlineStr">
        <is>
          <t>open</t>
        </is>
      </c>
      <c r="L97" s="22" t="inlineStr">
        <is>
          <t>e9d3ab834593004e4a5c72bec3b3bc94d5361df1609501efad82191363fedcc8</t>
        </is>
      </c>
    </row>
    <row r="98">
      <c r="A98" s="4" t="inlineStr">
        <is>
          <t>ETH → SOL</t>
        </is>
      </c>
      <c r="B98" s="4" t="n">
        <v>2</v>
      </c>
      <c r="C98" s="4" t="inlineStr">
        <is>
          <t>CCTP (via Portal)</t>
        </is>
      </c>
      <c r="D98" s="4" t="inlineStr">
        <is>
          <t>2026-09-23T09:42:50.111Z</t>
        </is>
      </c>
      <c r="E98" s="4" t="inlineStr">
        <is>
          <t>2026-09-23T09:42:54.652Z</t>
        </is>
      </c>
      <c r="F98" s="4" t="inlineStr">
        <is>
          <t>2026-09-23T09:42:56.799Z</t>
        </is>
      </c>
      <c r="G98" s="20" t="n">
        <v>3.418</v>
      </c>
      <c r="H98" s="18" t="n">
        <v>99.980001</v>
      </c>
      <c r="I98" s="21" t="inlineStr">
        <is>
          <t>open</t>
        </is>
      </c>
      <c r="J98" s="22" t="inlineStr">
        <is>
          <t>962db000d2f512bfada3e26b1305ca22101492cf5970591eb8c9c3c52801587d</t>
        </is>
      </c>
      <c r="K98" s="21" t="inlineStr">
        <is>
          <t>open</t>
        </is>
      </c>
      <c r="L98" s="22" t="inlineStr">
        <is>
          <t>9bee47b4886fe8d55fd24d6dd87c528e6768a1047b8d91da938ce3fd9d37df8f</t>
        </is>
      </c>
    </row>
    <row r="99">
      <c r="A99" s="4" t="inlineStr">
        <is>
          <t>ETH → SOL</t>
        </is>
      </c>
      <c r="B99" s="4" t="n">
        <v>2</v>
      </c>
      <c r="C99" s="4" t="inlineStr">
        <is>
          <t>Husher</t>
        </is>
      </c>
      <c r="D99" s="4" t="inlineStr">
        <is>
          <t>2026-09-23T09:42:50.111Z</t>
        </is>
      </c>
      <c r="E99" s="4" t="inlineStr">
        <is>
          <t>2026-09-23T09:42:51.436Z</t>
        </is>
      </c>
      <c r="F99" s="4" t="inlineStr">
        <is>
          <t>2026-09-23T09:42:53.569Z</t>
        </is>
      </c>
      <c r="G99" s="20" t="n">
        <v>0.202</v>
      </c>
      <c r="H99" s="18" t="n">
        <v>99.34999999999999</v>
      </c>
      <c r="I99" s="21" t="inlineStr">
        <is>
          <t>open</t>
        </is>
      </c>
      <c r="J99" s="22" t="inlineStr">
        <is>
          <t>95726fb3f119049ee8f98ee96d4da148c81283859a251c1b5719f784e9de4f93</t>
        </is>
      </c>
      <c r="K99" s="21" t="inlineStr">
        <is>
          <t>open</t>
        </is>
      </c>
      <c r="L99" s="22" t="inlineStr">
        <is>
          <t>9f5ef0178b20232c1c65f6edffd9a7cb56bdbb786345d9a0d931fef675cb38e0</t>
        </is>
      </c>
    </row>
    <row r="100">
      <c r="A100" s="4" t="inlineStr">
        <is>
          <t>ETH → SOL</t>
        </is>
      </c>
      <c r="B100" s="4" t="n">
        <v>2</v>
      </c>
      <c r="C100" s="4" t="inlineStr">
        <is>
          <t>Layerswap</t>
        </is>
      </c>
      <c r="D100" s="4" t="inlineStr">
        <is>
          <t>2026-09-23T09:42:50.107Z</t>
        </is>
      </c>
      <c r="E100" s="4" t="inlineStr">
        <is>
          <t>2026-09-23T09:42:52.419Z</t>
        </is>
      </c>
      <c r="F100" s="4" t="inlineStr">
        <is>
          <t>2026-09-23T09:42:54.438Z</t>
        </is>
      </c>
      <c r="G100" s="20" t="n">
        <v>1.185</v>
      </c>
      <c r="H100" s="18" t="n">
        <v>99.67358299999999</v>
      </c>
      <c r="I100" s="21" t="inlineStr">
        <is>
          <t>open</t>
        </is>
      </c>
      <c r="J100" s="22" t="inlineStr">
        <is>
          <t>57601a735ef0685894895fec6034367b5470e2fa3e96bbe7a90a8de19a8fd00f</t>
        </is>
      </c>
      <c r="K100" s="21" t="inlineStr">
        <is>
          <t>open</t>
        </is>
      </c>
      <c r="L100" s="22" t="inlineStr">
        <is>
          <t>24ec7b2adf649268b6e45c6bbe2fd84d4a9e119b4858b08f4bf1e791c02d93d7</t>
        </is>
      </c>
    </row>
    <row r="101">
      <c r="A101" s="4" t="inlineStr">
        <is>
          <t>ETH → SOL</t>
        </is>
      </c>
      <c r="B101" s="4" t="n">
        <v>2</v>
      </c>
      <c r="C101" s="4" t="inlineStr">
        <is>
          <t>Meson</t>
        </is>
      </c>
      <c r="D101" s="4" t="inlineStr">
        <is>
          <t>2026-09-23T09:42:50.111Z</t>
        </is>
      </c>
      <c r="E101" s="4" t="inlineStr">
        <is>
          <t>2026-09-23T09:42:50.487Z</t>
        </is>
      </c>
      <c r="F101" s="4" t="inlineStr">
        <is>
          <t>2026-09-23T09:42:52.620Z</t>
        </is>
      </c>
      <c r="G101" s="20" t="n">
        <v>0.747</v>
      </c>
      <c r="H101" s="18" t="n">
        <v>99.09999999999999</v>
      </c>
      <c r="I101" s="21" t="inlineStr">
        <is>
          <t>open</t>
        </is>
      </c>
      <c r="J101" s="22" t="inlineStr">
        <is>
          <t>a8a32326d59c3d46f7fed55a3b4f39afd50c8a5e4c223a57b96e865e4185afcd</t>
        </is>
      </c>
      <c r="K101" s="21" t="inlineStr">
        <is>
          <t>open</t>
        </is>
      </c>
      <c r="L101" s="22" t="inlineStr">
        <is>
          <t>0f4bda4bd204378733727bcc9813bd8ede85a09bc93dc4af0295a24d03e71a69</t>
        </is>
      </c>
    </row>
    <row r="102">
      <c r="A102" s="4" t="inlineStr">
        <is>
          <t>ETH → SOL</t>
        </is>
      </c>
      <c r="B102" s="4" t="n">
        <v>2</v>
      </c>
      <c r="C102" s="4" t="inlineStr">
        <is>
          <t>SimpleSwap</t>
        </is>
      </c>
      <c r="D102" s="4" t="inlineStr">
        <is>
          <t>2026-09-23T09:42:50.111Z</t>
        </is>
      </c>
      <c r="E102" s="4" t="inlineStr">
        <is>
          <t>2026-09-23T09:42:53.059Z</t>
        </is>
      </c>
      <c r="F102" s="4" t="inlineStr">
        <is>
          <t>2026-09-23T09:42:55.098Z</t>
        </is>
      </c>
      <c r="G102" s="20" t="n">
        <v>1.825</v>
      </c>
      <c r="H102" s="18" t="n">
        <v>98.485659</v>
      </c>
      <c r="I102" s="21" t="inlineStr">
        <is>
          <t>open</t>
        </is>
      </c>
      <c r="J102" s="22" t="inlineStr">
        <is>
          <t>3fdfc7af27102d62ba3f4b8a42a1e567c59c72df40d9ac004f82982eca51c70a</t>
        </is>
      </c>
      <c r="K102" s="21" t="inlineStr">
        <is>
          <t>open</t>
        </is>
      </c>
      <c r="L102" s="22" t="inlineStr">
        <is>
          <t>30f91aafe5849a424ff350ecd322e8df75f97fd0444d962f05d9adffc0f09c3b</t>
        </is>
      </c>
    </row>
    <row r="103">
      <c r="A103" s="4" t="inlineStr">
        <is>
          <t>ETH → SOL</t>
        </is>
      </c>
      <c r="B103" s="4" t="n">
        <v>2</v>
      </c>
      <c r="C103" s="4" t="inlineStr">
        <is>
          <t>Skip Go</t>
        </is>
      </c>
      <c r="D103" s="4" t="inlineStr">
        <is>
          <t>2026-09-23T09:42:50.110Z</t>
        </is>
      </c>
      <c r="E103" s="4" t="inlineStr">
        <is>
          <t>2026-09-23T09:42:52.510Z</t>
        </is>
      </c>
      <c r="F103" s="4" t="inlineStr">
        <is>
          <t>2026-09-23T09:42:54.750Z</t>
        </is>
      </c>
      <c r="G103" s="20" t="n">
        <v>1.276</v>
      </c>
      <c r="H103" s="18" t="n">
        <v>99.71930999999999</v>
      </c>
      <c r="I103" s="21" t="inlineStr">
        <is>
          <t>open</t>
        </is>
      </c>
      <c r="J103" s="22" t="inlineStr">
        <is>
          <t>d15095b5a4bd7c6a17b9036fc1b080fc2d9971b77b53bf63e87cc889c30346c7</t>
        </is>
      </c>
      <c r="K103" s="21" t="inlineStr">
        <is>
          <t>open</t>
        </is>
      </c>
      <c r="L103" s="22" t="inlineStr">
        <is>
          <t>6b2829d890835a68b1eaa3d2aed929f7128a7a5c03aff300df5d764b3ae51773</t>
        </is>
      </c>
    </row>
    <row r="104">
      <c r="A104" s="4" t="inlineStr">
        <is>
          <t>ETH → SOL</t>
        </is>
      </c>
      <c r="B104" s="4" t="n">
        <v>2</v>
      </c>
      <c r="C104" s="4" t="inlineStr">
        <is>
          <t>Symbiosis</t>
        </is>
      </c>
      <c r="D104" s="4" t="inlineStr">
        <is>
          <t>2026-09-23T09:42:50.109Z</t>
        </is>
      </c>
      <c r="E104" s="4" t="inlineStr">
        <is>
          <t>2026-09-23T09:42:52.608Z</t>
        </is>
      </c>
      <c r="F104" s="4" t="inlineStr">
        <is>
          <t>2026-09-23T09:42:54.750Z</t>
        </is>
      </c>
      <c r="G104" s="20" t="n">
        <v>1.374</v>
      </c>
      <c r="H104" s="18" t="n">
        <v>98.960719</v>
      </c>
      <c r="I104" s="21" t="inlineStr">
        <is>
          <t>open</t>
        </is>
      </c>
      <c r="J104" s="22" t="inlineStr">
        <is>
          <t>3aa1b7a389acb9136d9310ff014dbf6643567652c1c559c40b61efc09de25c42</t>
        </is>
      </c>
      <c r="K104" s="21" t="inlineStr">
        <is>
          <t>open</t>
        </is>
      </c>
      <c r="L104" s="22" t="inlineStr">
        <is>
          <t>61da356e7f9f7c90f6afc97aaf70c2735632c68f35e4e74ba3b8c8ddfd402e15</t>
        </is>
      </c>
    </row>
    <row r="105">
      <c r="A105" s="4" t="inlineStr">
        <is>
          <t>ETH → SOL</t>
        </is>
      </c>
      <c r="B105" s="4" t="n">
        <v>3</v>
      </c>
      <c r="C105" s="4" t="inlineStr">
        <is>
          <t>Bridg</t>
        </is>
      </c>
      <c r="D105" s="4" t="inlineStr">
        <is>
          <t>2026-09-23T08:55:50.442Z</t>
        </is>
      </c>
      <c r="E105" s="4" t="inlineStr">
        <is>
          <t>2026-09-23T08:55:51.334Z</t>
        </is>
      </c>
      <c r="F105" s="4" t="inlineStr">
        <is>
          <t>2026-09-23T08:55:53.470Z</t>
        </is>
      </c>
      <c r="G105" s="20" t="n"/>
      <c r="H105" s="18" t="n">
        <v>99.85005</v>
      </c>
      <c r="I105" s="21" t="inlineStr">
        <is>
          <t>open</t>
        </is>
      </c>
      <c r="J105" s="22" t="inlineStr">
        <is>
          <t>24b597855a726d7cf841ddfeffb7b27e3734444317ad394e48b262f0f21372ca</t>
        </is>
      </c>
      <c r="K105" s="21" t="inlineStr">
        <is>
          <t>open</t>
        </is>
      </c>
      <c r="L105" s="22" t="inlineStr">
        <is>
          <t>489bf055cbee6fd8afee99262fd6660d1a7637474095f6629fb372a4629261dc</t>
        </is>
      </c>
    </row>
    <row r="106">
      <c r="A106" s="4" t="inlineStr">
        <is>
          <t>ETH → SOL</t>
        </is>
      </c>
      <c r="B106" s="4" t="n">
        <v>3</v>
      </c>
      <c r="C106" s="4" t="inlineStr">
        <is>
          <t>Bridg</t>
        </is>
      </c>
      <c r="D106" s="4" t="inlineStr">
        <is>
          <t>2026-09-23T09:47:06.230Z</t>
        </is>
      </c>
      <c r="E106" s="4" t="inlineStr">
        <is>
          <t>2026-09-23T09:47:07.259Z</t>
        </is>
      </c>
      <c r="F106" s="4" t="inlineStr">
        <is>
          <t>2026-09-23T09:47:10.529Z</t>
        </is>
      </c>
      <c r="G106" s="20" t="n"/>
      <c r="H106" s="18" t="n">
        <v>99.85005</v>
      </c>
      <c r="I106" s="21" t="inlineStr">
        <is>
          <t>open</t>
        </is>
      </c>
      <c r="J106" s="22" t="inlineStr">
        <is>
          <t>27daddb2a2d38f5aecfd5e32b394c74576d8a2258ad8b8869c78d8f5c3f7bf9e</t>
        </is>
      </c>
      <c r="K106" s="21" t="inlineStr">
        <is>
          <t>open</t>
        </is>
      </c>
      <c r="L106" s="22" t="inlineStr">
        <is>
          <t>ce7ce4b46512d957c6c0a40d202fe6c7d31fe59bd835f40643fa6e1cb209617b</t>
        </is>
      </c>
    </row>
    <row r="107">
      <c r="A107" s="4" t="inlineStr">
        <is>
          <t>ETH → SOL</t>
        </is>
      </c>
      <c r="B107" s="4" t="n">
        <v>3</v>
      </c>
      <c r="C107" s="4" t="inlineStr">
        <is>
          <t>Relay</t>
        </is>
      </c>
      <c r="D107" s="4" t="inlineStr">
        <is>
          <t>2026-09-23T08:55:50.442Z</t>
        </is>
      </c>
      <c r="E107" s="4" t="inlineStr">
        <is>
          <t>2026-09-23T08:55:51.859Z</t>
        </is>
      </c>
      <c r="F107" s="4" t="inlineStr">
        <is>
          <t>2026-09-23T08:55:54.005Z</t>
        </is>
      </c>
      <c r="G107" s="20" t="n">
        <v>0.525</v>
      </c>
      <c r="H107" s="18" t="n">
        <v>99.94557500000001</v>
      </c>
      <c r="I107" s="21" t="inlineStr">
        <is>
          <t>open</t>
        </is>
      </c>
      <c r="J107" s="22" t="inlineStr">
        <is>
          <t>c2b95499d799d6c43eb42e283b367cb61314e1b7e077c3c96047582b17ec41b0</t>
        </is>
      </c>
      <c r="K107" s="21" t="inlineStr">
        <is>
          <t>open</t>
        </is>
      </c>
      <c r="L107" s="22" t="inlineStr">
        <is>
          <t>2a1be593dba299a57fa47a36db115dc84e2ca71979f6c06e8439e12f1a462f42</t>
        </is>
      </c>
    </row>
    <row r="108">
      <c r="A108" s="4" t="inlineStr">
        <is>
          <t>ETH → SOL</t>
        </is>
      </c>
      <c r="B108" s="4" t="n">
        <v>3</v>
      </c>
      <c r="C108" s="4" t="inlineStr">
        <is>
          <t>Relay</t>
        </is>
      </c>
      <c r="D108" s="4" t="inlineStr">
        <is>
          <t>2026-09-23T09:47:06.230Z</t>
        </is>
      </c>
      <c r="E108" s="4" t="inlineStr">
        <is>
          <t>2026-09-23T09:47:08.362Z</t>
        </is>
      </c>
      <c r="F108" s="4" t="inlineStr">
        <is>
          <t>2026-09-23T09:47:10.528Z</t>
        </is>
      </c>
      <c r="G108" s="20" t="n">
        <v>1.103</v>
      </c>
      <c r="H108" s="18" t="n">
        <v>99.945573</v>
      </c>
      <c r="I108" s="21" t="inlineStr">
        <is>
          <t>open</t>
        </is>
      </c>
      <c r="J108" s="22" t="inlineStr">
        <is>
          <t>311e2e3974adf61bd888699dbfd9f8d05f435adf0f4b2ae0e7961936b0c4c014</t>
        </is>
      </c>
      <c r="K108" s="21" t="inlineStr">
        <is>
          <t>open</t>
        </is>
      </c>
      <c r="L108" s="22" t="inlineStr">
        <is>
          <t>be54a4d9ed2c380130ca07acbebe73a8a787f580cfe89659d5f0acba51083fa6</t>
        </is>
      </c>
    </row>
    <row r="109">
      <c r="A109" s="4" t="inlineStr">
        <is>
          <t>ETH → SOL</t>
        </is>
      </c>
      <c r="B109" s="4" t="n">
        <v>3</v>
      </c>
      <c r="C109" s="4" t="inlineStr">
        <is>
          <t>deBridge</t>
        </is>
      </c>
      <c r="D109" s="4" t="inlineStr">
        <is>
          <t>2026-09-23T08:55:50.442Z</t>
        </is>
      </c>
      <c r="E109" s="4" t="inlineStr">
        <is>
          <t>2026-09-23T08:55:51.904Z</t>
        </is>
      </c>
      <c r="F109" s="4" t="inlineStr">
        <is>
          <t>2026-09-23T08:55:54.326Z</t>
        </is>
      </c>
      <c r="G109" s="20" t="n">
        <v>0.57</v>
      </c>
      <c r="H109" s="18" t="n">
        <v>99.920018</v>
      </c>
      <c r="I109" s="21" t="inlineStr">
        <is>
          <t>open</t>
        </is>
      </c>
      <c r="J109" s="22" t="inlineStr">
        <is>
          <t>a76f90c5749473611835240dbfac47c808f6aea937dce81c55739a251fc183b4</t>
        </is>
      </c>
      <c r="K109" s="21" t="inlineStr">
        <is>
          <t>open</t>
        </is>
      </c>
      <c r="L109" s="22" t="inlineStr">
        <is>
          <t>94fa6062a2b0e99ee621f88b510aa5cde07394f9fafaa48eb88f0dcf706c99f9</t>
        </is>
      </c>
    </row>
    <row r="110">
      <c r="A110" s="4" t="inlineStr">
        <is>
          <t>ETH → SOL</t>
        </is>
      </c>
      <c r="B110" s="4" t="n">
        <v>3</v>
      </c>
      <c r="C110" s="4" t="inlineStr">
        <is>
          <t>deBridge</t>
        </is>
      </c>
      <c r="D110" s="4" t="inlineStr">
        <is>
          <t>2026-09-23T09:47:06.230Z</t>
        </is>
      </c>
      <c r="E110" s="4" t="inlineStr">
        <is>
          <t>2026-09-23T09:47:07.549Z</t>
        </is>
      </c>
      <c r="F110" s="4" t="inlineStr">
        <is>
          <t>2026-09-23T09:47:09.701Z</t>
        </is>
      </c>
      <c r="G110" s="20" t="n">
        <v>0.29</v>
      </c>
      <c r="H110" s="18" t="n">
        <v>99.920018</v>
      </c>
      <c r="I110" s="21" t="inlineStr">
        <is>
          <t>open</t>
        </is>
      </c>
      <c r="J110" s="22" t="inlineStr">
        <is>
          <t>2886039368f546cf2ef18b15d121677e4cffe28ebd52beeef3324b64cdc6e18e</t>
        </is>
      </c>
      <c r="K110" s="21" t="inlineStr">
        <is>
          <t>open</t>
        </is>
      </c>
      <c r="L110" s="22" t="inlineStr">
        <is>
          <t>84a576fd63b1ce799ff40ea0168ca3992c2581a677f238c94d16e8d088fa37d3</t>
        </is>
      </c>
    </row>
    <row r="111">
      <c r="A111" s="4" t="inlineStr">
        <is>
          <t>ETH → SOL</t>
        </is>
      </c>
      <c r="B111" s="4" t="n">
        <v>3</v>
      </c>
      <c r="C111" s="4" t="inlineStr">
        <is>
          <t>LI.FI (Jumper)</t>
        </is>
      </c>
      <c r="D111" s="4" t="inlineStr">
        <is>
          <t>2026-09-23T08:55:50.443Z</t>
        </is>
      </c>
      <c r="E111" s="4" t="inlineStr">
        <is>
          <t>2026-09-23T08:55:52.635Z</t>
        </is>
      </c>
      <c r="F111" s="4" t="inlineStr">
        <is>
          <t>2026-09-23T08:55:54.913Z</t>
        </is>
      </c>
      <c r="G111" s="20" t="n">
        <v>1.301</v>
      </c>
      <c r="H111" s="18" t="n">
        <v>99.94557500000001</v>
      </c>
      <c r="I111" s="21" t="inlineStr">
        <is>
          <t>open</t>
        </is>
      </c>
      <c r="J111" s="22" t="inlineStr">
        <is>
          <t>36330344cf108cf8f1e4a66e91fb70b32ed7e47da01997d65ddf22aae4aa1b09</t>
        </is>
      </c>
      <c r="K111" s="21" t="inlineStr">
        <is>
          <t>open</t>
        </is>
      </c>
      <c r="L111" s="22" t="inlineStr">
        <is>
          <t>b209430e87bf3b06cc712939f1031eb7f470c2e56b129d960bea4b5d95ae9aca</t>
        </is>
      </c>
    </row>
    <row r="112">
      <c r="A112" s="4" t="inlineStr">
        <is>
          <t>ETH → SOL</t>
        </is>
      </c>
      <c r="B112" s="4" t="n">
        <v>3</v>
      </c>
      <c r="C112" s="4" t="inlineStr">
        <is>
          <t>LI.FI (Jumper)</t>
        </is>
      </c>
      <c r="D112" s="4" t="inlineStr">
        <is>
          <t>2026-09-23T09:47:06.232Z</t>
        </is>
      </c>
      <c r="E112" s="4" t="inlineStr">
        <is>
          <t>2026-09-23T09:47:08.572Z</t>
        </is>
      </c>
      <c r="F112" s="4" t="inlineStr">
        <is>
          <t>2026-09-23T09:47:10.820Z</t>
        </is>
      </c>
      <c r="G112" s="20" t="n">
        <v>1.313</v>
      </c>
      <c r="H112" s="18" t="n">
        <v>99.945573</v>
      </c>
      <c r="I112" s="21" t="inlineStr">
        <is>
          <t>open</t>
        </is>
      </c>
      <c r="J112" s="22" t="inlineStr">
        <is>
          <t>dc301fdbb741edfeda9d00a249d42a1aa437d3a75611154e71669a108575edf9</t>
        </is>
      </c>
      <c r="K112" s="21" t="inlineStr">
        <is>
          <t>open</t>
        </is>
      </c>
      <c r="L112" s="22" t="inlineStr">
        <is>
          <t>6d50f194c59ffccd3dfe93d7625bc9804fce9135c4a597669c9e80b9f722be72</t>
        </is>
      </c>
    </row>
    <row r="113">
      <c r="A113" s="4" t="inlineStr">
        <is>
          <t>ETH → SOL</t>
        </is>
      </c>
      <c r="B113" s="4" t="n">
        <v>3</v>
      </c>
      <c r="C113" s="4" t="inlineStr">
        <is>
          <t>Across</t>
        </is>
      </c>
      <c r="D113" s="4" t="inlineStr">
        <is>
          <t>2026-09-23T08:55:50.442Z</t>
        </is>
      </c>
      <c r="E113" s="4" t="inlineStr">
        <is>
          <t>2026-09-23T08:55:51.647Z</t>
        </is>
      </c>
      <c r="F113" s="4" t="inlineStr">
        <is>
          <t>2026-09-23T08:55:53.769Z</t>
        </is>
      </c>
      <c r="G113" s="20" t="n">
        <v>0.313</v>
      </c>
      <c r="H113" s="18" t="n">
        <v>99.98999999999999</v>
      </c>
      <c r="I113" s="21" t="inlineStr">
        <is>
          <t>open</t>
        </is>
      </c>
      <c r="J113" s="22" t="inlineStr">
        <is>
          <t>5c222636d245f05df7db78ce841b96079b9465c4ecd24e04168f55e76c12feb7</t>
        </is>
      </c>
      <c r="K113" s="21" t="inlineStr">
        <is>
          <t>open</t>
        </is>
      </c>
      <c r="L113" s="22" t="inlineStr">
        <is>
          <t>e66eef6bc6bbf464b7d77c83e142e5b7c55accd56c08b22c265422c2182df2b0</t>
        </is>
      </c>
    </row>
    <row r="114">
      <c r="A114" s="4" t="inlineStr">
        <is>
          <t>ETH → SOL</t>
        </is>
      </c>
      <c r="B114" s="4" t="n">
        <v>3</v>
      </c>
      <c r="C114" s="4" t="inlineStr">
        <is>
          <t>Across</t>
        </is>
      </c>
      <c r="D114" s="4" t="inlineStr">
        <is>
          <t>2026-09-23T09:47:06.230Z</t>
        </is>
      </c>
      <c r="E114" s="4" t="inlineStr">
        <is>
          <t>2026-09-23T09:47:07.365Z</t>
        </is>
      </c>
      <c r="F114" s="4" t="inlineStr">
        <is>
          <t>2026-09-23T09:47:09.529Z</t>
        </is>
      </c>
      <c r="G114" s="20" t="n">
        <v>0.106</v>
      </c>
      <c r="H114" s="18" t="n">
        <v>99.98999999999999</v>
      </c>
      <c r="I114" s="21" t="inlineStr">
        <is>
          <t>open</t>
        </is>
      </c>
      <c r="J114" s="22" t="inlineStr">
        <is>
          <t>5c222636d245f05df7db78ce841b96079b9465c4ecd24e04168f55e76c12feb7</t>
        </is>
      </c>
      <c r="K114" s="21" t="inlineStr">
        <is>
          <t>open</t>
        </is>
      </c>
      <c r="L114" s="22" t="inlineStr">
        <is>
          <t>515e0719265abfc3c866f6c81fb46bb681d4682f133eed30a4c3ca9cd309d3b1</t>
        </is>
      </c>
    </row>
    <row r="115">
      <c r="A115" s="4" t="inlineStr">
        <is>
          <t>ETH → SOL</t>
        </is>
      </c>
      <c r="B115" s="4" t="n">
        <v>3</v>
      </c>
      <c r="C115" s="4" t="inlineStr">
        <is>
          <t>Mayan</t>
        </is>
      </c>
      <c r="D115" s="4" t="inlineStr">
        <is>
          <t>2026-09-23T08:55:50.441Z</t>
        </is>
      </c>
      <c r="E115" s="4" t="inlineStr">
        <is>
          <t>2026-09-23T08:55:51.583Z</t>
        </is>
      </c>
      <c r="F115" s="4" t="inlineStr">
        <is>
          <t>2026-09-23T08:55:53.701Z</t>
        </is>
      </c>
      <c r="G115" s="20" t="n">
        <v>0.249</v>
      </c>
      <c r="H115" s="18" t="n">
        <v>99.4311</v>
      </c>
      <c r="I115" s="21" t="inlineStr">
        <is>
          <t>open</t>
        </is>
      </c>
      <c r="J115" s="22" t="inlineStr">
        <is>
          <t>a8dabf8b046b0d52f8831aa6ba8aad3f99dfc7b6f4c4c6ffac691adbbbf698b4</t>
        </is>
      </c>
      <c r="K115" s="21" t="inlineStr">
        <is>
          <t>open</t>
        </is>
      </c>
      <c r="L115" s="22" t="inlineStr">
        <is>
          <t>246012392785977411dad3e5b8bba06a13a3bb1b356b45ecdb686803ef5b2c0d</t>
        </is>
      </c>
    </row>
    <row r="116">
      <c r="A116" s="4" t="inlineStr">
        <is>
          <t>ETH → SOL</t>
        </is>
      </c>
      <c r="B116" s="4" t="n">
        <v>3</v>
      </c>
      <c r="C116" s="4" t="inlineStr">
        <is>
          <t>Mayan</t>
        </is>
      </c>
      <c r="D116" s="4" t="inlineStr">
        <is>
          <t>2026-09-23T09:47:06.229Z</t>
        </is>
      </c>
      <c r="E116" s="4" t="inlineStr">
        <is>
          <t>2026-09-23T09:47:07.468Z</t>
        </is>
      </c>
      <c r="F116" s="4" t="inlineStr">
        <is>
          <t>2026-09-23T09:47:09.591Z</t>
        </is>
      </c>
      <c r="G116" s="20" t="n">
        <v>0.209</v>
      </c>
      <c r="H116" s="18" t="n">
        <v>99.4999</v>
      </c>
      <c r="I116" s="21" t="inlineStr">
        <is>
          <t>open</t>
        </is>
      </c>
      <c r="J116" s="22" t="inlineStr">
        <is>
          <t>34d7125bfb7678888172ff0360def3ff00fdeaeabb77c0da062d75f9dbe1469b</t>
        </is>
      </c>
      <c r="K116" s="21" t="inlineStr">
        <is>
          <t>open</t>
        </is>
      </c>
      <c r="L116" s="22" t="inlineStr">
        <is>
          <t>fd9306cf5d5d144cf958ea6fcec11984b32345be71c55d280ea72823dba99893</t>
        </is>
      </c>
    </row>
    <row r="117">
      <c r="A117" s="4" t="inlineStr">
        <is>
          <t>ETH → SOL</t>
        </is>
      </c>
      <c r="B117" s="4" t="n">
        <v>3</v>
      </c>
      <c r="C117" s="4" t="inlineStr">
        <is>
          <t>Allbridge Core</t>
        </is>
      </c>
      <c r="D117" s="4" t="inlineStr">
        <is>
          <t>2026-09-23T09:47:06.232Z</t>
        </is>
      </c>
      <c r="E117" s="4" t="inlineStr">
        <is>
          <t>2026-09-23T09:47:07.418Z</t>
        </is>
      </c>
      <c r="F117" s="4" t="inlineStr">
        <is>
          <t>2026-09-23T09:47:09.633Z</t>
        </is>
      </c>
      <c r="G117" s="20" t="n">
        <v>0.159</v>
      </c>
      <c r="H117" s="18" t="n">
        <v>99.90000000000001</v>
      </c>
      <c r="I117" s="21" t="inlineStr">
        <is>
          <t>open</t>
        </is>
      </c>
      <c r="J117" s="22" t="inlineStr">
        <is>
          <t>21f21c658940e07fd6220ca80e7cee2092dbf3ae4085682804c28ba18ee2b57e</t>
        </is>
      </c>
      <c r="K117" s="21" t="inlineStr">
        <is>
          <t>open</t>
        </is>
      </c>
      <c r="L117" s="22" t="inlineStr">
        <is>
          <t>e9d3ab834593004e4a5c72bec3b3bc94d5361df1609501efad82191363fedcc8</t>
        </is>
      </c>
    </row>
    <row r="118">
      <c r="A118" s="4" t="inlineStr">
        <is>
          <t>ETH → SOL</t>
        </is>
      </c>
      <c r="B118" s="4" t="n">
        <v>3</v>
      </c>
      <c r="C118" s="4" t="inlineStr">
        <is>
          <t>CCTP (via Portal)</t>
        </is>
      </c>
      <c r="D118" s="4" t="inlineStr">
        <is>
          <t>2026-09-23T09:47:06.232Z</t>
        </is>
      </c>
      <c r="E118" s="4" t="inlineStr">
        <is>
          <t>2026-09-23T09:47:09.741Z</t>
        </is>
      </c>
      <c r="F118" s="4" t="inlineStr">
        <is>
          <t>2026-09-23T09:47:11.902Z</t>
        </is>
      </c>
      <c r="G118" s="20" t="n">
        <v>2.482</v>
      </c>
      <c r="H118" s="18" t="n">
        <v>99.980001</v>
      </c>
      <c r="I118" s="21" t="inlineStr">
        <is>
          <t>open</t>
        </is>
      </c>
      <c r="J118" s="22" t="inlineStr">
        <is>
          <t>962db000d2f512bfada3e26b1305ca22101492cf5970591eb8c9c3c52801587d</t>
        </is>
      </c>
      <c r="K118" s="21" t="inlineStr">
        <is>
          <t>open</t>
        </is>
      </c>
      <c r="L118" s="22" t="inlineStr">
        <is>
          <t>afe018afc53382601acdfd9d6a26c60587853923157694646100dd045651e185</t>
        </is>
      </c>
    </row>
    <row r="119">
      <c r="A119" s="4" t="inlineStr">
        <is>
          <t>ETH → SOL</t>
        </is>
      </c>
      <c r="B119" s="4" t="n">
        <v>3</v>
      </c>
      <c r="C119" s="4" t="inlineStr">
        <is>
          <t>Husher</t>
        </is>
      </c>
      <c r="D119" s="4" t="inlineStr">
        <is>
          <t>2026-09-23T09:47:06.233Z</t>
        </is>
      </c>
      <c r="E119" s="4" t="inlineStr">
        <is>
          <t>2026-09-23T09:47:07.791Z</t>
        </is>
      </c>
      <c r="F119" s="4" t="inlineStr">
        <is>
          <t>2026-09-23T09:47:10.114Z</t>
        </is>
      </c>
      <c r="G119" s="20" t="n">
        <v>0.532</v>
      </c>
      <c r="H119" s="18" t="n">
        <v>99.34999999999999</v>
      </c>
      <c r="I119" s="21" t="inlineStr">
        <is>
          <t>open</t>
        </is>
      </c>
      <c r="J119" s="22" t="inlineStr">
        <is>
          <t>95726fb3f119049ee8f98ee96d4da148c81283859a251c1b5719f784e9de4f93</t>
        </is>
      </c>
      <c r="K119" s="21" t="inlineStr">
        <is>
          <t>open</t>
        </is>
      </c>
      <c r="L119" s="22" t="inlineStr">
        <is>
          <t>f1d3ed2b521640057395027377b10d0a187b7854d1cb599c1fb2e1230381ab38</t>
        </is>
      </c>
    </row>
    <row r="120">
      <c r="A120" s="4" t="inlineStr">
        <is>
          <t>ETH → SOL</t>
        </is>
      </c>
      <c r="B120" s="4" t="n">
        <v>3</v>
      </c>
      <c r="C120" s="4" t="inlineStr">
        <is>
          <t>Layerswap</t>
        </is>
      </c>
      <c r="D120" s="4" t="inlineStr">
        <is>
          <t>2026-09-23T09:47:06.229Z</t>
        </is>
      </c>
      <c r="E120" s="4" t="inlineStr">
        <is>
          <t>2026-09-23T09:47:08.441Z</t>
        </is>
      </c>
      <c r="F120" s="4" t="inlineStr">
        <is>
          <t>2026-09-23T09:47:10.527Z</t>
        </is>
      </c>
      <c r="G120" s="20" t="n">
        <v>1.182</v>
      </c>
      <c r="H120" s="18" t="n">
        <v>99.67346499999999</v>
      </c>
      <c r="I120" s="21" t="inlineStr">
        <is>
          <t>open</t>
        </is>
      </c>
      <c r="J120" s="22" t="inlineStr">
        <is>
          <t>a00b55b9bac711566bf9b1a4492832755d55694af650a03a47bdcd951890d2df</t>
        </is>
      </c>
      <c r="K120" s="21" t="inlineStr">
        <is>
          <t>open</t>
        </is>
      </c>
      <c r="L120" s="22" t="inlineStr">
        <is>
          <t>1107ebcde4b5a8742aa2b6ef3f7cc37acc0e476f16f32e239419be208df62d9f</t>
        </is>
      </c>
    </row>
    <row r="121">
      <c r="A121" s="4" t="inlineStr">
        <is>
          <t>ETH → SOL</t>
        </is>
      </c>
      <c r="B121" s="4" t="n">
        <v>3</v>
      </c>
      <c r="C121" s="4" t="inlineStr">
        <is>
          <t>Meson</t>
        </is>
      </c>
      <c r="D121" s="4" t="inlineStr">
        <is>
          <t>2026-09-23T09:47:06.233Z</t>
        </is>
      </c>
      <c r="E121" s="4" t="inlineStr">
        <is>
          <t>2026-09-23T09:47:06.514Z</t>
        </is>
      </c>
      <c r="F121" s="4" t="inlineStr">
        <is>
          <t>2026-09-23T09:47:08.642Z</t>
        </is>
      </c>
      <c r="G121" s="20" t="n">
        <v>0.745</v>
      </c>
      <c r="H121" s="18" t="n">
        <v>99.09999999999999</v>
      </c>
      <c r="I121" s="21" t="inlineStr">
        <is>
          <t>open</t>
        </is>
      </c>
      <c r="J121" s="22" t="inlineStr">
        <is>
          <t>a8a32326d59c3d46f7fed55a3b4f39afd50c8a5e4c223a57b96e865e4185afcd</t>
        </is>
      </c>
      <c r="K121" s="21" t="inlineStr">
        <is>
          <t>open</t>
        </is>
      </c>
      <c r="L121" s="22" t="inlineStr">
        <is>
          <t>4f523b046d4ce65419f10a9450480bd371358ff7b56cccc1c41bb16370cdb254</t>
        </is>
      </c>
    </row>
    <row r="122">
      <c r="A122" s="4" t="inlineStr">
        <is>
          <t>ETH → SOL</t>
        </is>
      </c>
      <c r="B122" s="4" t="n">
        <v>3</v>
      </c>
      <c r="C122" s="4" t="inlineStr">
        <is>
          <t>SimpleSwap</t>
        </is>
      </c>
      <c r="D122" s="4" t="inlineStr">
        <is>
          <t>2026-09-23T09:47:06.233Z</t>
        </is>
      </c>
      <c r="E122" s="4" t="inlineStr">
        <is>
          <t>2026-09-23T09:47:09.078Z</t>
        </is>
      </c>
      <c r="F122" s="4" t="inlineStr">
        <is>
          <t>2026-09-23T09:47:11.164Z</t>
        </is>
      </c>
      <c r="G122" s="20" t="n">
        <v>1.819</v>
      </c>
      <c r="H122" s="18" t="n">
        <v>98.485152</v>
      </c>
      <c r="I122" s="21" t="inlineStr">
        <is>
          <t>open</t>
        </is>
      </c>
      <c r="J122" s="22" t="inlineStr">
        <is>
          <t>5adec87fe4f3f46e3678cce6781ab365120a507747cae804305fed6aaf0e7f59</t>
        </is>
      </c>
      <c r="K122" s="21" t="inlineStr">
        <is>
          <t>open</t>
        </is>
      </c>
      <c r="L122" s="22" t="inlineStr">
        <is>
          <t>3ada08dc9c0dd2d30f6a95fddc6309087417a31833f87e3cf26e67b03a114b72</t>
        </is>
      </c>
    </row>
    <row r="123">
      <c r="A123" s="4" t="inlineStr">
        <is>
          <t>ETH → SOL</t>
        </is>
      </c>
      <c r="B123" s="4" t="n">
        <v>3</v>
      </c>
      <c r="C123" s="4" t="inlineStr">
        <is>
          <t>Skip Go</t>
        </is>
      </c>
      <c r="D123" s="4" t="inlineStr">
        <is>
          <t>2026-09-23T09:47:06.231Z</t>
        </is>
      </c>
      <c r="E123" s="4" t="inlineStr">
        <is>
          <t>2026-09-23T09:47:08.658Z</t>
        </is>
      </c>
      <c r="F123" s="4" t="inlineStr">
        <is>
          <t>2026-09-23T09:47:10.833Z</t>
        </is>
      </c>
      <c r="G123" s="20" t="n">
        <v>1.399</v>
      </c>
      <c r="H123" s="18" t="n">
        <v>99.71944999999999</v>
      </c>
      <c r="I123" s="21" t="inlineStr">
        <is>
          <t>open</t>
        </is>
      </c>
      <c r="J123" s="22" t="inlineStr">
        <is>
          <t>fed6a0b28e3d03bb69964e17d82ee933a31e19ef737173f3cd4cdc50df329a12</t>
        </is>
      </c>
      <c r="K123" s="21" t="inlineStr">
        <is>
          <t>open</t>
        </is>
      </c>
      <c r="L123" s="22" t="inlineStr">
        <is>
          <t>35efd54be88f3e653526293185df97359b02046cdac399ef631656a77e8a8f05</t>
        </is>
      </c>
    </row>
    <row r="124">
      <c r="A124" s="4" t="inlineStr">
        <is>
          <t>ETH → SOL</t>
        </is>
      </c>
      <c r="B124" s="4" t="n">
        <v>3</v>
      </c>
      <c r="C124" s="4" t="inlineStr">
        <is>
          <t>Symbiosis</t>
        </is>
      </c>
      <c r="D124" s="4" t="inlineStr">
        <is>
          <t>2026-09-23T09:47:06.230Z</t>
        </is>
      </c>
      <c r="E124" s="4" t="inlineStr">
        <is>
          <t>2026-09-23T09:47:08.729Z</t>
        </is>
      </c>
      <c r="F124" s="4" t="inlineStr">
        <is>
          <t>2026-09-23T09:47:10.833Z</t>
        </is>
      </c>
      <c r="G124" s="20" t="n">
        <v>1.47</v>
      </c>
      <c r="H124" s="18" t="n">
        <v>98.94086299999999</v>
      </c>
      <c r="I124" s="21" t="inlineStr">
        <is>
          <t>open</t>
        </is>
      </c>
      <c r="J124" s="22" t="inlineStr">
        <is>
          <t>a0ff0a46e48ad14ad3a977ac43953062673625bb9b3df6a14de55106c3a76d30</t>
        </is>
      </c>
      <c r="K124" s="21" t="inlineStr">
        <is>
          <t>open</t>
        </is>
      </c>
      <c r="L124" s="22" t="inlineStr">
        <is>
          <t>8840d7ac8667bdd519d43c973f8df0f70079f747768e00bcb7d4646d4ebcb63e</t>
        </is>
      </c>
    </row>
    <row r="125">
      <c r="A125" s="4" t="inlineStr">
        <is>
          <t>SOL → BSC</t>
        </is>
      </c>
      <c r="B125" s="4" t="n">
        <v>1</v>
      </c>
      <c r="C125" s="4" t="inlineStr">
        <is>
          <t>Bridg</t>
        </is>
      </c>
      <c r="D125" s="4" t="inlineStr">
        <is>
          <t>2026-09-23T08:50:23.397Z</t>
        </is>
      </c>
      <c r="E125" s="4" t="inlineStr">
        <is>
          <t>2026-09-23T08:50:24.284Z</t>
        </is>
      </c>
      <c r="F125" s="4" t="inlineStr">
        <is>
          <t>2026-09-23T08:50:27.839Z</t>
        </is>
      </c>
      <c r="G125" s="20" t="n"/>
      <c r="H125" s="18" t="n">
        <v>99.87003900000001</v>
      </c>
      <c r="I125" s="21" t="inlineStr">
        <is>
          <t>open</t>
        </is>
      </c>
      <c r="J125" s="22" t="inlineStr">
        <is>
          <t>07974c5e3c7e32adddc61cb98d6f5653dcf79f2915e0e21a1b70ce8fe14027a2</t>
        </is>
      </c>
      <c r="K125" s="21" t="inlineStr">
        <is>
          <t>open</t>
        </is>
      </c>
      <c r="L125" s="22" t="inlineStr">
        <is>
          <t>c7f1dcd892c9322c149358859d87ad6cd108db7bd2437862608bfdc0fe1871fc</t>
        </is>
      </c>
    </row>
    <row r="126">
      <c r="A126" s="4" t="inlineStr">
        <is>
          <t>SOL → BSC</t>
        </is>
      </c>
      <c r="B126" s="4" t="n">
        <v>1</v>
      </c>
      <c r="C126" s="4" t="inlineStr">
        <is>
          <t>Bridg</t>
        </is>
      </c>
      <c r="D126" s="4" t="inlineStr">
        <is>
          <t>2026-09-23T09:39:55.786Z</t>
        </is>
      </c>
      <c r="E126" s="4" t="inlineStr">
        <is>
          <t>2026-09-23T09:39:56.753Z</t>
        </is>
      </c>
      <c r="F126" s="4" t="inlineStr">
        <is>
          <t>2026-09-23T09:40:00.495Z</t>
        </is>
      </c>
      <c r="G126" s="20" t="n"/>
      <c r="H126" s="18" t="n">
        <v>99.87003900000001</v>
      </c>
      <c r="I126" s="21" t="inlineStr">
        <is>
          <t>open</t>
        </is>
      </c>
      <c r="J126" s="22" t="inlineStr">
        <is>
          <t>791e4f003c50a0f5e52239e035543a5557fabb8b5eb58db44f576935db1e6991</t>
        </is>
      </c>
      <c r="K126" s="21" t="inlineStr">
        <is>
          <t>open</t>
        </is>
      </c>
      <c r="L126" s="22" t="inlineStr">
        <is>
          <t>5637a617c8d948a8196aa5255319434dac6b484619cd8fd20957d5a21fe6c9b2</t>
        </is>
      </c>
    </row>
    <row r="127">
      <c r="A127" s="4" t="inlineStr">
        <is>
          <t>SOL → BSC</t>
        </is>
      </c>
      <c r="B127" s="4" t="n">
        <v>1</v>
      </c>
      <c r="C127" s="4" t="inlineStr">
        <is>
          <t>Relay</t>
        </is>
      </c>
      <c r="D127" s="4" t="inlineStr">
        <is>
          <t>2026-09-23T08:50:23.397Z</t>
        </is>
      </c>
      <c r="E127" s="4" t="inlineStr">
        <is>
          <t>2026-09-23T08:50:24.821Z</t>
        </is>
      </c>
      <c r="F127" s="4" t="inlineStr">
        <is>
          <t>2026-09-23T08:50:27.230Z</t>
        </is>
      </c>
      <c r="G127" s="20" t="n">
        <v>0.537</v>
      </c>
      <c r="H127" s="18" t="n">
        <v>99.64353699999999</v>
      </c>
      <c r="I127" s="21" t="inlineStr">
        <is>
          <t>open</t>
        </is>
      </c>
      <c r="J127" s="22" t="inlineStr">
        <is>
          <t>3d5f460b6a4e144c0ba6e81ba5fbd9d75f0ee05d6241dc3aad6e386fa516abd0</t>
        </is>
      </c>
      <c r="K127" s="21" t="inlineStr">
        <is>
          <t>open</t>
        </is>
      </c>
      <c r="L127" s="22" t="inlineStr">
        <is>
          <t>29c35d84e2f5e20b4667bf7b14c2e3cd2cf35772514ac45a13a481115b590197</t>
        </is>
      </c>
    </row>
    <row r="128">
      <c r="A128" s="4" t="inlineStr">
        <is>
          <t>SOL → BSC</t>
        </is>
      </c>
      <c r="B128" s="4" t="n">
        <v>1</v>
      </c>
      <c r="C128" s="4" t="inlineStr">
        <is>
          <t>Relay</t>
        </is>
      </c>
      <c r="D128" s="4" t="inlineStr">
        <is>
          <t>2026-09-23T09:39:55.786Z</t>
        </is>
      </c>
      <c r="E128" s="4" t="inlineStr">
        <is>
          <t>2026-09-23T09:39:57.301Z</t>
        </is>
      </c>
      <c r="F128" s="4" t="inlineStr">
        <is>
          <t>2026-09-23T09:39:59.527Z</t>
        </is>
      </c>
      <c r="G128" s="20" t="n">
        <v>0.548</v>
      </c>
      <c r="H128" s="18" t="n">
        <v>99.651251</v>
      </c>
      <c r="I128" s="21" t="inlineStr">
        <is>
          <t>open</t>
        </is>
      </c>
      <c r="J128" s="22" t="inlineStr">
        <is>
          <t>2b811ea51ac777a22d2d21e131c435771fa39347b138d6aedb4ed0252a45ac4e</t>
        </is>
      </c>
      <c r="K128" s="21" t="inlineStr">
        <is>
          <t>open</t>
        </is>
      </c>
      <c r="L128" s="22" t="inlineStr">
        <is>
          <t>e70141e87b4bf9603dce47036f5773272f05cb8f9dbdb5f37552f52bb8af9973</t>
        </is>
      </c>
    </row>
    <row r="129">
      <c r="A129" s="4" t="inlineStr">
        <is>
          <t>SOL → BSC</t>
        </is>
      </c>
      <c r="B129" s="4" t="n">
        <v>1</v>
      </c>
      <c r="C129" s="4" t="inlineStr">
        <is>
          <t>deBridge</t>
        </is>
      </c>
      <c r="D129" s="4" t="inlineStr">
        <is>
          <t>2026-09-23T08:50:23.397Z</t>
        </is>
      </c>
      <c r="E129" s="4" t="inlineStr">
        <is>
          <t>2026-09-23T08:50:24.838Z</t>
        </is>
      </c>
      <c r="F129" s="4" t="inlineStr">
        <is>
          <t>2026-09-23T08:50:27.232Z</t>
        </is>
      </c>
      <c r="G129" s="20" t="n">
        <v>0.554</v>
      </c>
      <c r="H129" s="18" t="n">
        <v>99.920016</v>
      </c>
      <c r="I129" s="21" t="inlineStr">
        <is>
          <t>open</t>
        </is>
      </c>
      <c r="J129" s="22" t="inlineStr">
        <is>
          <t>e161538a66e67a5835d2761d14481f68796e05ff33305e762e0908dd911e30c9</t>
        </is>
      </c>
      <c r="K129" s="21" t="inlineStr">
        <is>
          <t>open</t>
        </is>
      </c>
      <c r="L129" s="22" t="inlineStr">
        <is>
          <t>76bde383b6ddee9014cc2e292dfb64deca80a10c374dc08f2406d09a5e7dc752</t>
        </is>
      </c>
    </row>
    <row r="130">
      <c r="A130" s="4" t="inlineStr">
        <is>
          <t>SOL → BSC</t>
        </is>
      </c>
      <c r="B130" s="4" t="n">
        <v>1</v>
      </c>
      <c r="C130" s="4" t="inlineStr">
        <is>
          <t>deBridge</t>
        </is>
      </c>
      <c r="D130" s="4" t="inlineStr">
        <is>
          <t>2026-09-23T09:39:55.786Z</t>
        </is>
      </c>
      <c r="E130" s="4" t="inlineStr">
        <is>
          <t>2026-09-23T09:39:57.386Z</t>
        </is>
      </c>
      <c r="F130" s="4" t="inlineStr">
        <is>
          <t>2026-09-23T09:39:59.527Z</t>
        </is>
      </c>
      <c r="G130" s="20" t="n">
        <v>0.633</v>
      </c>
      <c r="H130" s="18" t="n">
        <v>99.920016</v>
      </c>
      <c r="I130" s="21" t="inlineStr">
        <is>
          <t>open</t>
        </is>
      </c>
      <c r="J130" s="22" t="inlineStr">
        <is>
          <t>88ecead0a00b22b42f8b7563d5249e9b1e36db6fd50a7d288cbd301cf9c6f49e</t>
        </is>
      </c>
      <c r="K130" s="21" t="inlineStr">
        <is>
          <t>open</t>
        </is>
      </c>
      <c r="L130" s="22" t="inlineStr">
        <is>
          <t>297fe25fed1daa850c0ce04ddfae5f9235189d1bdb0fdb7b2610a62d3b674c08</t>
        </is>
      </c>
    </row>
    <row r="131">
      <c r="A131" s="4" t="inlineStr">
        <is>
          <t>SOL → BSC</t>
        </is>
      </c>
      <c r="B131" s="4" t="n">
        <v>1</v>
      </c>
      <c r="C131" s="4" t="inlineStr">
        <is>
          <t>LI.FI (Jumper)</t>
        </is>
      </c>
      <c r="D131" s="4" t="inlineStr">
        <is>
          <t>2026-09-23T08:50:23.398Z</t>
        </is>
      </c>
      <c r="E131" s="4" t="inlineStr">
        <is>
          <t>2026-09-23T08:50:25.004Z</t>
        </is>
      </c>
      <c r="F131" s="4" t="inlineStr">
        <is>
          <t>2026-09-23T08:50:27.205Z</t>
        </is>
      </c>
      <c r="G131" s="20" t="n">
        <v>0.72</v>
      </c>
      <c r="H131" s="18" t="n">
        <v>99.930539</v>
      </c>
      <c r="I131" s="21" t="inlineStr">
        <is>
          <t>open</t>
        </is>
      </c>
      <c r="J131" s="22" t="inlineStr">
        <is>
          <t>cbf432f5ca6b0ac966ce360350599e998926271e3e6a9116cd20172d1fe3e9e5</t>
        </is>
      </c>
      <c r="K131" s="21" t="inlineStr">
        <is>
          <t>open</t>
        </is>
      </c>
      <c r="L131" s="22" t="inlineStr">
        <is>
          <t>ccb85a6693611cea5b9362f6e0b5e9ff875b12c839aca143c410d54cd4ac543a</t>
        </is>
      </c>
    </row>
    <row r="132">
      <c r="A132" s="4" t="inlineStr">
        <is>
          <t>SOL → BSC</t>
        </is>
      </c>
      <c r="B132" s="4" t="n">
        <v>1</v>
      </c>
      <c r="C132" s="4" t="inlineStr">
        <is>
          <t>LI.FI (Jumper)</t>
        </is>
      </c>
      <c r="D132" s="4" t="inlineStr">
        <is>
          <t>2026-09-23T09:39:55.786Z</t>
        </is>
      </c>
      <c r="E132" s="4" t="inlineStr">
        <is>
          <t>2026-09-23T09:39:57.805Z</t>
        </is>
      </c>
      <c r="F132" s="4" t="inlineStr">
        <is>
          <t>2026-09-23T09:39:59.875Z</t>
        </is>
      </c>
      <c r="G132" s="20" t="n">
        <v>1.052</v>
      </c>
      <c r="H132" s="18" t="n">
        <v>99.930623</v>
      </c>
      <c r="I132" s="21" t="inlineStr">
        <is>
          <t>open</t>
        </is>
      </c>
      <c r="J132" s="22" t="inlineStr">
        <is>
          <t>8c8bdbb10fb18e3c6711f54fdf959df1ede1fbaa6855be3f7d99778fb8902f28</t>
        </is>
      </c>
      <c r="K132" s="21" t="inlineStr">
        <is>
          <t>open</t>
        </is>
      </c>
      <c r="L132" s="22" t="inlineStr">
        <is>
          <t>f93ea242fe951d2ce601964bf67376e47de91f916860b8c838396dc6c48b8fe1</t>
        </is>
      </c>
    </row>
    <row r="133">
      <c r="A133" s="4" t="inlineStr">
        <is>
          <t>SOL → BSC</t>
        </is>
      </c>
      <c r="B133" s="4" t="n">
        <v>1</v>
      </c>
      <c r="C133" s="4" t="inlineStr">
        <is>
          <t>Across</t>
        </is>
      </c>
      <c r="D133" s="4" t="inlineStr">
        <is>
          <t>2026-09-23T08:50:23.397Z</t>
        </is>
      </c>
      <c r="E133" s="4" t="inlineStr">
        <is>
          <t>2026-09-23T08:50:24.595Z</t>
        </is>
      </c>
      <c r="F133" s="4" t="inlineStr">
        <is>
          <t>2026-09-23T08:50:26.716Z</t>
        </is>
      </c>
      <c r="G133" s="20" t="n">
        <v>0.311</v>
      </c>
      <c r="H133" s="18" t="n">
        <v>99.982012</v>
      </c>
      <c r="I133" s="21" t="inlineStr">
        <is>
          <t>open</t>
        </is>
      </c>
      <c r="J133" s="22" t="inlineStr">
        <is>
          <t>b720b33b69d4e5529d117ebd464bc554f4e9c0bdab4c33f6ff51d1705e539f8f</t>
        </is>
      </c>
      <c r="K133" s="21" t="inlineStr">
        <is>
          <t>open</t>
        </is>
      </c>
      <c r="L133" s="22" t="inlineStr">
        <is>
          <t>772ae4636b1218e1ceb1c62d6a6238d9d610aa8dc071d8439f16118862709ad7</t>
        </is>
      </c>
    </row>
    <row r="134">
      <c r="A134" s="4" t="inlineStr">
        <is>
          <t>SOL → BSC</t>
        </is>
      </c>
      <c r="B134" s="4" t="n">
        <v>1</v>
      </c>
      <c r="C134" s="4" t="inlineStr">
        <is>
          <t>Across</t>
        </is>
      </c>
      <c r="D134" s="4" t="inlineStr">
        <is>
          <t>2026-09-23T09:39:55.785Z</t>
        </is>
      </c>
      <c r="E134" s="4" t="inlineStr">
        <is>
          <t>2026-09-23T09:39:56.792Z</t>
        </is>
      </c>
      <c r="F134" s="4" t="inlineStr">
        <is>
          <t>2026-09-23T09:39:58.918Z</t>
        </is>
      </c>
      <c r="G134" s="20" t="n">
        <v>0.039</v>
      </c>
      <c r="H134" s="18" t="n">
        <v>99.982074</v>
      </c>
      <c r="I134" s="21" t="inlineStr">
        <is>
          <t>open</t>
        </is>
      </c>
      <c r="J134" s="22" t="inlineStr">
        <is>
          <t>9dceef9976f58250c559d6156aa5eb48770b10b2cc64f7416e955d5168c56141</t>
        </is>
      </c>
      <c r="K134" s="21" t="inlineStr">
        <is>
          <t>open</t>
        </is>
      </c>
      <c r="L134" s="22" t="inlineStr">
        <is>
          <t>59af0975ebb2397b8536b1f7c44bc80b257af213fb442b88c17ef917c0ab243f</t>
        </is>
      </c>
    </row>
    <row r="135">
      <c r="A135" s="4" t="inlineStr">
        <is>
          <t>SOL → BSC</t>
        </is>
      </c>
      <c r="B135" s="4" t="n">
        <v>1</v>
      </c>
      <c r="C135" s="4" t="inlineStr">
        <is>
          <t>Mayan</t>
        </is>
      </c>
      <c r="D135" s="4" t="inlineStr">
        <is>
          <t>2026-09-23T08:50:23.396Z</t>
        </is>
      </c>
      <c r="E135" s="4" t="inlineStr">
        <is>
          <t>2026-09-23T08:50:24.523Z</t>
        </is>
      </c>
      <c r="F135" s="4" t="inlineStr">
        <is>
          <t>2026-09-23T08:50:26.639Z</t>
        </is>
      </c>
      <c r="G135" s="20" t="n">
        <v>0.239</v>
      </c>
      <c r="H135" s="18" t="n">
        <v>99.93000000000001</v>
      </c>
      <c r="I135" s="21" t="inlineStr">
        <is>
          <t>open</t>
        </is>
      </c>
      <c r="J135" s="22" t="inlineStr">
        <is>
          <t>294edcaff22e201ef5d031e85821d333fd6f8c9e17fc2bbc8645c89763dfbf40</t>
        </is>
      </c>
      <c r="K135" s="21" t="inlineStr">
        <is>
          <t>open</t>
        </is>
      </c>
      <c r="L135" s="22" t="inlineStr">
        <is>
          <t>14ba9e1739ded69e0c1d114d21b8a627025d9f638627a5972ab6267e00150773</t>
        </is>
      </c>
    </row>
    <row r="136">
      <c r="A136" s="4" t="inlineStr">
        <is>
          <t>SOL → BSC</t>
        </is>
      </c>
      <c r="B136" s="4" t="n">
        <v>1</v>
      </c>
      <c r="C136" s="4" t="inlineStr">
        <is>
          <t>Mayan</t>
        </is>
      </c>
      <c r="D136" s="4" t="inlineStr">
        <is>
          <t>2026-09-23T09:39:55.785Z</t>
        </is>
      </c>
      <c r="E136" s="4" t="inlineStr">
        <is>
          <t>2026-09-23T09:39:56.997Z</t>
        </is>
      </c>
      <c r="F136" s="4" t="inlineStr">
        <is>
          <t>2026-09-23T09:39:59.124Z</t>
        </is>
      </c>
      <c r="G136" s="20" t="n">
        <v>0.244</v>
      </c>
      <c r="H136" s="18" t="n">
        <v>99.93000000000001</v>
      </c>
      <c r="I136" s="21" t="inlineStr">
        <is>
          <t>open</t>
        </is>
      </c>
      <c r="J136" s="22" t="inlineStr">
        <is>
          <t>294edcaff22e201ef5d031e85821d333fd6f8c9e17fc2bbc8645c89763dfbf40</t>
        </is>
      </c>
      <c r="K136" s="21" t="inlineStr">
        <is>
          <t>open</t>
        </is>
      </c>
      <c r="L136" s="22" t="inlineStr">
        <is>
          <t>14ba9e1739ded69e0c1d114d21b8a627025d9f638627a5972ab6267e00150773</t>
        </is>
      </c>
    </row>
    <row r="137">
      <c r="A137" s="4" t="inlineStr">
        <is>
          <t>SOL → BSC</t>
        </is>
      </c>
      <c r="B137" s="4" t="n">
        <v>1</v>
      </c>
      <c r="C137" s="4" t="inlineStr">
        <is>
          <t>Husher</t>
        </is>
      </c>
      <c r="D137" s="4" t="inlineStr">
        <is>
          <t>2026-09-23T09:39:55.787Z</t>
        </is>
      </c>
      <c r="E137" s="4" t="inlineStr">
        <is>
          <t>2026-09-23T09:39:56.921Z</t>
        </is>
      </c>
      <c r="F137" s="4" t="inlineStr">
        <is>
          <t>2026-09-23T09:39:59.057Z</t>
        </is>
      </c>
      <c r="G137" s="20" t="n">
        <v>0.168</v>
      </c>
      <c r="H137" s="18" t="n">
        <v>99.65000000000001</v>
      </c>
      <c r="I137" s="21" t="inlineStr">
        <is>
          <t>open</t>
        </is>
      </c>
      <c r="J137" s="22" t="inlineStr">
        <is>
          <t>3c3fc114e02dcc9937d91e13462de7c9488f9ed7492a1698e3550dbb39a2d65f</t>
        </is>
      </c>
      <c r="K137" s="21" t="inlineStr">
        <is>
          <t>open</t>
        </is>
      </c>
      <c r="L137" s="22" t="inlineStr">
        <is>
          <t>9c766136b3bda65aa313fe3b99a8e0487905653efb93e854c3eecb134a696e05</t>
        </is>
      </c>
    </row>
    <row r="138">
      <c r="A138" s="4" t="inlineStr">
        <is>
          <t>SOL → BSC</t>
        </is>
      </c>
      <c r="B138" s="4" t="n">
        <v>1</v>
      </c>
      <c r="C138" s="4" t="inlineStr">
        <is>
          <t>Layerswap</t>
        </is>
      </c>
      <c r="D138" s="4" t="inlineStr">
        <is>
          <t>2026-09-23T09:39:55.785Z</t>
        </is>
      </c>
      <c r="E138" s="4" t="inlineStr">
        <is>
          <t>2026-09-23T09:39:58.086Z</t>
        </is>
      </c>
      <c r="F138" s="4" t="inlineStr">
        <is>
          <t>2026-09-23T09:40:00.190Z</t>
        </is>
      </c>
      <c r="G138" s="20" t="n">
        <v>1.333</v>
      </c>
      <c r="H138" s="18" t="n">
        <v>99.863073</v>
      </c>
      <c r="I138" s="21" t="inlineStr">
        <is>
          <t>open</t>
        </is>
      </c>
      <c r="J138" s="22" t="inlineStr">
        <is>
          <t>87f0e2f46be6044d469da5405c1c3ac3ee71f69c516872cef12e9f9f1ee92902</t>
        </is>
      </c>
      <c r="K138" s="21" t="inlineStr">
        <is>
          <t>open</t>
        </is>
      </c>
      <c r="L138" s="22" t="inlineStr">
        <is>
          <t>de6d055e35add32f8e796f493865c78a0d1088c75806d832fdb0c34a9bdb3136</t>
        </is>
      </c>
    </row>
    <row r="139">
      <c r="A139" s="4" t="inlineStr">
        <is>
          <t>SOL → BSC</t>
        </is>
      </c>
      <c r="B139" s="4" t="n">
        <v>1</v>
      </c>
      <c r="C139" s="4" t="inlineStr">
        <is>
          <t>Meson</t>
        </is>
      </c>
      <c r="D139" s="4" t="inlineStr">
        <is>
          <t>2026-09-23T09:39:55.787Z</t>
        </is>
      </c>
      <c r="E139" s="4" t="inlineStr">
        <is>
          <t>2026-09-23T09:39:56.058Z</t>
        </is>
      </c>
      <c r="F139" s="4" t="inlineStr">
        <is>
          <t>2026-09-23T09:39:58.195Z</t>
        </is>
      </c>
      <c r="G139" s="20" t="n">
        <v>0.695</v>
      </c>
      <c r="H139" s="18" t="n">
        <v>99.88</v>
      </c>
      <c r="I139" s="21" t="inlineStr">
        <is>
          <t>open</t>
        </is>
      </c>
      <c r="J139" s="22" t="inlineStr">
        <is>
          <t>2d479397d6044efd6fbab19e25b0022342b075c7694603002b6920af77eb5244</t>
        </is>
      </c>
      <c r="K139" s="21" t="inlineStr">
        <is>
          <t>open</t>
        </is>
      </c>
      <c r="L139" s="22" t="inlineStr">
        <is>
          <t>c3daac6383c9e53bf84bb8094c67e8dff0be69ac5c019eb0fe0e395a2b3970f1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SimpleSwap</t>
        </is>
      </c>
      <c r="D140" s="4" t="inlineStr">
        <is>
          <t>2026-09-23T09:39:55.787Z</t>
        </is>
      </c>
      <c r="E140" s="4" t="inlineStr">
        <is>
          <t>2026-09-23T09:39:58.491Z</t>
        </is>
      </c>
      <c r="F140" s="4" t="inlineStr">
        <is>
          <t>2026-09-23T09:40:00.535Z</t>
        </is>
      </c>
      <c r="G140" s="20" t="n">
        <v>1.738</v>
      </c>
      <c r="H140" s="18" t="n">
        <v>98.139</v>
      </c>
      <c r="I140" s="21" t="inlineStr">
        <is>
          <t>open</t>
        </is>
      </c>
      <c r="J140" s="22" t="inlineStr">
        <is>
          <t>4924d34756a34d7b383563f452550972d6d0ba2096e4c7c6a9eb2ad4ae680d0a</t>
        </is>
      </c>
      <c r="K140" s="21" t="inlineStr">
        <is>
          <t>open</t>
        </is>
      </c>
      <c r="L140" s="22" t="inlineStr">
        <is>
          <t>3c48550437878cfac79a623ab9141f233d2bfa17270964975f810569e56370d1</t>
        </is>
      </c>
    </row>
    <row r="141">
      <c r="A141" s="4" t="inlineStr">
        <is>
          <t>SOL → BSC</t>
        </is>
      </c>
      <c r="B141" s="4" t="n">
        <v>2</v>
      </c>
      <c r="C141" s="4" t="inlineStr">
        <is>
          <t>Bridg</t>
        </is>
      </c>
      <c r="D141" s="4" t="inlineStr">
        <is>
          <t>2026-09-23T08:53:20.473Z</t>
        </is>
      </c>
      <c r="E141" s="4" t="inlineStr">
        <is>
          <t>2026-09-23T08:53:21.359Z</t>
        </is>
      </c>
      <c r="F141" s="4" t="inlineStr">
        <is>
          <t>2026-09-23T08:53:24.922Z</t>
        </is>
      </c>
      <c r="G141" s="20" t="n"/>
      <c r="H141" s="18" t="n">
        <v>99.82007900000001</v>
      </c>
      <c r="I141" s="21" t="inlineStr">
        <is>
          <t>open</t>
        </is>
      </c>
      <c r="J141" s="22" t="inlineStr">
        <is>
          <t>c5553595b6fd38a7d24e7bc030697fcb3d1052cdf6c520a77d20af1f454c6c8e</t>
        </is>
      </c>
      <c r="K141" s="21" t="inlineStr">
        <is>
          <t>open</t>
        </is>
      </c>
      <c r="L141" s="22" t="inlineStr">
        <is>
          <t>e2f3f1d473da6abc9c6f05ae184431bbcf434c0c80e5177d40cc9aa677ac2517</t>
        </is>
      </c>
    </row>
    <row r="142">
      <c r="A142" s="4" t="inlineStr">
        <is>
          <t>SOL → BSC</t>
        </is>
      </c>
      <c r="B142" s="4" t="n">
        <v>2</v>
      </c>
      <c r="C142" s="4" t="inlineStr">
        <is>
          <t>Bridg</t>
        </is>
      </c>
      <c r="D142" s="4" t="inlineStr">
        <is>
          <t>2026-09-23T09:43:17.020Z</t>
        </is>
      </c>
      <c r="E142" s="4" t="inlineStr">
        <is>
          <t>2026-09-23T09:43:17.796Z</t>
        </is>
      </c>
      <c r="F142" s="4" t="inlineStr">
        <is>
          <t>2026-09-23T09:43:21.756Z</t>
        </is>
      </c>
      <c r="G142" s="20" t="n"/>
      <c r="H142" s="18" t="n">
        <v>99.87003900000001</v>
      </c>
      <c r="I142" s="21" t="inlineStr">
        <is>
          <t>open</t>
        </is>
      </c>
      <c r="J142" s="22" t="inlineStr">
        <is>
          <t>f68482bff9edc729550cf17d41c219779e601929a7367925090389b664478430</t>
        </is>
      </c>
      <c r="K142" s="21" t="inlineStr">
        <is>
          <t>open</t>
        </is>
      </c>
      <c r="L142" s="22" t="inlineStr">
        <is>
          <t>71cc69714ee6a60745fbac2ce3f2d72acb6999858dfb939342a14784d8f65dc1</t>
        </is>
      </c>
    </row>
    <row r="143">
      <c r="A143" s="4" t="inlineStr">
        <is>
          <t>SOL → BSC</t>
        </is>
      </c>
      <c r="B143" s="4" t="n">
        <v>2</v>
      </c>
      <c r="C143" s="4" t="inlineStr">
        <is>
          <t>Relay</t>
        </is>
      </c>
      <c r="D143" s="4" t="inlineStr">
        <is>
          <t>2026-09-23T08:53:20.473Z</t>
        </is>
      </c>
      <c r="E143" s="4" t="inlineStr">
        <is>
          <t>2026-09-23T08:53:22.166Z</t>
        </is>
      </c>
      <c r="F143" s="4" t="inlineStr">
        <is>
          <t>2026-09-23T08:53:24.312Z</t>
        </is>
      </c>
      <c r="G143" s="20" t="n">
        <v>0.8070000000000001</v>
      </c>
      <c r="H143" s="18" t="n">
        <v>99.650424</v>
      </c>
      <c r="I143" s="21" t="inlineStr">
        <is>
          <t>open</t>
        </is>
      </c>
      <c r="J143" s="22" t="inlineStr">
        <is>
          <t>944eeab7ad05f36007e5983d04e907cef75b9e9ab949b020719dc993fe438aa2</t>
        </is>
      </c>
      <c r="K143" s="21" t="inlineStr">
        <is>
          <t>open</t>
        </is>
      </c>
      <c r="L143" s="22" t="inlineStr">
        <is>
          <t>4d5853fde0832915fcb4be122c99b9c3612040ec9c7c0f66062a6e3f61313248</t>
        </is>
      </c>
    </row>
    <row r="144">
      <c r="A144" s="4" t="inlineStr">
        <is>
          <t>SOL → BSC</t>
        </is>
      </c>
      <c r="B144" s="4" t="n">
        <v>2</v>
      </c>
      <c r="C144" s="4" t="inlineStr">
        <is>
          <t>Relay</t>
        </is>
      </c>
      <c r="D144" s="4" t="inlineStr">
        <is>
          <t>2026-09-23T09:43:17.021Z</t>
        </is>
      </c>
      <c r="E144" s="4" t="inlineStr">
        <is>
          <t>2026-09-23T09:43:18.574Z</t>
        </is>
      </c>
      <c r="F144" s="4" t="inlineStr">
        <is>
          <t>2026-09-23T09:43:20.830Z</t>
        </is>
      </c>
      <c r="G144" s="20" t="n">
        <v>0.778</v>
      </c>
      <c r="H144" s="18" t="n">
        <v>99.64806</v>
      </c>
      <c r="I144" s="21" t="inlineStr">
        <is>
          <t>open</t>
        </is>
      </c>
      <c r="J144" s="22" t="inlineStr">
        <is>
          <t>7fa3b7c527b4de1c1cc6d739b9f7b7bfb410a1e278ba1c5eadb87a08a6987945</t>
        </is>
      </c>
      <c r="K144" s="21" t="inlineStr">
        <is>
          <t>open</t>
        </is>
      </c>
      <c r="L144" s="22" t="inlineStr">
        <is>
          <t>e44c084d10f133d6ef429f00aaa5d5be6c8a291ff5467da8892521ab040114ff</t>
        </is>
      </c>
    </row>
    <row r="145">
      <c r="A145" s="4" t="inlineStr">
        <is>
          <t>SOL → BSC</t>
        </is>
      </c>
      <c r="B145" s="4" t="n">
        <v>2</v>
      </c>
      <c r="C145" s="4" t="inlineStr">
        <is>
          <t>deBridge</t>
        </is>
      </c>
      <c r="D145" s="4" t="inlineStr">
        <is>
          <t>2026-09-23T08:53:20.473Z</t>
        </is>
      </c>
      <c r="E145" s="4" t="inlineStr">
        <is>
          <t>2026-09-23T08:53:21.914Z</t>
        </is>
      </c>
      <c r="F145" s="4" t="inlineStr">
        <is>
          <t>2026-09-23T08:53:24.312Z</t>
        </is>
      </c>
      <c r="G145" s="20" t="n">
        <v>0.555</v>
      </c>
      <c r="H145" s="18" t="n">
        <v>99.92001500000001</v>
      </c>
      <c r="I145" s="21" t="inlineStr">
        <is>
          <t>open</t>
        </is>
      </c>
      <c r="J145" s="22" t="inlineStr">
        <is>
          <t>981d70ea74212d6cff2009d6e074597ace4aef575bd1bc162d7d2fccec13dedd</t>
        </is>
      </c>
      <c r="K145" s="21" t="inlineStr">
        <is>
          <t>open</t>
        </is>
      </c>
      <c r="L145" s="22" t="inlineStr">
        <is>
          <t>c64776c8cc141939184a6b58354e9ae935c7c70b03685fead5ce5238f9d12771</t>
        </is>
      </c>
    </row>
    <row r="146">
      <c r="A146" s="4" t="inlineStr">
        <is>
          <t>SOL → BSC</t>
        </is>
      </c>
      <c r="B146" s="4" t="n">
        <v>2</v>
      </c>
      <c r="C146" s="4" t="inlineStr">
        <is>
          <t>deBridge</t>
        </is>
      </c>
      <c r="D146" s="4" t="inlineStr">
        <is>
          <t>2026-09-23T09:43:17.021Z</t>
        </is>
      </c>
      <c r="E146" s="4" t="inlineStr">
        <is>
          <t>2026-09-23T09:43:18.581Z</t>
        </is>
      </c>
      <c r="F146" s="4" t="inlineStr">
        <is>
          <t>2026-09-23T09:43:20.830Z</t>
        </is>
      </c>
      <c r="G146" s="20" t="n">
        <v>0.785</v>
      </c>
      <c r="H146" s="18" t="n">
        <v>99.92001500000001</v>
      </c>
      <c r="I146" s="21" t="inlineStr">
        <is>
          <t>open</t>
        </is>
      </c>
      <c r="J146" s="22" t="inlineStr">
        <is>
          <t>2a9268ccec444e62f6e1089de6d825f243de147590bd06091168b51e2af5d288</t>
        </is>
      </c>
      <c r="K146" s="21" t="inlineStr">
        <is>
          <t>open</t>
        </is>
      </c>
      <c r="L146" s="22" t="inlineStr">
        <is>
          <t>b7cbc1b8241914c8f15f19d239082c99600ede3e45c47fa0113658d2f69e6ee9</t>
        </is>
      </c>
    </row>
    <row r="147">
      <c r="A147" s="4" t="inlineStr">
        <is>
          <t>SOL → BSC</t>
        </is>
      </c>
      <c r="B147" s="4" t="n">
        <v>2</v>
      </c>
      <c r="C147" s="4" t="inlineStr">
        <is>
          <t>LI.FI (Jumper)</t>
        </is>
      </c>
      <c r="D147" s="4" t="inlineStr">
        <is>
          <t>2026-09-23T08:53:20.473Z</t>
        </is>
      </c>
      <c r="E147" s="4" t="inlineStr">
        <is>
          <t>2026-09-23T08:53:23.016Z</t>
        </is>
      </c>
      <c r="F147" s="4" t="inlineStr">
        <is>
          <t>2026-09-23T08:53:25.199Z</t>
        </is>
      </c>
      <c r="G147" s="20" t="n">
        <v>1.657</v>
      </c>
      <c r="H147" s="18" t="n">
        <v>99.930539</v>
      </c>
      <c r="I147" s="21" t="inlineStr">
        <is>
          <t>open</t>
        </is>
      </c>
      <c r="J147" s="22" t="inlineStr">
        <is>
          <t>59272f637e38652112751146b7ce4b511e2f4513cfc2c8a8bd0b05b448aaad7b</t>
        </is>
      </c>
      <c r="K147" s="21" t="inlineStr">
        <is>
          <t>open</t>
        </is>
      </c>
      <c r="L147" s="22" t="inlineStr">
        <is>
          <t>64bd8070009d969a72b162df7722ab051360d6fcb7092e963d24d742e1258587</t>
        </is>
      </c>
    </row>
    <row r="148">
      <c r="A148" s="4" t="inlineStr">
        <is>
          <t>SOL → BSC</t>
        </is>
      </c>
      <c r="B148" s="4" t="n">
        <v>2</v>
      </c>
      <c r="C148" s="4" t="inlineStr">
        <is>
          <t>LI.FI (Jumper)</t>
        </is>
      </c>
      <c r="D148" s="4" t="inlineStr">
        <is>
          <t>2026-09-23T09:43:17.021Z</t>
        </is>
      </c>
      <c r="E148" s="4" t="inlineStr">
        <is>
          <t>2026-09-23T09:43:18.612Z</t>
        </is>
      </c>
      <c r="F148" s="4" t="inlineStr">
        <is>
          <t>2026-09-23T09:43:20.822Z</t>
        </is>
      </c>
      <c r="G148" s="20" t="n">
        <v>0.8159999999999999</v>
      </c>
      <c r="H148" s="18" t="n">
        <v>99.930665</v>
      </c>
      <c r="I148" s="21" t="inlineStr">
        <is>
          <t>open</t>
        </is>
      </c>
      <c r="J148" s="22" t="inlineStr">
        <is>
          <t>f24d9c40f3063433b87e35a18a8b46642d111a2119f08b9e9cdcbbc4e7122b6c</t>
        </is>
      </c>
      <c r="K148" s="21" t="inlineStr">
        <is>
          <t>open</t>
        </is>
      </c>
      <c r="L148" s="22" t="inlineStr">
        <is>
          <t>796e9877cd4736e862f99ffc47c66f37cd0204074451a229ccece2da236e3031</t>
        </is>
      </c>
    </row>
    <row r="149">
      <c r="A149" s="4" t="inlineStr">
        <is>
          <t>SOL → BSC</t>
        </is>
      </c>
      <c r="B149" s="4" t="n">
        <v>2</v>
      </c>
      <c r="C149" s="4" t="inlineStr">
        <is>
          <t>Across</t>
        </is>
      </c>
      <c r="D149" s="4" t="inlineStr">
        <is>
          <t>2026-09-23T08:53:20.473Z</t>
        </is>
      </c>
      <c r="E149" s="4" t="inlineStr">
        <is>
          <t>2026-09-23T08:53:21.664Z</t>
        </is>
      </c>
      <c r="F149" s="4" t="inlineStr">
        <is>
          <t>2026-09-23T08:53:23.787Z</t>
        </is>
      </c>
      <c r="G149" s="20" t="n">
        <v>0.305</v>
      </c>
      <c r="H149" s="18" t="n">
        <v>99.982057</v>
      </c>
      <c r="I149" s="21" t="inlineStr">
        <is>
          <t>open</t>
        </is>
      </c>
      <c r="J149" s="22" t="inlineStr">
        <is>
          <t>5eaa1bc43a01218351273bc427b9848e036eefc168662fdfa82f6732f5916290</t>
        </is>
      </c>
      <c r="K149" s="21" t="inlineStr">
        <is>
          <t>open</t>
        </is>
      </c>
      <c r="L149" s="22" t="inlineStr">
        <is>
          <t>ccca893d5edb9b70e526fd07a1b44c8d5657ac9d1802197ff9c49a2af55d1776</t>
        </is>
      </c>
    </row>
    <row r="150">
      <c r="A150" s="4" t="inlineStr">
        <is>
          <t>SOL → BSC</t>
        </is>
      </c>
      <c r="B150" s="4" t="n">
        <v>2</v>
      </c>
      <c r="C150" s="4" t="inlineStr">
        <is>
          <t>Mayan</t>
        </is>
      </c>
      <c r="D150" s="4" t="inlineStr">
        <is>
          <t>2026-09-23T08:53:20.472Z</t>
        </is>
      </c>
      <c r="E150" s="4" t="inlineStr">
        <is>
          <t>2026-09-23T08:53:21.609Z</t>
        </is>
      </c>
      <c r="F150" s="4" t="inlineStr">
        <is>
          <t>2026-09-23T08:53:23.733Z</t>
        </is>
      </c>
      <c r="G150" s="20" t="n">
        <v>0.25</v>
      </c>
      <c r="H150" s="18" t="n">
        <v>99.93000000000001</v>
      </c>
      <c r="I150" s="21" t="inlineStr">
        <is>
          <t>open</t>
        </is>
      </c>
      <c r="J150" s="22" t="inlineStr">
        <is>
          <t>294edcaff22e201ef5d031e85821d333fd6f8c9e17fc2bbc8645c89763dfbf40</t>
        </is>
      </c>
      <c r="K150" s="21" t="inlineStr">
        <is>
          <t>open</t>
        </is>
      </c>
      <c r="L150" s="22" t="inlineStr">
        <is>
          <t>14ba9e1739ded69e0c1d114d21b8a627025d9f638627a5972ab6267e00150773</t>
        </is>
      </c>
    </row>
    <row r="151">
      <c r="A151" s="4" t="inlineStr">
        <is>
          <t>SOL → BSC</t>
        </is>
      </c>
      <c r="B151" s="4" t="n">
        <v>2</v>
      </c>
      <c r="C151" s="4" t="inlineStr">
        <is>
          <t>Mayan</t>
        </is>
      </c>
      <c r="D151" s="4" t="inlineStr">
        <is>
          <t>2026-09-23T09:43:17.020Z</t>
        </is>
      </c>
      <c r="E151" s="4" t="inlineStr">
        <is>
          <t>2026-09-23T09:43:18.170Z</t>
        </is>
      </c>
      <c r="F151" s="4" t="inlineStr">
        <is>
          <t>2026-09-23T09:43:20.295Z</t>
        </is>
      </c>
      <c r="G151" s="20" t="n">
        <v>0.374</v>
      </c>
      <c r="H151" s="18" t="n">
        <v>99.93000000000001</v>
      </c>
      <c r="I151" s="21" t="inlineStr">
        <is>
          <t>open</t>
        </is>
      </c>
      <c r="J151" s="22" t="inlineStr">
        <is>
          <t>294edcaff22e201ef5d031e85821d333fd6f8c9e17fc2bbc8645c89763dfbf40</t>
        </is>
      </c>
      <c r="K151" s="21" t="inlineStr">
        <is>
          <t>open</t>
        </is>
      </c>
      <c r="L151" s="22" t="inlineStr">
        <is>
          <t>14ba9e1739ded69e0c1d114d21b8a627025d9f638627a5972ab6267e00150773</t>
        </is>
      </c>
    </row>
    <row r="152">
      <c r="A152" s="4" t="inlineStr">
        <is>
          <t>SOL → BSC</t>
        </is>
      </c>
      <c r="B152" s="4" t="n">
        <v>2</v>
      </c>
      <c r="C152" s="4" t="inlineStr">
        <is>
          <t>Husher</t>
        </is>
      </c>
      <c r="D152" s="4" t="inlineStr">
        <is>
          <t>2026-09-23T09:43:17.022Z</t>
        </is>
      </c>
      <c r="E152" s="4" t="inlineStr">
        <is>
          <t>2026-09-23T09:43:18.302Z</t>
        </is>
      </c>
      <c r="F152" s="4" t="inlineStr">
        <is>
          <t>2026-09-23T09:43:20.433Z</t>
        </is>
      </c>
      <c r="G152" s="20" t="n">
        <v>0.506</v>
      </c>
      <c r="H152" s="18" t="n">
        <v>99.65000000000001</v>
      </c>
      <c r="I152" s="21" t="inlineStr">
        <is>
          <t>open</t>
        </is>
      </c>
      <c r="J152" s="22" t="inlineStr">
        <is>
          <t>3ec004f557f68e4c2fc9d1c4121712afdccb4588313ea7f86ee8376a3e8e99dd</t>
        </is>
      </c>
      <c r="K152" s="21" t="inlineStr">
        <is>
          <t>open</t>
        </is>
      </c>
      <c r="L152" s="22" t="inlineStr">
        <is>
          <t>35b1e9d3da0195c516b96f205152b98f5ae40e3c039bf2c2fd5de30e048d5f7c</t>
        </is>
      </c>
    </row>
    <row r="153">
      <c r="A153" s="4" t="inlineStr">
        <is>
          <t>SOL → BSC</t>
        </is>
      </c>
      <c r="B153" s="4" t="n">
        <v>2</v>
      </c>
      <c r="C153" s="4" t="inlineStr">
        <is>
          <t>Layerswap</t>
        </is>
      </c>
      <c r="D153" s="4" t="inlineStr">
        <is>
          <t>2026-09-23T09:43:17.020Z</t>
        </is>
      </c>
      <c r="E153" s="4" t="inlineStr">
        <is>
          <t>2026-09-23T09:43:18.986Z</t>
        </is>
      </c>
      <c r="F153" s="4" t="inlineStr">
        <is>
          <t>2026-09-23T09:43:21.143Z</t>
        </is>
      </c>
      <c r="G153" s="20" t="n">
        <v>1.19</v>
      </c>
      <c r="H153" s="18" t="n">
        <v>99.863078</v>
      </c>
      <c r="I153" s="21" t="inlineStr">
        <is>
          <t>open</t>
        </is>
      </c>
      <c r="J153" s="22" t="inlineStr">
        <is>
          <t>7a1d59af7b3a05474445b84d6e06f11b06bf7f50679f485ff122b85982eb80d9</t>
        </is>
      </c>
      <c r="K153" s="21" t="inlineStr">
        <is>
          <t>open</t>
        </is>
      </c>
      <c r="L153" s="22" t="inlineStr">
        <is>
          <t>1f97671f77c3754828d6692b7b6197daab042abcc5abffd58f4d88a1878bdaf1</t>
        </is>
      </c>
    </row>
    <row r="154">
      <c r="A154" s="4" t="inlineStr">
        <is>
          <t>SOL → BSC</t>
        </is>
      </c>
      <c r="B154" s="4" t="n">
        <v>2</v>
      </c>
      <c r="C154" s="4" t="inlineStr">
        <is>
          <t>Meson</t>
        </is>
      </c>
      <c r="D154" s="4" t="inlineStr">
        <is>
          <t>2026-09-23T09:43:17.021Z</t>
        </is>
      </c>
      <c r="E154" s="4" t="inlineStr">
        <is>
          <t>2026-09-23T09:43:17.313Z</t>
        </is>
      </c>
      <c r="F154" s="4" t="inlineStr">
        <is>
          <t>2026-09-23T09:43:19.448Z</t>
        </is>
      </c>
      <c r="G154" s="20" t="n">
        <v>0.483</v>
      </c>
      <c r="H154" s="18" t="n">
        <v>99.88</v>
      </c>
      <c r="I154" s="21" t="inlineStr">
        <is>
          <t>open</t>
        </is>
      </c>
      <c r="J154" s="22" t="inlineStr">
        <is>
          <t>2d479397d6044efd6fbab19e25b0022342b075c7694603002b6920af77eb5244</t>
        </is>
      </c>
      <c r="K154" s="21" t="inlineStr">
        <is>
          <t>open</t>
        </is>
      </c>
      <c r="L154" s="22" t="inlineStr">
        <is>
          <t>3d7d704ae25bde134dd5039f33a41b62bbfddd4f40cebeff35b48ebed0dad056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SimpleSwap</t>
        </is>
      </c>
      <c r="D155" s="4" t="inlineStr">
        <is>
          <t>2026-09-23T09:43:17.022Z</t>
        </is>
      </c>
      <c r="E155" s="4" t="inlineStr">
        <is>
          <t>2026-09-23T09:43:19.477Z</t>
        </is>
      </c>
      <c r="F155" s="4" t="inlineStr">
        <is>
          <t>2026-09-23T09:43:21.771Z</t>
        </is>
      </c>
      <c r="G155" s="20" t="n">
        <v>1.681</v>
      </c>
      <c r="H155" s="18" t="n">
        <v>98.13889500000001</v>
      </c>
      <c r="I155" s="21" t="inlineStr">
        <is>
          <t>open</t>
        </is>
      </c>
      <c r="J155" s="22" t="inlineStr">
        <is>
          <t>63ea1b5c5d417c4f33403a4cd4da6e8908007ae01395b51b0f0653b6c74f831f</t>
        </is>
      </c>
      <c r="K155" s="21" t="inlineStr">
        <is>
          <t>open</t>
        </is>
      </c>
      <c r="L155" s="22" t="inlineStr">
        <is>
          <t>dfa243f9c7817699450e1a45bb7a235863f8efe2d819aaf8d23a07cbd4acb5e2</t>
        </is>
      </c>
    </row>
    <row r="156">
      <c r="A156" s="4" t="inlineStr">
        <is>
          <t>SOL → BSC</t>
        </is>
      </c>
      <c r="B156" s="4" t="n">
        <v>3</v>
      </c>
      <c r="C156" s="4" t="inlineStr">
        <is>
          <t>Bridg</t>
        </is>
      </c>
      <c r="D156" s="4" t="inlineStr">
        <is>
          <t>2026-09-23T08:56:14.455Z</t>
        </is>
      </c>
      <c r="E156" s="4" t="inlineStr">
        <is>
          <t>2026-09-23T08:56:15.336Z</t>
        </is>
      </c>
      <c r="F156" s="4" t="inlineStr">
        <is>
          <t>2026-09-23T08:56:18.677Z</t>
        </is>
      </c>
      <c r="G156" s="20" t="n"/>
      <c r="H156" s="18" t="n">
        <v>99.87003900000001</v>
      </c>
      <c r="I156" s="21" t="inlineStr">
        <is>
          <t>open</t>
        </is>
      </c>
      <c r="J156" s="22" t="inlineStr">
        <is>
          <t>a8525a76176ff9d869b8db76eb61e47b76d591394e01b9fb192f7a1dc4c7022a</t>
        </is>
      </c>
      <c r="K156" s="21" t="inlineStr">
        <is>
          <t>open</t>
        </is>
      </c>
      <c r="L156" s="22" t="inlineStr">
        <is>
          <t>a17faf87b1f3e6258157cc503fbeb2928ac89667c147228f9b20b3f3b2c7a51c</t>
        </is>
      </c>
    </row>
    <row r="157">
      <c r="A157" s="4" t="inlineStr">
        <is>
          <t>SOL → BSC</t>
        </is>
      </c>
      <c r="B157" s="4" t="n">
        <v>3</v>
      </c>
      <c r="C157" s="4" t="inlineStr">
        <is>
          <t>Bridg</t>
        </is>
      </c>
      <c r="D157" s="4" t="inlineStr">
        <is>
          <t>2026-09-23T09:47:33.489Z</t>
        </is>
      </c>
      <c r="E157" s="4" t="inlineStr">
        <is>
          <t>2026-09-23T09:47:34.465Z</t>
        </is>
      </c>
      <c r="F157" s="4" t="inlineStr">
        <is>
          <t>2026-09-23T09:47:37.740Z</t>
        </is>
      </c>
      <c r="G157" s="20" t="n"/>
      <c r="H157" s="18" t="n">
        <v>99.82007900000001</v>
      </c>
      <c r="I157" s="21" t="inlineStr">
        <is>
          <t>open</t>
        </is>
      </c>
      <c r="J157" s="22" t="inlineStr">
        <is>
          <t>2f075fe4591566729b8ae4fa14c342e5c9deda9608011a5e7fe072632cb51a17</t>
        </is>
      </c>
      <c r="K157" s="21" t="inlineStr">
        <is>
          <t>open</t>
        </is>
      </c>
      <c r="L157" s="22" t="inlineStr">
        <is>
          <t>38a38334894ef34cd9cce630c3cfb5199829e895e3d221cb2b5414d5c47f916b</t>
        </is>
      </c>
    </row>
    <row r="158">
      <c r="A158" s="4" t="inlineStr">
        <is>
          <t>SOL → BSC</t>
        </is>
      </c>
      <c r="B158" s="4" t="n">
        <v>3</v>
      </c>
      <c r="C158" s="4" t="inlineStr">
        <is>
          <t>Relay</t>
        </is>
      </c>
      <c r="D158" s="4" t="inlineStr">
        <is>
          <t>2026-09-23T08:56:14.456Z</t>
        </is>
      </c>
      <c r="E158" s="4" t="inlineStr">
        <is>
          <t>2026-09-23T08:56:15.895Z</t>
        </is>
      </c>
      <c r="F158" s="4" t="inlineStr">
        <is>
          <t>2026-09-23T08:56:18.070Z</t>
        </is>
      </c>
      <c r="G158" s="20" t="n">
        <v>0.5590000000000001</v>
      </c>
      <c r="H158" s="18" t="n">
        <v>99.632586</v>
      </c>
      <c r="I158" s="21" t="inlineStr">
        <is>
          <t>open</t>
        </is>
      </c>
      <c r="J158" s="22" t="inlineStr">
        <is>
          <t>e4dce019ac5f518c72f5181711769ce47df60309d89baaafc514eb3d448de3a8</t>
        </is>
      </c>
      <c r="K158" s="21" t="inlineStr">
        <is>
          <t>open</t>
        </is>
      </c>
      <c r="L158" s="22" t="inlineStr">
        <is>
          <t>904131881000a86a3124d02fb18f02f84a0ee6bcb4c8deb9f71c8963f5756ac5</t>
        </is>
      </c>
    </row>
    <row r="159">
      <c r="A159" s="4" t="inlineStr">
        <is>
          <t>SOL → BSC</t>
        </is>
      </c>
      <c r="B159" s="4" t="n">
        <v>3</v>
      </c>
      <c r="C159" s="4" t="inlineStr">
        <is>
          <t>Relay</t>
        </is>
      </c>
      <c r="D159" s="4" t="inlineStr">
        <is>
          <t>2026-09-23T09:47:33.489Z</t>
        </is>
      </c>
      <c r="E159" s="4" t="inlineStr">
        <is>
          <t>2026-09-23T09:47:35.533Z</t>
        </is>
      </c>
      <c r="F159" s="4" t="inlineStr">
        <is>
          <t>2026-09-23T09:47:37.737Z</t>
        </is>
      </c>
      <c r="G159" s="20" t="n">
        <v>1.068</v>
      </c>
      <c r="H159" s="18" t="n">
        <v>99.644547</v>
      </c>
      <c r="I159" s="21" t="inlineStr">
        <is>
          <t>open</t>
        </is>
      </c>
      <c r="J159" s="22" t="inlineStr">
        <is>
          <t>587ed93575ba037309abe192986e937fde979fd61864dd37678a372c79c51636</t>
        </is>
      </c>
      <c r="K159" s="21" t="inlineStr">
        <is>
          <t>open</t>
        </is>
      </c>
      <c r="L159" s="22" t="inlineStr">
        <is>
          <t>224c289f4d67c5dbbaf8b07b7ed47edb50019fdfffcb41d82c07d06ef9e873fd</t>
        </is>
      </c>
    </row>
    <row r="160">
      <c r="A160" s="4" t="inlineStr">
        <is>
          <t>SOL → BSC</t>
        </is>
      </c>
      <c r="B160" s="4" t="n">
        <v>3</v>
      </c>
      <c r="C160" s="4" t="inlineStr">
        <is>
          <t>deBridge</t>
        </is>
      </c>
      <c r="D160" s="4" t="inlineStr">
        <is>
          <t>2026-09-23T08:56:14.456Z</t>
        </is>
      </c>
      <c r="E160" s="4" t="inlineStr">
        <is>
          <t>2026-09-23T08:56:16.907Z</t>
        </is>
      </c>
      <c r="F160" s="4" t="inlineStr">
        <is>
          <t>2026-09-23T08:56:18.983Z</t>
        </is>
      </c>
      <c r="G160" s="20" t="n">
        <v>1.571</v>
      </c>
      <c r="H160" s="18" t="n">
        <v>99.880031</v>
      </c>
      <c r="I160" s="21" t="inlineStr">
        <is>
          <t>open</t>
        </is>
      </c>
      <c r="J160" s="22" t="inlineStr">
        <is>
          <t>ccd92e744e8be4d7acc26670e32cd6dde31cb692095a4c1d380bec6d27af79f3</t>
        </is>
      </c>
      <c r="K160" s="21" t="inlineStr">
        <is>
          <t>open</t>
        </is>
      </c>
      <c r="L160" s="22" t="inlineStr">
        <is>
          <t>f5ba3abf625d81fc00b746df22d3d93828ae89ee6b843bc3144920b4786e4f18</t>
        </is>
      </c>
    </row>
    <row r="161">
      <c r="A161" s="4" t="inlineStr">
        <is>
          <t>SOL → BSC</t>
        </is>
      </c>
      <c r="B161" s="4" t="n">
        <v>3</v>
      </c>
      <c r="C161" s="4" t="inlineStr">
        <is>
          <t>deBridge</t>
        </is>
      </c>
      <c r="D161" s="4" t="inlineStr">
        <is>
          <t>2026-09-23T09:47:33.489Z</t>
        </is>
      </c>
      <c r="E161" s="4" t="inlineStr">
        <is>
          <t>2026-09-23T09:47:35.534Z</t>
        </is>
      </c>
      <c r="F161" s="4" t="inlineStr">
        <is>
          <t>2026-09-23T09:47:37.738Z</t>
        </is>
      </c>
      <c r="G161" s="20" t="n">
        <v>1.069</v>
      </c>
      <c r="H161" s="18" t="n">
        <v>99.880032</v>
      </c>
      <c r="I161" s="21" t="inlineStr">
        <is>
          <t>open</t>
        </is>
      </c>
      <c r="J161" s="22" t="inlineStr">
        <is>
          <t>8bdcddbadcf63b1e95a2cb1ea9f7a641adaf3bf58224c05df052f8129cfbbfe3</t>
        </is>
      </c>
      <c r="K161" s="21" t="inlineStr">
        <is>
          <t>open</t>
        </is>
      </c>
      <c r="L161" s="22" t="inlineStr">
        <is>
          <t>84efaf46c84b9e0fdc4710c00388af151551a9a0b5d951fe16069c669ad870ac</t>
        </is>
      </c>
    </row>
    <row r="162">
      <c r="A162" s="4" t="inlineStr">
        <is>
          <t>SOL → BSC</t>
        </is>
      </c>
      <c r="B162" s="4" t="n">
        <v>3</v>
      </c>
      <c r="C162" s="4" t="inlineStr">
        <is>
          <t>LI.FI (Jumper)</t>
        </is>
      </c>
      <c r="D162" s="4" t="inlineStr">
        <is>
          <t>2026-09-23T08:56:14.456Z</t>
        </is>
      </c>
      <c r="E162" s="4" t="inlineStr">
        <is>
          <t>2026-09-23T08:56:16.926Z</t>
        </is>
      </c>
      <c r="F162" s="4" t="inlineStr">
        <is>
          <t>2026-09-23T08:56:18.955Z</t>
        </is>
      </c>
      <c r="G162" s="20" t="n">
        <v>1.59</v>
      </c>
      <c r="H162" s="18" t="n">
        <v>99.930671</v>
      </c>
      <c r="I162" s="21" t="inlineStr">
        <is>
          <t>open</t>
        </is>
      </c>
      <c r="J162" s="22" t="inlineStr">
        <is>
          <t>b9469fe70192ac217bd0fa316bd998169a14f9ae7b4a2eae410565e2b95f0fe8</t>
        </is>
      </c>
      <c r="K162" s="21" t="inlineStr">
        <is>
          <t>open</t>
        </is>
      </c>
      <c r="L162" s="22" t="inlineStr">
        <is>
          <t>7b87c8d751da469a61a12554786f33994dfbcfcb31c21c5db12408316596443a</t>
        </is>
      </c>
    </row>
    <row r="163">
      <c r="A163" s="4" t="inlineStr">
        <is>
          <t>SOL → BSC</t>
        </is>
      </c>
      <c r="B163" s="4" t="n">
        <v>3</v>
      </c>
      <c r="C163" s="4" t="inlineStr">
        <is>
          <t>LI.FI (Jumper)</t>
        </is>
      </c>
      <c r="D163" s="4" t="inlineStr">
        <is>
          <t>2026-09-23T09:47:33.490Z</t>
        </is>
      </c>
      <c r="E163" s="4" t="inlineStr">
        <is>
          <t>2026-09-23T09:47:35.094Z</t>
        </is>
      </c>
      <c r="F163" s="4" t="inlineStr">
        <is>
          <t>2026-09-23T09:47:37.714Z</t>
        </is>
      </c>
      <c r="G163" s="20" t="n">
        <v>0.629</v>
      </c>
      <c r="H163" s="18" t="n">
        <v>99.930665</v>
      </c>
      <c r="I163" s="21" t="inlineStr">
        <is>
          <t>open</t>
        </is>
      </c>
      <c r="J163" s="22" t="inlineStr">
        <is>
          <t>4f013e32564b8cd0adad74084adb71b9e457124d307a40d38fd1db4edd15b3c9</t>
        </is>
      </c>
      <c r="K163" s="21" t="inlineStr">
        <is>
          <t>open</t>
        </is>
      </c>
      <c r="L163" s="22" t="inlineStr">
        <is>
          <t>6e50b9ee23e02e48f5f22b65ec630f2d09f6d97a90acdbc30457cc1091c86534</t>
        </is>
      </c>
    </row>
    <row r="164">
      <c r="A164" s="4" t="inlineStr">
        <is>
          <t>SOL → BSC</t>
        </is>
      </c>
      <c r="B164" s="4" t="n">
        <v>3</v>
      </c>
      <c r="C164" s="4" t="inlineStr">
        <is>
          <t>Across</t>
        </is>
      </c>
      <c r="D164" s="4" t="inlineStr">
        <is>
          <t>2026-09-23T08:56:14.455Z</t>
        </is>
      </c>
      <c r="E164" s="4" t="inlineStr">
        <is>
          <t>2026-09-23T08:56:15.405Z</t>
        </is>
      </c>
      <c r="F164" s="4" t="inlineStr">
        <is>
          <t>2026-09-23T08:56:17.535Z</t>
        </is>
      </c>
      <c r="G164" s="20" t="n">
        <v>0.06900000000000001</v>
      </c>
      <c r="H164" s="18" t="n">
        <v>99.98213199999999</v>
      </c>
      <c r="I164" s="21" t="inlineStr">
        <is>
          <t>open</t>
        </is>
      </c>
      <c r="J164" s="22" t="inlineStr">
        <is>
          <t>2c9c27d4b181fe4cd7fcb9b0efe48306305c9e0b54538104e29d762a230e8210</t>
        </is>
      </c>
      <c r="K164" s="21" t="inlineStr">
        <is>
          <t>open</t>
        </is>
      </c>
      <c r="L164" s="22" t="inlineStr">
        <is>
          <t>fcb078d1afa0847af448c00793f59a26d074f374073535850f11da7b37403db3</t>
        </is>
      </c>
    </row>
    <row r="165">
      <c r="A165" s="4" t="inlineStr">
        <is>
          <t>SOL → BSC</t>
        </is>
      </c>
      <c r="B165" s="4" t="n">
        <v>3</v>
      </c>
      <c r="C165" s="4" t="inlineStr">
        <is>
          <t>Across</t>
        </is>
      </c>
      <c r="D165" s="4" t="inlineStr">
        <is>
          <t>2026-09-23T09:47:33.489Z</t>
        </is>
      </c>
      <c r="E165" s="4" t="inlineStr">
        <is>
          <t>2026-09-23T09:47:34.790Z</t>
        </is>
      </c>
      <c r="F165" s="4" t="inlineStr">
        <is>
          <t>2026-09-23T09:47:36.914Z</t>
        </is>
      </c>
      <c r="G165" s="20" t="n">
        <v>0.325</v>
      </c>
      <c r="H165" s="18" t="n">
        <v>99.982061</v>
      </c>
      <c r="I165" s="21" t="inlineStr">
        <is>
          <t>open</t>
        </is>
      </c>
      <c r="J165" s="22" t="inlineStr">
        <is>
          <t>b7caa8b5340ebcfc007a29b36a6b5cbd809e4c27d6ab3cdc8f48d1b2399f66ca</t>
        </is>
      </c>
      <c r="K165" s="21" t="inlineStr">
        <is>
          <t>open</t>
        </is>
      </c>
      <c r="L165" s="22" t="inlineStr">
        <is>
          <t>fd4cce6ce29195f5b3aaccfd662bd5ba38416b85f5c4199a9fed8c5affd17efa</t>
        </is>
      </c>
    </row>
    <row r="166">
      <c r="A166" s="4" t="inlineStr">
        <is>
          <t>SOL → BSC</t>
        </is>
      </c>
      <c r="B166" s="4" t="n">
        <v>3</v>
      </c>
      <c r="C166" s="4" t="inlineStr">
        <is>
          <t>Mayan</t>
        </is>
      </c>
      <c r="D166" s="4" t="inlineStr">
        <is>
          <t>2026-09-23T08:56:14.455Z</t>
        </is>
      </c>
      <c r="E166" s="4" t="inlineStr">
        <is>
          <t>2026-09-23T08:56:15.586Z</t>
        </is>
      </c>
      <c r="F166" s="4" t="inlineStr">
        <is>
          <t>2026-09-23T08:56:17.704Z</t>
        </is>
      </c>
      <c r="G166" s="20" t="n">
        <v>0.25</v>
      </c>
      <c r="H166" s="18" t="n">
        <v>99.93000000000001</v>
      </c>
      <c r="I166" s="21" t="inlineStr">
        <is>
          <t>open</t>
        </is>
      </c>
      <c r="J166" s="22" t="inlineStr">
        <is>
          <t>294edcaff22e201ef5d031e85821d333fd6f8c9e17fc2bbc8645c89763dfbf40</t>
        </is>
      </c>
      <c r="K166" s="21" t="inlineStr">
        <is>
          <t>open</t>
        </is>
      </c>
      <c r="L166" s="22" t="inlineStr">
        <is>
          <t>14ba9e1739ded69e0c1d114d21b8a627025d9f638627a5972ab6267e00150773</t>
        </is>
      </c>
    </row>
    <row r="167">
      <c r="A167" s="4" t="inlineStr">
        <is>
          <t>SOL → BSC</t>
        </is>
      </c>
      <c r="B167" s="4" t="n">
        <v>3</v>
      </c>
      <c r="C167" s="4" t="inlineStr">
        <is>
          <t>Mayan</t>
        </is>
      </c>
      <c r="D167" s="4" t="inlineStr">
        <is>
          <t>2026-09-23T09:47:33.488Z</t>
        </is>
      </c>
      <c r="E167" s="4" t="inlineStr">
        <is>
          <t>2026-09-23T09:47:34.672Z</t>
        </is>
      </c>
      <c r="F167" s="4" t="inlineStr">
        <is>
          <t>2026-09-23T09:47:36.800Z</t>
        </is>
      </c>
      <c r="G167" s="20" t="n">
        <v>0.207</v>
      </c>
      <c r="H167" s="18" t="n">
        <v>99.93000000000001</v>
      </c>
      <c r="I167" s="21" t="inlineStr">
        <is>
          <t>open</t>
        </is>
      </c>
      <c r="J167" s="22" t="inlineStr">
        <is>
          <t>294edcaff22e201ef5d031e85821d333fd6f8c9e17fc2bbc8645c89763dfbf40</t>
        </is>
      </c>
      <c r="K167" s="21" t="inlineStr">
        <is>
          <t>open</t>
        </is>
      </c>
      <c r="L167" s="22" t="inlineStr">
        <is>
          <t>14ba9e1739ded69e0c1d114d21b8a627025d9f638627a5972ab6267e00150773</t>
        </is>
      </c>
    </row>
    <row r="168">
      <c r="A168" s="4" t="inlineStr">
        <is>
          <t>SOL → BSC</t>
        </is>
      </c>
      <c r="B168" s="4" t="n">
        <v>3</v>
      </c>
      <c r="C168" s="4" t="inlineStr">
        <is>
          <t>Husher</t>
        </is>
      </c>
      <c r="D168" s="4" t="inlineStr">
        <is>
          <t>2026-09-23T09:47:33.491Z</t>
        </is>
      </c>
      <c r="E168" s="4" t="inlineStr">
        <is>
          <t>2026-09-23T09:47:34.780Z</t>
        </is>
      </c>
      <c r="F168" s="4" t="inlineStr">
        <is>
          <t>2026-09-23T09:47:36.916Z</t>
        </is>
      </c>
      <c r="G168" s="20" t="n">
        <v>0.315</v>
      </c>
      <c r="H168" s="18" t="n">
        <v>99.65000000000001</v>
      </c>
      <c r="I168" s="21" t="inlineStr">
        <is>
          <t>open</t>
        </is>
      </c>
      <c r="J168" s="22" t="inlineStr">
        <is>
          <t>f5a02717facabd0b76f7993331970e5447a54dc5abeb4a8720f77b13f1904119</t>
        </is>
      </c>
      <c r="K168" s="21" t="inlineStr">
        <is>
          <t>open</t>
        </is>
      </c>
      <c r="L168" s="22" t="inlineStr">
        <is>
          <t>97d9628128c763c8a0c7c0bf1dcdf3354ed5dd6760a07523a057af3e30c88e53</t>
        </is>
      </c>
    </row>
    <row r="169">
      <c r="A169" s="4" t="inlineStr">
        <is>
          <t>SOL → BSC</t>
        </is>
      </c>
      <c r="B169" s="4" t="n">
        <v>3</v>
      </c>
      <c r="C169" s="4" t="inlineStr">
        <is>
          <t>Layerswap</t>
        </is>
      </c>
      <c r="D169" s="4" t="inlineStr">
        <is>
          <t>2026-09-23T09:47:33.488Z</t>
        </is>
      </c>
      <c r="E169" s="4" t="inlineStr">
        <is>
          <t>2026-09-23T09:47:35.437Z</t>
        </is>
      </c>
      <c r="F169" s="4" t="inlineStr">
        <is>
          <t>2026-09-23T09:47:37.737Z</t>
        </is>
      </c>
      <c r="G169" s="20" t="n">
        <v>0.972</v>
      </c>
      <c r="H169" s="18" t="n">
        <v>99.86308200000001</v>
      </c>
      <c r="I169" s="21" t="inlineStr">
        <is>
          <t>open</t>
        </is>
      </c>
      <c r="J169" s="22" t="inlineStr">
        <is>
          <t>fcc5adbd3085008ff067b077fd7333af76fc72727af090c6eb278d714ffd35d0</t>
        </is>
      </c>
      <c r="K169" s="21" t="inlineStr">
        <is>
          <t>open</t>
        </is>
      </c>
      <c r="L169" s="22" t="inlineStr">
        <is>
          <t>a28b1ed684751fda8af280f6366d5b77a8d4541716453705f0d8dc3efccff6af</t>
        </is>
      </c>
    </row>
    <row r="170">
      <c r="A170" s="4" t="inlineStr">
        <is>
          <t>SOL → BSC</t>
        </is>
      </c>
      <c r="B170" s="4" t="n">
        <v>3</v>
      </c>
      <c r="C170" s="4" t="inlineStr">
        <is>
          <t>Meson</t>
        </is>
      </c>
      <c r="D170" s="4" t="inlineStr">
        <is>
          <t>2026-09-23T09:47:33.491Z</t>
        </is>
      </c>
      <c r="E170" s="4" t="inlineStr">
        <is>
          <t>2026-09-23T09:47:33.762Z</t>
        </is>
      </c>
      <c r="F170" s="4" t="inlineStr">
        <is>
          <t>2026-09-23T09:47:35.891Z</t>
        </is>
      </c>
      <c r="G170" s="20" t="n">
        <v>0.703</v>
      </c>
      <c r="H170" s="18" t="n">
        <v>99.88</v>
      </c>
      <c r="I170" s="21" t="inlineStr">
        <is>
          <t>open</t>
        </is>
      </c>
      <c r="J170" s="22" t="inlineStr">
        <is>
          <t>2d479397d6044efd6fbab19e25b0022342b075c7694603002b6920af77eb5244</t>
        </is>
      </c>
      <c r="K170" s="21" t="inlineStr">
        <is>
          <t>open</t>
        </is>
      </c>
      <c r="L170" s="22" t="inlineStr">
        <is>
          <t>6b66e3694a7c894a19195a3311bfe85a69aba0261543bfbc35679a46dfb5b188</t>
        </is>
      </c>
    </row>
    <row r="171">
      <c r="A171" s="4" t="inlineStr">
        <is>
          <t>SOL → BSC</t>
        </is>
      </c>
      <c r="B171" s="4" t="n">
        <v>3</v>
      </c>
      <c r="C171" s="4" t="inlineStr">
        <is>
          <t>SimpleSwap</t>
        </is>
      </c>
      <c r="D171" s="4" t="inlineStr">
        <is>
          <t>2026-09-23T09:47:33.490Z</t>
        </is>
      </c>
      <c r="E171" s="4" t="inlineStr">
        <is>
          <t>2026-09-23T09:47:36.256Z</t>
        </is>
      </c>
      <c r="F171" s="4" t="inlineStr">
        <is>
          <t>2026-09-23T09:47:38.432Z</t>
        </is>
      </c>
      <c r="G171" s="20" t="n">
        <v>1.791</v>
      </c>
      <c r="H171" s="18" t="n">
        <v>98.139</v>
      </c>
      <c r="I171" s="21" t="inlineStr">
        <is>
          <t>open</t>
        </is>
      </c>
      <c r="J171" s="22" t="inlineStr">
        <is>
          <t>0be835e3ab3535531aeef66d3efe86b255ebc5a735f0b2de1c33267c40b03b14</t>
        </is>
      </c>
      <c r="K171" s="21" t="inlineStr">
        <is>
          <t>open</t>
        </is>
      </c>
      <c r="L171" s="22" t="inlineStr">
        <is>
          <t>ca05e0de410b0d136a6cecb6849dc95dbade25827e9fa0d6cfd090a615c3f657</t>
        </is>
      </c>
    </row>
    <row r="172">
      <c r="A172" s="4" t="inlineStr">
        <is>
          <t>BSC → SOL</t>
        </is>
      </c>
      <c r="B172" s="4" t="n">
        <v>1</v>
      </c>
      <c r="C172" s="4" t="inlineStr">
        <is>
          <t>Bridg</t>
        </is>
      </c>
      <c r="D172" s="4" t="inlineStr">
        <is>
          <t>2026-09-23T08:50:48.664Z</t>
        </is>
      </c>
      <c r="E172" s="4" t="inlineStr">
        <is>
          <t>2026-09-23T08:50:49.540Z</t>
        </is>
      </c>
      <c r="F172" s="4" t="inlineStr">
        <is>
          <t>2026-09-23T08:50:52.898Z</t>
        </is>
      </c>
      <c r="G172" s="20" t="n"/>
      <c r="H172" s="18" t="n">
        <v>99.63180199999999</v>
      </c>
      <c r="I172" s="21" t="inlineStr">
        <is>
          <t>open</t>
        </is>
      </c>
      <c r="J172" s="22" t="inlineStr">
        <is>
          <t>dfb257afe2bab8e75c939a256c78b92815a9da88b8d7cf2deae97493a6e525bf</t>
        </is>
      </c>
      <c r="K172" s="21" t="inlineStr">
        <is>
          <t>open</t>
        </is>
      </c>
      <c r="L172" s="22" t="inlineStr">
        <is>
          <t>38ced3e94f2005bd25b4c3826bbb26fb7dce798e592e12a3f9fd287392d659f1</t>
        </is>
      </c>
    </row>
    <row r="173">
      <c r="A173" s="4" t="inlineStr">
        <is>
          <t>BSC → SOL</t>
        </is>
      </c>
      <c r="B173" s="4" t="n">
        <v>1</v>
      </c>
      <c r="C173" s="4" t="inlineStr">
        <is>
          <t>Bridg</t>
        </is>
      </c>
      <c r="D173" s="4" t="inlineStr">
        <is>
          <t>2026-09-23T08:58:36.963Z</t>
        </is>
      </c>
      <c r="E173" s="4" t="inlineStr">
        <is>
          <t>2026-09-23T08:58:38.114Z</t>
        </is>
      </c>
      <c r="F173" s="4" t="inlineStr">
        <is>
          <t>2026-09-23T08:58:41.788Z</t>
        </is>
      </c>
      <c r="G173" s="20" t="n"/>
      <c r="H173" s="18" t="n">
        <v>99.63003500000001</v>
      </c>
      <c r="I173" s="21" t="inlineStr">
        <is>
          <t>open</t>
        </is>
      </c>
      <c r="J173" s="22" t="inlineStr">
        <is>
          <t>f07f5ea61a378eec13aa63b9de354722879ce836afcc0913850f69b9ff105b50</t>
        </is>
      </c>
      <c r="K173" s="21" t="inlineStr">
        <is>
          <t>open</t>
        </is>
      </c>
      <c r="L173" s="22" t="inlineStr">
        <is>
          <t>8b3f63423390aabf81599a3b1710f482f1ee14ffeca93384041d95ce5180f9fb</t>
        </is>
      </c>
    </row>
    <row r="174">
      <c r="A174" s="4" t="inlineStr">
        <is>
          <t>BSC → SOL</t>
        </is>
      </c>
      <c r="B174" s="4" t="n">
        <v>1</v>
      </c>
      <c r="C174" s="4" t="inlineStr">
        <is>
          <t>Bridg</t>
        </is>
      </c>
      <c r="D174" s="4" t="inlineStr">
        <is>
          <t>2026-09-23T09:40:21.976Z</t>
        </is>
      </c>
      <c r="E174" s="4" t="inlineStr">
        <is>
          <t>2026-09-23T09:40:22.950Z</t>
        </is>
      </c>
      <c r="F174" s="4" t="inlineStr">
        <is>
          <t>2026-09-23T09:40:26.916Z</t>
        </is>
      </c>
      <c r="G174" s="20" t="n"/>
      <c r="H174" s="18" t="n">
        <v>99.62990499999999</v>
      </c>
      <c r="I174" s="21" t="inlineStr">
        <is>
          <t>open</t>
        </is>
      </c>
      <c r="J174" s="22" t="inlineStr">
        <is>
          <t>8571d21dd474917208b8cffdd807ebec3e081e56c02cf99f194c614e76e817a9</t>
        </is>
      </c>
      <c r="K174" s="21" t="inlineStr">
        <is>
          <t>open</t>
        </is>
      </c>
      <c r="L174" s="22" t="inlineStr">
        <is>
          <t>b79e3686ab03684df8b44a598f5838de84e446ea0ff4cb3ad905963e816a8a94</t>
        </is>
      </c>
    </row>
    <row r="175">
      <c r="A175" s="4" t="inlineStr">
        <is>
          <t>BSC → SOL</t>
        </is>
      </c>
      <c r="B175" s="4" t="n">
        <v>1</v>
      </c>
      <c r="C175" s="4" t="inlineStr">
        <is>
          <t>Relay</t>
        </is>
      </c>
      <c r="D175" s="4" t="inlineStr">
        <is>
          <t>2026-09-23T08:50:48.665Z</t>
        </is>
      </c>
      <c r="E175" s="4" t="inlineStr">
        <is>
          <t>2026-09-23T08:50:50.331Z</t>
        </is>
      </c>
      <c r="F175" s="4" t="inlineStr">
        <is>
          <t>2026-09-23T08:50:52.465Z</t>
        </is>
      </c>
      <c r="G175" s="20" t="n">
        <v>0.791</v>
      </c>
      <c r="H175" s="18" t="n">
        <v>99.885578</v>
      </c>
      <c r="I175" s="21" t="inlineStr">
        <is>
          <t>open</t>
        </is>
      </c>
      <c r="J175" s="22" t="inlineStr">
        <is>
          <t>c8e43046ab78ae1343c104aae200bbe72e7f012e6918017bdc78f54ad3cb7658</t>
        </is>
      </c>
      <c r="K175" s="21" t="inlineStr">
        <is>
          <t>open</t>
        </is>
      </c>
      <c r="L175" s="22" t="inlineStr">
        <is>
          <t>7b4e8952712544d0d6268dacf0ad354e48f01436d1ad9b2a1009ba01b69eb5e0</t>
        </is>
      </c>
    </row>
    <row r="176">
      <c r="A176" s="4" t="inlineStr">
        <is>
          <t>BSC → SOL</t>
        </is>
      </c>
      <c r="B176" s="4" t="n">
        <v>1</v>
      </c>
      <c r="C176" s="4" t="inlineStr">
        <is>
          <t>Relay</t>
        </is>
      </c>
      <c r="D176" s="4" t="inlineStr">
        <is>
          <t>2026-09-23T09:40:21.976Z</t>
        </is>
      </c>
      <c r="E176" s="4" t="inlineStr">
        <is>
          <t>2026-09-23T09:40:23.510Z</t>
        </is>
      </c>
      <c r="F176" s="4" t="inlineStr">
        <is>
          <t>2026-09-23T09:40:26.003Z</t>
        </is>
      </c>
      <c r="G176" s="20" t="n">
        <v>0.5600000000000001</v>
      </c>
      <c r="H176" s="18" t="n">
        <v>99.885572</v>
      </c>
      <c r="I176" s="21" t="inlineStr">
        <is>
          <t>open</t>
        </is>
      </c>
      <c r="J176" s="22" t="inlineStr">
        <is>
          <t>ca8b6cc2e309dc999c82d0a1312e04b5483e9b32bf8574aab7ace5531a4a3671</t>
        </is>
      </c>
      <c r="K176" s="21" t="inlineStr">
        <is>
          <t>open</t>
        </is>
      </c>
      <c r="L176" s="22" t="inlineStr">
        <is>
          <t>6cd0c9aa7aebf83d0426f3d333642d2d9ada6e78a95f89ba19e6ed60fc49c260</t>
        </is>
      </c>
    </row>
    <row r="177">
      <c r="A177" s="4" t="inlineStr">
        <is>
          <t>BSC → SOL</t>
        </is>
      </c>
      <c r="B177" s="4" t="n">
        <v>1</v>
      </c>
      <c r="C177" s="4" t="inlineStr">
        <is>
          <t>deBridge</t>
        </is>
      </c>
      <c r="D177" s="4" t="inlineStr">
        <is>
          <t>2026-09-23T08:50:48.665Z</t>
        </is>
      </c>
      <c r="E177" s="4" t="inlineStr">
        <is>
          <t>2026-09-23T08:50:50.121Z</t>
        </is>
      </c>
      <c r="F177" s="4" t="inlineStr">
        <is>
          <t>2026-09-23T08:50:52.259Z</t>
        </is>
      </c>
      <c r="G177" s="20" t="n">
        <v>0.581</v>
      </c>
      <c r="H177" s="18" t="n">
        <v>99.920017</v>
      </c>
      <c r="I177" s="21" t="inlineStr">
        <is>
          <t>open</t>
        </is>
      </c>
      <c r="J177" s="22" t="inlineStr">
        <is>
          <t>2a51359759fbed43853c9b0a11c67045390b3e0855c199f5510d50246755fc25</t>
        </is>
      </c>
      <c r="K177" s="21" t="inlineStr">
        <is>
          <t>open</t>
        </is>
      </c>
      <c r="L177" s="22" t="inlineStr">
        <is>
          <t>436a1711396054cd67282488c81052c54af149f7af81dde74001b061fe7a213a</t>
        </is>
      </c>
    </row>
    <row r="178">
      <c r="A178" s="4" t="inlineStr">
        <is>
          <t>BSC → SOL</t>
        </is>
      </c>
      <c r="B178" s="4" t="n">
        <v>1</v>
      </c>
      <c r="C178" s="4" t="inlineStr">
        <is>
          <t>deBridge</t>
        </is>
      </c>
      <c r="D178" s="4" t="inlineStr">
        <is>
          <t>2026-09-23T09:40:21.976Z</t>
        </is>
      </c>
      <c r="E178" s="4" t="inlineStr">
        <is>
          <t>2026-09-23T09:40:23.510Z</t>
        </is>
      </c>
      <c r="F178" s="4" t="inlineStr">
        <is>
          <t>2026-09-23T09:40:26.002Z</t>
        </is>
      </c>
      <c r="G178" s="20" t="n">
        <v>0.5600000000000001</v>
      </c>
      <c r="H178" s="18" t="n">
        <v>99.920017</v>
      </c>
      <c r="I178" s="21" t="inlineStr">
        <is>
          <t>open</t>
        </is>
      </c>
      <c r="J178" s="22" t="inlineStr">
        <is>
          <t>613dd4ff2cf26e21f7cef7bafaa5480ccb497fc1488325a4e37b5ff934046214</t>
        </is>
      </c>
      <c r="K178" s="21" t="inlineStr">
        <is>
          <t>open</t>
        </is>
      </c>
      <c r="L178" s="22" t="inlineStr">
        <is>
          <t>ddf3d1fddce2cb26770c4ede9c33d388a22680bbb08fd0cc56f6d144e01fd41f</t>
        </is>
      </c>
    </row>
    <row r="179">
      <c r="A179" s="4" t="inlineStr">
        <is>
          <t>BSC → SOL</t>
        </is>
      </c>
      <c r="B179" s="4" t="n">
        <v>1</v>
      </c>
      <c r="C179" s="4" t="inlineStr">
        <is>
          <t>LI.FI (Jumper)</t>
        </is>
      </c>
      <c r="D179" s="4" t="inlineStr">
        <is>
          <t>2026-09-23T08:50:48.665Z</t>
        </is>
      </c>
      <c r="E179" s="4" t="inlineStr">
        <is>
          <t>2026-09-23T08:50:51.161Z</t>
        </is>
      </c>
      <c r="F179" s="4" t="inlineStr">
        <is>
          <t>2026-09-23T08:50:53.336Z</t>
        </is>
      </c>
      <c r="G179" s="20" t="n">
        <v>1.621</v>
      </c>
      <c r="H179" s="18" t="n">
        <v>99.885578</v>
      </c>
      <c r="I179" s="21" t="inlineStr">
        <is>
          <t>open</t>
        </is>
      </c>
      <c r="J179" s="22" t="inlineStr">
        <is>
          <t>dd7583495f4752f4419c742679bf443aa1d6cf4e976efa8b324f07a675d3f316</t>
        </is>
      </c>
      <c r="K179" s="21" t="inlineStr">
        <is>
          <t>open</t>
        </is>
      </c>
      <c r="L179" s="22" t="inlineStr">
        <is>
          <t>4404529a4a10d62c43f0f4102988719f0b13cab278b3ee224bcde3c655e91bcc</t>
        </is>
      </c>
    </row>
    <row r="180">
      <c r="A180" s="4" t="inlineStr">
        <is>
          <t>BSC → SOL</t>
        </is>
      </c>
      <c r="B180" s="4" t="n">
        <v>1</v>
      </c>
      <c r="C180" s="4" t="inlineStr">
        <is>
          <t>LI.FI (Jumper)</t>
        </is>
      </c>
      <c r="D180" s="4" t="inlineStr">
        <is>
          <t>2026-09-23T09:40:21.977Z</t>
        </is>
      </c>
      <c r="E180" s="4" t="inlineStr">
        <is>
          <t>2026-09-23T09:40:23.814Z</t>
        </is>
      </c>
      <c r="F180" s="4" t="inlineStr">
        <is>
          <t>2026-09-23T09:40:25.963Z</t>
        </is>
      </c>
      <c r="G180" s="20" t="n">
        <v>0.864</v>
      </c>
      <c r="H180" s="18" t="n">
        <v>99.885572</v>
      </c>
      <c r="I180" s="21" t="inlineStr">
        <is>
          <t>open</t>
        </is>
      </c>
      <c r="J180" s="22" t="inlineStr">
        <is>
          <t>d8fc2deefe9e913f7a6760e6f742d8b0697a6ed2f02bffb4a6d524b575786eb4</t>
        </is>
      </c>
      <c r="K180" s="21" t="inlineStr">
        <is>
          <t>open</t>
        </is>
      </c>
      <c r="L180" s="22" t="inlineStr">
        <is>
          <t>cfc44f0f6524b0f1b3798c0b074a30598452fab891a96f57d0f6602cb4bc7c9b</t>
        </is>
      </c>
    </row>
    <row r="181">
      <c r="A181" s="4" t="inlineStr">
        <is>
          <t>BSC → SOL</t>
        </is>
      </c>
      <c r="B181" s="4" t="n">
        <v>1</v>
      </c>
      <c r="C181" s="4" t="inlineStr">
        <is>
          <t>Across</t>
        </is>
      </c>
      <c r="D181" s="4" t="inlineStr">
        <is>
          <t>2026-09-23T09:40:21.976Z</t>
        </is>
      </c>
      <c r="E181" s="4" t="inlineStr">
        <is>
          <t>2026-09-23T09:40:23.048Z</t>
        </is>
      </c>
      <c r="F181" s="4" t="inlineStr">
        <is>
          <t>2026-09-23T09:40:25.208Z</t>
        </is>
      </c>
      <c r="G181" s="20" t="n">
        <v>0.098</v>
      </c>
      <c r="H181" s="18" t="n">
        <v>99.982074</v>
      </c>
      <c r="I181" s="21" t="inlineStr">
        <is>
          <t>open</t>
        </is>
      </c>
      <c r="J181" s="22" t="inlineStr">
        <is>
          <t>9dceef9976f58250c559d6156aa5eb48770b10b2cc64f7416e955d5168c56141</t>
        </is>
      </c>
      <c r="K181" s="21" t="inlineStr">
        <is>
          <t>open</t>
        </is>
      </c>
      <c r="L181" s="22" t="inlineStr">
        <is>
          <t>09041cb25f09922b337236d481e6d872d0cdf90fecf98affed78c2d1d56809a5</t>
        </is>
      </c>
    </row>
    <row r="182">
      <c r="A182" s="4" t="inlineStr">
        <is>
          <t>BSC → SOL</t>
        </is>
      </c>
      <c r="B182" s="4" t="n">
        <v>1</v>
      </c>
      <c r="C182" s="4" t="inlineStr">
        <is>
          <t>Mayan</t>
        </is>
      </c>
      <c r="D182" s="4" t="inlineStr">
        <is>
          <t>2026-09-23T08:50:48.664Z</t>
        </is>
      </c>
      <c r="E182" s="4" t="inlineStr">
        <is>
          <t>2026-09-23T08:50:49.787Z</t>
        </is>
      </c>
      <c r="F182" s="4" t="inlineStr">
        <is>
          <t>2026-09-23T08:50:51.909Z</t>
        </is>
      </c>
      <c r="G182" s="20" t="n">
        <v>0.247</v>
      </c>
      <c r="H182" s="18" t="n">
        <v>99.681</v>
      </c>
      <c r="I182" s="21" t="inlineStr">
        <is>
          <t>open</t>
        </is>
      </c>
      <c r="J182" s="22" t="inlineStr">
        <is>
          <t>8b13f9dbbe71f1b6826ad3090a0ad64329687db361714ae475f3628e77b3989a</t>
        </is>
      </c>
      <c r="K182" s="21" t="inlineStr">
        <is>
          <t>open</t>
        </is>
      </c>
      <c r="L182" s="22" t="inlineStr">
        <is>
          <t>58aa8a1e97f7df457ed058d75e43ca14e3fa92d5f46fe9f7ee8b285cdaa9d458</t>
        </is>
      </c>
    </row>
    <row r="183">
      <c r="A183" s="4" t="inlineStr">
        <is>
          <t>BSC → SOL</t>
        </is>
      </c>
      <c r="B183" s="4" t="n">
        <v>1</v>
      </c>
      <c r="C183" s="4" t="inlineStr">
        <is>
          <t>Mayan</t>
        </is>
      </c>
      <c r="D183" s="4" t="inlineStr">
        <is>
          <t>2026-09-23T09:40:21.975Z</t>
        </is>
      </c>
      <c r="E183" s="4" t="inlineStr">
        <is>
          <t>2026-09-23T09:40:23.195Z</t>
        </is>
      </c>
      <c r="F183" s="4" t="inlineStr">
        <is>
          <t>2026-09-23T09:40:25.320Z</t>
        </is>
      </c>
      <c r="G183" s="20" t="n">
        <v>0.245</v>
      </c>
      <c r="H183" s="18" t="n">
        <v>99.681</v>
      </c>
      <c r="I183" s="21" t="inlineStr">
        <is>
          <t>open</t>
        </is>
      </c>
      <c r="J183" s="22" t="inlineStr">
        <is>
          <t>8b13f9dbbe71f1b6826ad3090a0ad64329687db361714ae475f3628e77b3989a</t>
        </is>
      </c>
      <c r="K183" s="21" t="inlineStr">
        <is>
          <t>open</t>
        </is>
      </c>
      <c r="L183" s="22" t="inlineStr">
        <is>
          <t>58aa8a1e97f7df457ed058d75e43ca14e3fa92d5f46fe9f7ee8b285cdaa9d458</t>
        </is>
      </c>
    </row>
    <row r="184">
      <c r="A184" s="4" t="inlineStr">
        <is>
          <t>BSC → SOL</t>
        </is>
      </c>
      <c r="B184" s="4" t="n">
        <v>1</v>
      </c>
      <c r="C184" s="4" t="inlineStr">
        <is>
          <t>Husher</t>
        </is>
      </c>
      <c r="D184" s="4" t="inlineStr">
        <is>
          <t>2026-09-23T09:40:21.978Z</t>
        </is>
      </c>
      <c r="E184" s="4" t="inlineStr">
        <is>
          <t>2026-09-23T09:40:23.200Z</t>
        </is>
      </c>
      <c r="F184" s="4" t="inlineStr">
        <is>
          <t>2026-09-23T09:40:25.322Z</t>
        </is>
      </c>
      <c r="G184" s="20" t="n">
        <v>0.25</v>
      </c>
      <c r="H184" s="18" t="n">
        <v>99.34999999999999</v>
      </c>
      <c r="I184" s="21" t="inlineStr">
        <is>
          <t>open</t>
        </is>
      </c>
      <c r="J184" s="22" t="inlineStr">
        <is>
          <t>7e73ba398d763f2172ea6defd49c929a527acb617080783f5aee5e2f95a2e614</t>
        </is>
      </c>
      <c r="K184" s="21" t="inlineStr">
        <is>
          <t>open</t>
        </is>
      </c>
      <c r="L184" s="22" t="inlineStr">
        <is>
          <t>8177fc6ba3053d92c5be4ab4e48add83d82fc9afa295fa281823b0411d9d57ed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Layerswap</t>
        </is>
      </c>
      <c r="D185" s="4" t="inlineStr">
        <is>
          <t>2026-09-23T09:40:21.975Z</t>
        </is>
      </c>
      <c r="E185" s="4" t="inlineStr">
        <is>
          <t>2026-09-23T09:40:23.881Z</t>
        </is>
      </c>
      <c r="F185" s="4" t="inlineStr">
        <is>
          <t>2026-09-23T09:40:26.001Z</t>
        </is>
      </c>
      <c r="G185" s="20" t="n">
        <v>0.931</v>
      </c>
      <c r="H185" s="18" t="n">
        <v>99.625559</v>
      </c>
      <c r="I185" s="21" t="inlineStr">
        <is>
          <t>open</t>
        </is>
      </c>
      <c r="J185" s="22" t="inlineStr">
        <is>
          <t>47e4767957a88b37aa133749791f85ab785fd626c6cbbe39dadf536a6bab4e82</t>
        </is>
      </c>
      <c r="K185" s="21" t="inlineStr">
        <is>
          <t>open</t>
        </is>
      </c>
      <c r="L185" s="22" t="inlineStr">
        <is>
          <t>ab6140fc0c69acf962af607eebf9f9569a5fba152364abc4af81977bce85eddd</t>
        </is>
      </c>
    </row>
    <row r="186">
      <c r="A186" s="4" t="inlineStr">
        <is>
          <t>BSC → SOL</t>
        </is>
      </c>
      <c r="B186" s="4" t="n">
        <v>1</v>
      </c>
      <c r="C186" s="4" t="inlineStr">
        <is>
          <t>Meson</t>
        </is>
      </c>
      <c r="D186" s="4" t="inlineStr">
        <is>
          <t>2026-09-23T09:40:21.977Z</t>
        </is>
      </c>
      <c r="E186" s="4" t="inlineStr">
        <is>
          <t>2026-09-23T09:40:22.231Z</t>
        </is>
      </c>
      <c r="F186" s="4" t="inlineStr">
        <is>
          <t>2026-09-23T09:40:24.375Z</t>
        </is>
      </c>
      <c r="G186" s="20" t="n">
        <v>0.719</v>
      </c>
      <c r="H186" s="18" t="n">
        <v>99.59999999999999</v>
      </c>
      <c r="I186" s="21" t="inlineStr">
        <is>
          <t>open</t>
        </is>
      </c>
      <c r="J186" s="22" t="inlineStr">
        <is>
          <t>7744c2337af8b4bb834e8a337fae11dc17db73f06b0f28ecea5f8eb83fb879db</t>
        </is>
      </c>
      <c r="K186" s="21" t="inlineStr">
        <is>
          <t>open</t>
        </is>
      </c>
      <c r="L186" s="22" t="inlineStr">
        <is>
          <t>af2f64b316dac325d50fb1ddcdfc9c9412f751c3d801e9e2b328bd6c59601c32</t>
        </is>
      </c>
    </row>
    <row r="187">
      <c r="A187" s="4" t="inlineStr">
        <is>
          <t>BSC → SOL</t>
        </is>
      </c>
      <c r="B187" s="4" t="n">
        <v>1</v>
      </c>
      <c r="C187" s="4" t="inlineStr">
        <is>
          <t>SimpleSwap</t>
        </is>
      </c>
      <c r="D187" s="4" t="inlineStr">
        <is>
          <t>2026-09-23T09:40:21.977Z</t>
        </is>
      </c>
      <c r="E187" s="4" t="inlineStr">
        <is>
          <t>2026-09-23T09:40:25.045Z</t>
        </is>
      </c>
      <c r="F187" s="4" t="inlineStr">
        <is>
          <t>2026-09-23T09:40:27.304Z</t>
        </is>
      </c>
      <c r="G187" s="20" t="n">
        <v>2.095</v>
      </c>
      <c r="H187" s="18" t="n">
        <v>98.180301</v>
      </c>
      <c r="I187" s="21" t="inlineStr">
        <is>
          <t>open</t>
        </is>
      </c>
      <c r="J187" s="22" t="inlineStr">
        <is>
          <t>bdd7f54fdfdcc72f7308d7d11989d0190429ed0f63d4294a6c37bc0c79b16ffa</t>
        </is>
      </c>
      <c r="K187" s="21" t="inlineStr">
        <is>
          <t>open</t>
        </is>
      </c>
      <c r="L187" s="22" t="inlineStr">
        <is>
          <t>b2664ab7f4dfd7d88b3db2890b985f73bb88cd1d63223c18bc9f9377cbf1e525</t>
        </is>
      </c>
    </row>
    <row r="188">
      <c r="A188" s="4" t="inlineStr">
        <is>
          <t>BSC → SOL</t>
        </is>
      </c>
      <c r="B188" s="4" t="n">
        <v>1</v>
      </c>
      <c r="C188" s="4" t="inlineStr">
        <is>
          <t>Symbiosis</t>
        </is>
      </c>
      <c r="D188" s="4" t="inlineStr">
        <is>
          <t>2026-09-23T09:40:21.976Z</t>
        </is>
      </c>
      <c r="E188" s="4" t="inlineStr">
        <is>
          <t>2026-09-23T09:40:24.703Z</t>
        </is>
      </c>
      <c r="F188" s="4" t="inlineStr">
        <is>
          <t>2026-09-23T09:40:26.916Z</t>
        </is>
      </c>
      <c r="G188" s="20" t="n">
        <v>1.753</v>
      </c>
      <c r="H188" s="18" t="n">
        <v>98.417542</v>
      </c>
      <c r="I188" s="21" t="inlineStr">
        <is>
          <t>open</t>
        </is>
      </c>
      <c r="J188" s="22" t="inlineStr">
        <is>
          <t>eb22103d92c8488c86a8ec134a7e42ca57e9650e2ed18dda1a6ce4a5d6a8c6fb</t>
        </is>
      </c>
      <c r="K188" s="21" t="inlineStr">
        <is>
          <t>open</t>
        </is>
      </c>
      <c r="L188" s="22" t="inlineStr">
        <is>
          <t>6c3bf860cc55298d9959d0bb602c307e608538eb337f04863e7e719cd1b2cbdc</t>
        </is>
      </c>
    </row>
    <row r="189">
      <c r="A189" s="4" t="inlineStr">
        <is>
          <t>BSC → SOL</t>
        </is>
      </c>
      <c r="B189" s="4" t="n">
        <v>2</v>
      </c>
      <c r="C189" s="4" t="inlineStr">
        <is>
          <t>Bridg</t>
        </is>
      </c>
      <c r="D189" s="4" t="inlineStr">
        <is>
          <t>2026-09-23T08:53:45.875Z</t>
        </is>
      </c>
      <c r="E189" s="4" t="inlineStr">
        <is>
          <t>2026-09-23T08:53:46.761Z</t>
        </is>
      </c>
      <c r="F189" s="4" t="inlineStr">
        <is>
          <t>2026-09-23T08:53:50.721Z</t>
        </is>
      </c>
      <c r="G189" s="20" t="n"/>
      <c r="H189" s="18" t="n">
        <v>99.630098</v>
      </c>
      <c r="I189" s="21" t="inlineStr">
        <is>
          <t>open</t>
        </is>
      </c>
      <c r="J189" s="22" t="inlineStr">
        <is>
          <t>dc497f8338572bca530ec65ff88cd404d13180e9075f7ae943f59843824c3cd1</t>
        </is>
      </c>
      <c r="K189" s="21" t="inlineStr">
        <is>
          <t>open</t>
        </is>
      </c>
      <c r="L189" s="22" t="inlineStr">
        <is>
          <t>26e6fe4103643859070271016c06fb7bdc586e8fb10e51b6dd082bee179a550b</t>
        </is>
      </c>
    </row>
    <row r="190">
      <c r="A190" s="4" t="inlineStr">
        <is>
          <t>BSC → SOL</t>
        </is>
      </c>
      <c r="B190" s="4" t="n">
        <v>2</v>
      </c>
      <c r="C190" s="4" t="inlineStr">
        <is>
          <t>Bridg</t>
        </is>
      </c>
      <c r="D190" s="4" t="inlineStr">
        <is>
          <t>2026-09-23T08:59:48.460Z</t>
        </is>
      </c>
      <c r="E190" s="4" t="inlineStr">
        <is>
          <t>2026-09-23T08:59:50.103Z</t>
        </is>
      </c>
      <c r="F190" s="4" t="inlineStr">
        <is>
          <t>2026-09-23T08:59:53.472Z</t>
        </is>
      </c>
      <c r="G190" s="20" t="n"/>
      <c r="H190" s="18" t="n">
        <v>99.63012999999999</v>
      </c>
      <c r="I190" s="21" t="inlineStr">
        <is>
          <t>open</t>
        </is>
      </c>
      <c r="J190" s="22" t="inlineStr">
        <is>
          <t>4ecdc96b9b6bdd2da6d2654f0a39a48d35d1492eebfa8862892365ac67a24444</t>
        </is>
      </c>
      <c r="K190" s="21" t="inlineStr">
        <is>
          <t>open</t>
        </is>
      </c>
      <c r="L190" s="22" t="inlineStr">
        <is>
          <t>969ee24d3dd04e57512ec1ea7a03d9eb759431773d435159fba8a1f4e58ab9f4</t>
        </is>
      </c>
    </row>
    <row r="191">
      <c r="A191" s="4" t="inlineStr">
        <is>
          <t>BSC → SOL</t>
        </is>
      </c>
      <c r="B191" s="4" t="n">
        <v>2</v>
      </c>
      <c r="C191" s="4" t="inlineStr">
        <is>
          <t>Bridg</t>
        </is>
      </c>
      <c r="D191" s="4" t="inlineStr">
        <is>
          <t>2026-09-23T09:44:22.225Z</t>
        </is>
      </c>
      <c r="E191" s="4" t="inlineStr">
        <is>
          <t>2026-09-23T09:44:23.229Z</t>
        </is>
      </c>
      <c r="F191" s="4" t="inlineStr">
        <is>
          <t>2026-09-23T09:44:26.369Z</t>
        </is>
      </c>
      <c r="G191" s="20" t="n"/>
      <c r="H191" s="18" t="n">
        <v>99.629901</v>
      </c>
      <c r="I191" s="21" t="inlineStr">
        <is>
          <t>open</t>
        </is>
      </c>
      <c r="J191" s="22" t="inlineStr">
        <is>
          <t>3d80547b809462397d3f197cfd8ca3d1cb06226a63ee656bbdcea1661670c371</t>
        </is>
      </c>
      <c r="K191" s="21" t="inlineStr">
        <is>
          <t>open</t>
        </is>
      </c>
      <c r="L191" s="22" t="inlineStr">
        <is>
          <t>09dcb2f63cf9f44dd99ef1aa1c9a9995b23b14d1f0d8f8ce59d61f89e193fab7</t>
        </is>
      </c>
    </row>
    <row r="192">
      <c r="A192" s="4" t="inlineStr">
        <is>
          <t>BSC → SOL</t>
        </is>
      </c>
      <c r="B192" s="4" t="n">
        <v>2</v>
      </c>
      <c r="C192" s="4" t="inlineStr">
        <is>
          <t>Relay</t>
        </is>
      </c>
      <c r="D192" s="4" t="inlineStr">
        <is>
          <t>2026-09-23T08:53:45.875Z</t>
        </is>
      </c>
      <c r="E192" s="4" t="inlineStr">
        <is>
          <t>2026-09-23T08:53:47.528Z</t>
        </is>
      </c>
      <c r="F192" s="4" t="inlineStr">
        <is>
          <t>2026-09-23T08:53:49.662Z</t>
        </is>
      </c>
      <c r="G192" s="20" t="n">
        <v>0.767</v>
      </c>
      <c r="H192" s="18" t="n">
        <v>99.885577</v>
      </c>
      <c r="I192" s="21" t="inlineStr">
        <is>
          <t>open</t>
        </is>
      </c>
      <c r="J192" s="22" t="inlineStr">
        <is>
          <t>64ded758353b05380ed638e6ce60f5670c5be74fefb99a7a358872db8c41300b</t>
        </is>
      </c>
      <c r="K192" s="21" t="inlineStr">
        <is>
          <t>open</t>
        </is>
      </c>
      <c r="L192" s="22" t="inlineStr">
        <is>
          <t>e7a465907bdc504866de1a5f645b25c048018fd70ae368ce202d9a147573771d</t>
        </is>
      </c>
    </row>
    <row r="193">
      <c r="A193" s="4" t="inlineStr">
        <is>
          <t>BSC → SOL</t>
        </is>
      </c>
      <c r="B193" s="4" t="n">
        <v>2</v>
      </c>
      <c r="C193" s="4" t="inlineStr">
        <is>
          <t>Relay</t>
        </is>
      </c>
      <c r="D193" s="4" t="inlineStr">
        <is>
          <t>2026-09-23T09:44:22.225Z</t>
        </is>
      </c>
      <c r="E193" s="4" t="inlineStr">
        <is>
          <t>2026-09-23T09:44:23.984Z</t>
        </is>
      </c>
      <c r="F193" s="4" t="inlineStr">
        <is>
          <t>2026-09-23T09:44:26.366Z</t>
        </is>
      </c>
      <c r="G193" s="20" t="n">
        <v>0.755</v>
      </c>
      <c r="H193" s="18" t="n">
        <v>99.885572</v>
      </c>
      <c r="I193" s="21" t="inlineStr">
        <is>
          <t>open</t>
        </is>
      </c>
      <c r="J193" s="22" t="inlineStr">
        <is>
          <t>55b9223970e8473786f96491a97ba7dd606f7d4655deb962ec6c2e61c2b20108</t>
        </is>
      </c>
      <c r="K193" s="21" t="inlineStr">
        <is>
          <t>open</t>
        </is>
      </c>
      <c r="L193" s="22" t="inlineStr">
        <is>
          <t>8877eb8a65bd037901e8786e5a1de571dc9fe1a5b21276e84c6afe78e00399a1</t>
        </is>
      </c>
    </row>
    <row r="194">
      <c r="A194" s="4" t="inlineStr">
        <is>
          <t>BSC → SOL</t>
        </is>
      </c>
      <c r="B194" s="4" t="n">
        <v>2</v>
      </c>
      <c r="C194" s="4" t="inlineStr">
        <is>
          <t>deBridge</t>
        </is>
      </c>
      <c r="D194" s="4" t="inlineStr">
        <is>
          <t>2026-09-23T08:53:45.875Z</t>
        </is>
      </c>
      <c r="E194" s="4" t="inlineStr">
        <is>
          <t>2026-09-23T08:53:47.549Z</t>
        </is>
      </c>
      <c r="F194" s="4" t="inlineStr">
        <is>
          <t>2026-09-23T08:53:49.680Z</t>
        </is>
      </c>
      <c r="G194" s="20" t="n">
        <v>0.788</v>
      </c>
      <c r="H194" s="18" t="n">
        <v>99.920017</v>
      </c>
      <c r="I194" s="21" t="inlineStr">
        <is>
          <t>open</t>
        </is>
      </c>
      <c r="J194" s="22" t="inlineStr">
        <is>
          <t>d9d7cf3982562054ceb3a4ab00dd3adfd2bab77ca1019b58e25b09482b1d00ff</t>
        </is>
      </c>
      <c r="K194" s="21" t="inlineStr">
        <is>
          <t>open</t>
        </is>
      </c>
      <c r="L194" s="22" t="inlineStr">
        <is>
          <t>dff594fece2bdb325bd10f2d36b1b8df57cb8cd007c23ae545d4f5fed7b344d8</t>
        </is>
      </c>
    </row>
    <row r="195">
      <c r="A195" s="4" t="inlineStr">
        <is>
          <t>BSC → SOL</t>
        </is>
      </c>
      <c r="B195" s="4" t="n">
        <v>2</v>
      </c>
      <c r="C195" s="4" t="inlineStr">
        <is>
          <t>deBridge</t>
        </is>
      </c>
      <c r="D195" s="4" t="inlineStr">
        <is>
          <t>2026-09-23T09:44:22.226Z</t>
        </is>
      </c>
      <c r="E195" s="4" t="inlineStr">
        <is>
          <t>2026-09-23T09:44:24.492Z</t>
        </is>
      </c>
      <c r="F195" s="4" t="inlineStr">
        <is>
          <t>2026-09-23T09:44:26.675Z</t>
        </is>
      </c>
      <c r="G195" s="20" t="n">
        <v>1.263</v>
      </c>
      <c r="H195" s="18" t="n">
        <v>99.880032</v>
      </c>
      <c r="I195" s="21" t="inlineStr">
        <is>
          <t>open</t>
        </is>
      </c>
      <c r="J195" s="22" t="inlineStr">
        <is>
          <t>fd48dc96bc713a7469bffa61283342fc6eeb2a03e62358cdd30676f70c50c717</t>
        </is>
      </c>
      <c r="K195" s="21" t="inlineStr">
        <is>
          <t>open</t>
        </is>
      </c>
      <c r="L195" s="22" t="inlineStr">
        <is>
          <t>b353e6e7f9b6080305cec1b91156a906f3bbba66749bd97293da6b65ac0232b2</t>
        </is>
      </c>
    </row>
    <row r="196">
      <c r="A196" s="4" t="inlineStr">
        <is>
          <t>BSC → SOL</t>
        </is>
      </c>
      <c r="B196" s="4" t="n">
        <v>2</v>
      </c>
      <c r="C196" s="4" t="inlineStr">
        <is>
          <t>LI.FI (Jumper)</t>
        </is>
      </c>
      <c r="D196" s="4" t="inlineStr">
        <is>
          <t>2026-09-23T08:53:45.876Z</t>
        </is>
      </c>
      <c r="E196" s="4" t="inlineStr">
        <is>
          <t>2026-09-23T08:53:48.173Z</t>
        </is>
      </c>
      <c r="F196" s="4" t="inlineStr">
        <is>
          <t>2026-09-23T08:53:50.309Z</t>
        </is>
      </c>
      <c r="G196" s="20" t="n">
        <v>1.412</v>
      </c>
      <c r="H196" s="18" t="n">
        <v>120.36486</v>
      </c>
      <c r="I196" s="21" t="inlineStr">
        <is>
          <t>open</t>
        </is>
      </c>
      <c r="J196" s="22" t="inlineStr">
        <is>
          <t>8641c2caf216d9c9a8b686d51143e6fd81f3adda3cb773699870f7175399425e</t>
        </is>
      </c>
      <c r="K196" s="21" t="inlineStr">
        <is>
          <t>open</t>
        </is>
      </c>
      <c r="L196" s="22" t="inlineStr">
        <is>
          <t>a32d9098ed45797bd2ad84809fc3968ca7d65d7ef0b8a0905750eae4db7c858c</t>
        </is>
      </c>
    </row>
    <row r="197">
      <c r="A197" s="4" t="inlineStr">
        <is>
          <t>BSC → SOL</t>
        </is>
      </c>
      <c r="B197" s="4" t="n">
        <v>2</v>
      </c>
      <c r="C197" s="4" t="inlineStr">
        <is>
          <t>LI.FI (Jumper)</t>
        </is>
      </c>
      <c r="D197" s="4" t="inlineStr">
        <is>
          <t>2026-09-23T09:44:22.226Z</t>
        </is>
      </c>
      <c r="E197" s="4" t="inlineStr">
        <is>
          <t>2026-09-23T09:44:23.934Z</t>
        </is>
      </c>
      <c r="F197" s="4" t="inlineStr">
        <is>
          <t>2026-09-23T09:44:26.334Z</t>
        </is>
      </c>
      <c r="G197" s="20" t="n">
        <v>0.705</v>
      </c>
      <c r="H197" s="18" t="n">
        <v>99.885572</v>
      </c>
      <c r="I197" s="21" t="inlineStr">
        <is>
          <t>open</t>
        </is>
      </c>
      <c r="J197" s="22" t="inlineStr">
        <is>
          <t>09c99992ab827c68f623d22d09b3102b94b9cb3391bebed1c439ed69f415dbf6</t>
        </is>
      </c>
      <c r="K197" s="21" t="inlineStr">
        <is>
          <t>open</t>
        </is>
      </c>
      <c r="L197" s="22" t="inlineStr">
        <is>
          <t>1eea7eca532795333dbf3733a65f6479211c20b9b57ae5b70f50efda570cfc76</t>
        </is>
      </c>
    </row>
    <row r="198">
      <c r="A198" s="4" t="inlineStr">
        <is>
          <t>BSC → SOL</t>
        </is>
      </c>
      <c r="B198" s="4" t="n">
        <v>2</v>
      </c>
      <c r="C198" s="4" t="inlineStr">
        <is>
          <t>Across</t>
        </is>
      </c>
      <c r="D198" s="4" t="inlineStr">
        <is>
          <t>2026-09-23T09:44:22.225Z</t>
        </is>
      </c>
      <c r="E198" s="4" t="inlineStr">
        <is>
          <t>2026-09-23T09:44:23.481Z</t>
        </is>
      </c>
      <c r="F198" s="4" t="inlineStr">
        <is>
          <t>2026-09-23T09:44:25.615Z</t>
        </is>
      </c>
      <c r="G198" s="20" t="n">
        <v>0.252</v>
      </c>
      <c r="H198" s="18" t="n">
        <v>99.982045</v>
      </c>
      <c r="I198" s="21" t="inlineStr">
        <is>
          <t>open</t>
        </is>
      </c>
      <c r="J198" s="22" t="inlineStr">
        <is>
          <t>25ab5e97156543cc67583fd91fe0e1890b9150c18800fc36ad8f2ddc1cbbc591</t>
        </is>
      </c>
      <c r="K198" s="21" t="inlineStr">
        <is>
          <t>open</t>
        </is>
      </c>
      <c r="L198" s="22" t="inlineStr">
        <is>
          <t>1e9535b4ad46afd2c5f0f84a6ea680876164665e4c98f65bd8aef6fb07ecd80f</t>
        </is>
      </c>
    </row>
    <row r="199">
      <c r="A199" s="4" t="inlineStr">
        <is>
          <t>BSC → SOL</t>
        </is>
      </c>
      <c r="B199" s="4" t="n">
        <v>2</v>
      </c>
      <c r="C199" s="4" t="inlineStr">
        <is>
          <t>Mayan</t>
        </is>
      </c>
      <c r="D199" s="4" t="inlineStr">
        <is>
          <t>2026-09-23T08:53:45.875Z</t>
        </is>
      </c>
      <c r="E199" s="4" t="inlineStr">
        <is>
          <t>2026-09-23T08:53:47.003Z</t>
        </is>
      </c>
      <c r="F199" s="4" t="inlineStr">
        <is>
          <t>2026-09-23T08:53:49.125Z</t>
        </is>
      </c>
      <c r="G199" s="20" t="n">
        <v>0.242</v>
      </c>
      <c r="H199" s="18" t="n">
        <v>99.681</v>
      </c>
      <c r="I199" s="21" t="inlineStr">
        <is>
          <t>open</t>
        </is>
      </c>
      <c r="J199" s="22" t="inlineStr">
        <is>
          <t>8b13f9dbbe71f1b6826ad3090a0ad64329687db361714ae475f3628e77b3989a</t>
        </is>
      </c>
      <c r="K199" s="21" t="inlineStr">
        <is>
          <t>open</t>
        </is>
      </c>
      <c r="L199" s="22" t="inlineStr">
        <is>
          <t>58aa8a1e97f7df457ed058d75e43ca14e3fa92d5f46fe9f7ee8b285cdaa9d458</t>
        </is>
      </c>
    </row>
    <row r="200">
      <c r="A200" s="4" t="inlineStr">
        <is>
          <t>BSC → SOL</t>
        </is>
      </c>
      <c r="B200" s="4" t="n">
        <v>2</v>
      </c>
      <c r="C200" s="4" t="inlineStr">
        <is>
          <t>Mayan</t>
        </is>
      </c>
      <c r="D200" s="4" t="inlineStr">
        <is>
          <t>2026-09-23T09:44:22.224Z</t>
        </is>
      </c>
      <c r="E200" s="4" t="inlineStr">
        <is>
          <t>2026-09-23T09:44:23.435Z</t>
        </is>
      </c>
      <c r="F200" s="4" t="inlineStr">
        <is>
          <t>2026-09-23T09:44:25.558Z</t>
        </is>
      </c>
      <c r="G200" s="20" t="n">
        <v>0.206</v>
      </c>
      <c r="H200" s="18" t="n">
        <v>99.681</v>
      </c>
      <c r="I200" s="21" t="inlineStr">
        <is>
          <t>open</t>
        </is>
      </c>
      <c r="J200" s="22" t="inlineStr">
        <is>
          <t>8b13f9dbbe71f1b6826ad3090a0ad64329687db361714ae475f3628e77b3989a</t>
        </is>
      </c>
      <c r="K200" s="21" t="inlineStr">
        <is>
          <t>open</t>
        </is>
      </c>
      <c r="L200" s="22" t="inlineStr">
        <is>
          <t>58aa8a1e97f7df457ed058d75e43ca14e3fa92d5f46fe9f7ee8b285cdaa9d458</t>
        </is>
      </c>
    </row>
    <row r="201">
      <c r="A201" s="4" t="inlineStr">
        <is>
          <t>BSC → SOL</t>
        </is>
      </c>
      <c r="B201" s="4" t="n">
        <v>2</v>
      </c>
      <c r="C201" s="4" t="inlineStr">
        <is>
          <t>Husher</t>
        </is>
      </c>
      <c r="D201" s="4" t="inlineStr">
        <is>
          <t>2026-09-23T09:44:22.227Z</t>
        </is>
      </c>
      <c r="E201" s="4" t="inlineStr">
        <is>
          <t>2026-09-23T09:44:23.481Z</t>
        </is>
      </c>
      <c r="F201" s="4" t="inlineStr">
        <is>
          <t>2026-09-23T09:44:25.616Z</t>
        </is>
      </c>
      <c r="G201" s="20" t="n">
        <v>0.252</v>
      </c>
      <c r="H201" s="18" t="n">
        <v>99.34999999999999</v>
      </c>
      <c r="I201" s="21" t="inlineStr">
        <is>
          <t>open</t>
        </is>
      </c>
      <c r="J201" s="22" t="inlineStr">
        <is>
          <t>d2fb5530bca376e54675768aa97ea5e7099e404dff3dbff40a7676531bcbf139</t>
        </is>
      </c>
      <c r="K201" s="21" t="inlineStr">
        <is>
          <t>open</t>
        </is>
      </c>
      <c r="L201" s="22" t="inlineStr">
        <is>
          <t>f4b02e42092e93d4826f6abdeffc4949241b9b96656d5e90fc1fbbbcb0276171</t>
        </is>
      </c>
    </row>
    <row r="202">
      <c r="A202" s="4" t="inlineStr">
        <is>
          <t>BSC → SOL</t>
        </is>
      </c>
      <c r="B202" s="4" t="n">
        <v>2</v>
      </c>
      <c r="C202" s="4" t="inlineStr">
        <is>
          <t>Layerswap</t>
        </is>
      </c>
      <c r="D202" s="4" t="inlineStr">
        <is>
          <t>2026-09-23T09:44:22.224Z</t>
        </is>
      </c>
      <c r="E202" s="4" t="inlineStr">
        <is>
          <t>2026-09-23T09:44:24.135Z</t>
        </is>
      </c>
      <c r="F202" s="4" t="inlineStr">
        <is>
          <t>2026-09-23T09:44:26.367Z</t>
        </is>
      </c>
      <c r="G202" s="20" t="n">
        <v>0.906</v>
      </c>
      <c r="H202" s="18" t="n">
        <v>99.625749</v>
      </c>
      <c r="I202" s="21" t="inlineStr">
        <is>
          <t>open</t>
        </is>
      </c>
      <c r="J202" s="22" t="inlineStr">
        <is>
          <t>4d0fbaa732f950d9316230d8808404cfc115e382b1af8f7f031115564dc0e152</t>
        </is>
      </c>
      <c r="K202" s="21" t="inlineStr">
        <is>
          <t>open</t>
        </is>
      </c>
      <c r="L202" s="22" t="inlineStr">
        <is>
          <t>bba0cd5f4fdfefe0d69e7cec2f5d4d50d56e64806b0c65c13aa0a106970f2510</t>
        </is>
      </c>
    </row>
    <row r="203">
      <c r="A203" s="4" t="inlineStr">
        <is>
          <t>BSC → SOL</t>
        </is>
      </c>
      <c r="B203" s="4" t="n">
        <v>2</v>
      </c>
      <c r="C203" s="4" t="inlineStr">
        <is>
          <t>Meson</t>
        </is>
      </c>
      <c r="D203" s="4" t="inlineStr">
        <is>
          <t>2026-09-23T09:44:22.227Z</t>
        </is>
      </c>
      <c r="E203" s="4" t="inlineStr">
        <is>
          <t>2026-09-23T09:44:22.459Z</t>
        </is>
      </c>
      <c r="F203" s="4" t="inlineStr">
        <is>
          <t>2026-09-23T09:44:24.609Z</t>
        </is>
      </c>
      <c r="G203" s="20" t="n">
        <v>0.77</v>
      </c>
      <c r="H203" s="18" t="n">
        <v>99.59999999999999</v>
      </c>
      <c r="I203" s="21" t="inlineStr">
        <is>
          <t>open</t>
        </is>
      </c>
      <c r="J203" s="22" t="inlineStr">
        <is>
          <t>2cb0bf81bcf1ff90d087450971f89d3deddd87a2b2020eb11c264c1dd532d4be</t>
        </is>
      </c>
      <c r="K203" s="21" t="inlineStr">
        <is>
          <t>open</t>
        </is>
      </c>
      <c r="L203" s="22" t="inlineStr">
        <is>
          <t>4779a96e186124d0331afad349bdb14e6f472468d54ed7e023e7c70f11ada901</t>
        </is>
      </c>
    </row>
    <row r="204">
      <c r="A204" s="4" t="inlineStr">
        <is>
          <t>BSC → SOL</t>
        </is>
      </c>
      <c r="B204" s="4" t="n">
        <v>2</v>
      </c>
      <c r="C204" s="4" t="inlineStr">
        <is>
          <t>SimpleSwap</t>
        </is>
      </c>
      <c r="D204" s="4" t="inlineStr">
        <is>
          <t>2026-09-23T09:44:22.226Z</t>
        </is>
      </c>
      <c r="E204" s="4" t="inlineStr">
        <is>
          <t>2026-09-23T09:44:24.454Z</t>
        </is>
      </c>
      <c r="F204" s="4" t="inlineStr">
        <is>
          <t>2026-09-23T09:44:26.691Z</t>
        </is>
      </c>
      <c r="G204" s="20" t="n">
        <v>1.225</v>
      </c>
      <c r="H204" s="18" t="n">
        <v>98.180301</v>
      </c>
      <c r="I204" s="21" t="inlineStr">
        <is>
          <t>open</t>
        </is>
      </c>
      <c r="J204" s="22" t="inlineStr">
        <is>
          <t>f4107b8e17315ab6dc09562cb6b9f9e4f7261e4d9b3896c47a7c89d340620c61</t>
        </is>
      </c>
      <c r="K204" s="21" t="inlineStr">
        <is>
          <t>open</t>
        </is>
      </c>
      <c r="L204" s="22" t="inlineStr">
        <is>
          <t>ca81e671c55489e4f5e1e51a1bbc79579035c627cae0b193ff3041b36f450b2a</t>
        </is>
      </c>
    </row>
    <row r="205">
      <c r="A205" s="4" t="inlineStr">
        <is>
          <t>BSC → SOL</t>
        </is>
      </c>
      <c r="B205" s="4" t="n">
        <v>2</v>
      </c>
      <c r="C205" s="4" t="inlineStr">
        <is>
          <t>Symbiosis</t>
        </is>
      </c>
      <c r="D205" s="4" t="inlineStr">
        <is>
          <t>2026-09-23T09:44:22.226Z</t>
        </is>
      </c>
      <c r="E205" s="4" t="inlineStr">
        <is>
          <t>2026-09-23T09:44:24.889Z</t>
        </is>
      </c>
      <c r="F205" s="4" t="inlineStr">
        <is>
          <t>2026-09-23T09:44:27.098Z</t>
        </is>
      </c>
      <c r="G205" s="20" t="n">
        <v>1.66</v>
      </c>
      <c r="H205" s="18" t="n">
        <v>98.42948699999999</v>
      </c>
      <c r="I205" s="21" t="inlineStr">
        <is>
          <t>open</t>
        </is>
      </c>
      <c r="J205" s="22" t="inlineStr">
        <is>
          <t>54d21fce4a1eb692239f45cb3040334c5616466cc59d6e185b0213ba34bb37a2</t>
        </is>
      </c>
      <c r="K205" s="21" t="inlineStr">
        <is>
          <t>open</t>
        </is>
      </c>
      <c r="L205" s="22" t="inlineStr">
        <is>
          <t>c737a0d7e2d28dffd812a29073badf4b71b2dd50836ae254b66b909710f2ce29</t>
        </is>
      </c>
    </row>
    <row r="206">
      <c r="A206" s="4" t="inlineStr">
        <is>
          <t>BSC → SOL</t>
        </is>
      </c>
      <c r="B206" s="4" t="n">
        <v>3</v>
      </c>
      <c r="C206" s="4" t="inlineStr">
        <is>
          <t>Bridg</t>
        </is>
      </c>
      <c r="D206" s="4" t="inlineStr">
        <is>
          <t>2026-09-23T08:56:39.600Z</t>
        </is>
      </c>
      <c r="E206" s="4" t="inlineStr">
        <is>
          <t>2026-09-23T08:56:40.498Z</t>
        </is>
      </c>
      <c r="F206" s="4" t="inlineStr">
        <is>
          <t>2026-09-23T08:56:44.764Z</t>
        </is>
      </c>
      <c r="G206" s="20" t="n"/>
      <c r="H206" s="18" t="n">
        <v>99.63025399999999</v>
      </c>
      <c r="I206" s="21" t="inlineStr">
        <is>
          <t>open</t>
        </is>
      </c>
      <c r="J206" s="22" t="inlineStr">
        <is>
          <t>1adc12c12205b2925477c6d80a90a07e39d0193f66117066fcde7f4d44d684eb</t>
        </is>
      </c>
      <c r="K206" s="21" t="inlineStr">
        <is>
          <t>open</t>
        </is>
      </c>
      <c r="L206" s="22" t="inlineStr">
        <is>
          <t>38d7082a359edeba202a5b68e754ebc32d4856748138666e49ab9561dcf07e96</t>
        </is>
      </c>
    </row>
    <row r="207">
      <c r="A207" s="4" t="inlineStr">
        <is>
          <t>BSC → SOL</t>
        </is>
      </c>
      <c r="B207" s="4" t="n">
        <v>3</v>
      </c>
      <c r="C207" s="4" t="inlineStr">
        <is>
          <t>Bridg</t>
        </is>
      </c>
      <c r="D207" s="4" t="inlineStr">
        <is>
          <t>2026-09-23T09:01:00.002Z</t>
        </is>
      </c>
      <c r="E207" s="4" t="inlineStr">
        <is>
          <t>2026-09-23T09:01:01.138Z</t>
        </is>
      </c>
      <c r="F207" s="4" t="inlineStr">
        <is>
          <t>2026-09-23T09:01:04.751Z</t>
        </is>
      </c>
      <c r="G207" s="20" t="n"/>
      <c r="H207" s="18" t="n">
        <v>99.630168</v>
      </c>
      <c r="I207" s="21" t="inlineStr">
        <is>
          <t>open</t>
        </is>
      </c>
      <c r="J207" s="22" t="inlineStr">
        <is>
          <t>8f3e0159463aed560105576aee7a03e40139bf9ac4ca6b2262ec2bfa09aa4b7c</t>
        </is>
      </c>
      <c r="K207" s="21" t="inlineStr">
        <is>
          <t>open</t>
        </is>
      </c>
      <c r="L207" s="22" t="inlineStr">
        <is>
          <t>f0ac6f26bc98a463acd94d89121d6fd15e093bfc9398cd125e0733c20e7d2aba</t>
        </is>
      </c>
    </row>
    <row r="208">
      <c r="A208" s="4" t="inlineStr">
        <is>
          <t>BSC → SOL</t>
        </is>
      </c>
      <c r="B208" s="4" t="n">
        <v>3</v>
      </c>
      <c r="C208" s="4" t="inlineStr">
        <is>
          <t>Bridg</t>
        </is>
      </c>
      <c r="D208" s="4" t="inlineStr">
        <is>
          <t>2026-09-23T09:47:59.250Z</t>
        </is>
      </c>
      <c r="E208" s="4" t="inlineStr">
        <is>
          <t>2026-09-23T09:48:00.204Z</t>
        </is>
      </c>
      <c r="F208" s="4" t="inlineStr">
        <is>
          <t>2026-09-23T09:48:04.045Z</t>
        </is>
      </c>
      <c r="G208" s="20" t="n"/>
      <c r="H208" s="18" t="n">
        <v>99.631328</v>
      </c>
      <c r="I208" s="21" t="inlineStr">
        <is>
          <t>open</t>
        </is>
      </c>
      <c r="J208" s="22" t="inlineStr">
        <is>
          <t>cf09f1a4559640b8ea46fb948d33678e1b582c9dab602ee990db5cff36b45bc3</t>
        </is>
      </c>
      <c r="K208" s="21" t="inlineStr">
        <is>
          <t>open</t>
        </is>
      </c>
      <c r="L208" s="22" t="inlineStr">
        <is>
          <t>87c5e8024d124ca24f19a30df3ed03bc986da7934efeab50444e3747b08bf1e0</t>
        </is>
      </c>
    </row>
    <row r="209">
      <c r="A209" s="4" t="inlineStr">
        <is>
          <t>BSC → SOL</t>
        </is>
      </c>
      <c r="B209" s="4" t="n">
        <v>3</v>
      </c>
      <c r="C209" s="4" t="inlineStr">
        <is>
          <t>Relay</t>
        </is>
      </c>
      <c r="D209" s="4" t="inlineStr">
        <is>
          <t>2026-09-23T08:56:39.600Z</t>
        </is>
      </c>
      <c r="E209" s="4" t="inlineStr">
        <is>
          <t>2026-09-23T08:56:41.080Z</t>
        </is>
      </c>
      <c r="F209" s="4" t="inlineStr">
        <is>
          <t>2026-09-23T08:56:43.239Z</t>
        </is>
      </c>
      <c r="G209" s="20" t="n">
        <v>0.582</v>
      </c>
      <c r="H209" s="18" t="n">
        <v>99.88557400000001</v>
      </c>
      <c r="I209" s="21" t="inlineStr">
        <is>
          <t>open</t>
        </is>
      </c>
      <c r="J209" s="22" t="inlineStr">
        <is>
          <t>e5ad9c0cafa8f12b1e3ea9da30b53fd984eb285b5c7dab912efdd07c031b6ba3</t>
        </is>
      </c>
      <c r="K209" s="21" t="inlineStr">
        <is>
          <t>open</t>
        </is>
      </c>
      <c r="L209" s="22" t="inlineStr">
        <is>
          <t>296f3083767ffc32d4d8bdf410bedae87e856b97efe7d223728cda410cff5137</t>
        </is>
      </c>
    </row>
    <row r="210">
      <c r="A210" s="4" t="inlineStr">
        <is>
          <t>BSC → SOL</t>
        </is>
      </c>
      <c r="B210" s="4" t="n">
        <v>3</v>
      </c>
      <c r="C210" s="4" t="inlineStr">
        <is>
          <t>Relay</t>
        </is>
      </c>
      <c r="D210" s="4" t="inlineStr">
        <is>
          <t>2026-09-23T09:47:59.250Z</t>
        </is>
      </c>
      <c r="E210" s="4" t="inlineStr">
        <is>
          <t>2026-09-23T09:48:01.042Z</t>
        </is>
      </c>
      <c r="F210" s="4" t="inlineStr">
        <is>
          <t>2026-09-23T09:48:03.434Z</t>
        </is>
      </c>
      <c r="G210" s="20" t="n">
        <v>0.838</v>
      </c>
      <c r="H210" s="18" t="n">
        <v>99.885571</v>
      </c>
      <c r="I210" s="21" t="inlineStr">
        <is>
          <t>open</t>
        </is>
      </c>
      <c r="J210" s="22" t="inlineStr">
        <is>
          <t>94a66cbe1ed23f36ba53de1a347ff48c713e107ac7db0c69333719a722cd6bf8</t>
        </is>
      </c>
      <c r="K210" s="21" t="inlineStr">
        <is>
          <t>open</t>
        </is>
      </c>
      <c r="L210" s="22" t="inlineStr">
        <is>
          <t>cbf52257fc407960ac351716fa3a4b005c1d6d384ce7d8f7e92c962a263ae248</t>
        </is>
      </c>
    </row>
    <row r="211">
      <c r="A211" s="4" t="inlineStr">
        <is>
          <t>BSC → SOL</t>
        </is>
      </c>
      <c r="B211" s="4" t="n">
        <v>3</v>
      </c>
      <c r="C211" s="4" t="inlineStr">
        <is>
          <t>deBridge</t>
        </is>
      </c>
      <c r="D211" s="4" t="inlineStr">
        <is>
          <t>2026-09-23T08:56:39.600Z</t>
        </is>
      </c>
      <c r="E211" s="4" t="inlineStr">
        <is>
          <t>2026-09-23T08:56:41.572Z</t>
        </is>
      </c>
      <c r="F211" s="4" t="inlineStr">
        <is>
          <t>2026-09-23T08:56:43.849Z</t>
        </is>
      </c>
      <c r="G211" s="20" t="n">
        <v>1.074</v>
      </c>
      <c r="H211" s="18" t="n">
        <v>99.880032</v>
      </c>
      <c r="I211" s="21" t="inlineStr">
        <is>
          <t>open</t>
        </is>
      </c>
      <c r="J211" s="22" t="inlineStr">
        <is>
          <t>eb9e247b7da5640fd5655832a50a0ba421a56b380837fc1938776ba2af343452</t>
        </is>
      </c>
      <c r="K211" s="21" t="inlineStr">
        <is>
          <t>open</t>
        </is>
      </c>
      <c r="L211" s="22" t="inlineStr">
        <is>
          <t>4d1033eeb390a004d48cb0b83203472669490d3306ea76a3f0eff23bc6726b12</t>
        </is>
      </c>
    </row>
    <row r="212">
      <c r="A212" s="4" t="inlineStr">
        <is>
          <t>BSC → SOL</t>
        </is>
      </c>
      <c r="B212" s="4" t="n">
        <v>3</v>
      </c>
      <c r="C212" s="4" t="inlineStr">
        <is>
          <t>deBridge</t>
        </is>
      </c>
      <c r="D212" s="4" t="inlineStr">
        <is>
          <t>2026-09-23T09:47:59.250Z</t>
        </is>
      </c>
      <c r="E212" s="4" t="inlineStr">
        <is>
          <t>2026-09-23T09:48:00.536Z</t>
        </is>
      </c>
      <c r="F212" s="4" t="inlineStr">
        <is>
          <t>2026-09-23T09:48:02.670Z</t>
        </is>
      </c>
      <c r="G212" s="20" t="n">
        <v>0.332</v>
      </c>
      <c r="H212" s="18" t="n">
        <v>99.920017</v>
      </c>
      <c r="I212" s="21" t="inlineStr">
        <is>
          <t>open</t>
        </is>
      </c>
      <c r="J212" s="22" t="inlineStr">
        <is>
          <t>6fbb501a9e99c3f09510ddd3ce20ecab6445c277d727dd9c582b46f465268ee7</t>
        </is>
      </c>
      <c r="K212" s="21" t="inlineStr">
        <is>
          <t>open</t>
        </is>
      </c>
      <c r="L212" s="22" t="inlineStr">
        <is>
          <t>8f34c69805baaa6cfe1abfc7750cf3b1eafbd1d8e36bae746b2a73e3c6232313</t>
        </is>
      </c>
    </row>
    <row r="213">
      <c r="A213" s="4" t="inlineStr">
        <is>
          <t>BSC → SOL</t>
        </is>
      </c>
      <c r="B213" s="4" t="n">
        <v>3</v>
      </c>
      <c r="C213" s="4" t="inlineStr">
        <is>
          <t>LI.FI (Jumper)</t>
        </is>
      </c>
      <c r="D213" s="4" t="inlineStr">
        <is>
          <t>2026-09-23T08:56:39.601Z</t>
        </is>
      </c>
      <c r="E213" s="4" t="inlineStr">
        <is>
          <t>2026-09-23T08:56:42.068Z</t>
        </is>
      </c>
      <c r="F213" s="4" t="inlineStr">
        <is>
          <t>2026-09-23T08:56:44.128Z</t>
        </is>
      </c>
      <c r="G213" s="20" t="n">
        <v>1.57</v>
      </c>
      <c r="H213" s="18" t="n">
        <v>99.88557400000001</v>
      </c>
      <c r="I213" s="21" t="inlineStr">
        <is>
          <t>open</t>
        </is>
      </c>
      <c r="J213" s="22" t="inlineStr">
        <is>
          <t>61f05e7c0d731c07dc5a6265ac8d1a1ef23f92c56220ff21a0358ce115ac8982</t>
        </is>
      </c>
      <c r="K213" s="21" t="inlineStr">
        <is>
          <t>open</t>
        </is>
      </c>
      <c r="L213" s="22" t="inlineStr">
        <is>
          <t>281afbde5ca31d24e3d0dba8adcb3cf3cfda921109792132bf85c429050dbce9</t>
        </is>
      </c>
    </row>
    <row r="214">
      <c r="A214" s="4" t="inlineStr">
        <is>
          <t>BSC → SOL</t>
        </is>
      </c>
      <c r="B214" s="4" t="n">
        <v>3</v>
      </c>
      <c r="C214" s="4" t="inlineStr">
        <is>
          <t>LI.FI (Jumper)</t>
        </is>
      </c>
      <c r="D214" s="4" t="inlineStr">
        <is>
          <t>2026-09-23T09:47:59.251Z</t>
        </is>
      </c>
      <c r="E214" s="4" t="inlineStr">
        <is>
          <t>2026-09-23T09:48:01.318Z</t>
        </is>
      </c>
      <c r="F214" s="4" t="inlineStr">
        <is>
          <t>2026-09-23T09:48:03.403Z</t>
        </is>
      </c>
      <c r="G214" s="20" t="n">
        <v>1.114</v>
      </c>
      <c r="H214" s="18" t="n">
        <v>99.885571</v>
      </c>
      <c r="I214" s="21" t="inlineStr">
        <is>
          <t>open</t>
        </is>
      </c>
      <c r="J214" s="22" t="inlineStr">
        <is>
          <t>eb976528658d9c6280217944d41fb790ca1e49bac79a85ce38c82756948564b1</t>
        </is>
      </c>
      <c r="K214" s="21" t="inlineStr">
        <is>
          <t>open</t>
        </is>
      </c>
      <c r="L214" s="22" t="inlineStr">
        <is>
          <t>20c9139a619e896b4d380adcdd52ef6f06e3616c202e0dd7da5274ff87d1a28b</t>
        </is>
      </c>
    </row>
    <row r="215">
      <c r="A215" s="4" t="inlineStr">
        <is>
          <t>BSC → SOL</t>
        </is>
      </c>
      <c r="B215" s="4" t="n">
        <v>3</v>
      </c>
      <c r="C215" s="4" t="inlineStr">
        <is>
          <t>Across</t>
        </is>
      </c>
      <c r="D215" s="4" t="inlineStr">
        <is>
          <t>2026-09-23T08:56:39.600Z</t>
        </is>
      </c>
      <c r="E215" s="4" t="inlineStr">
        <is>
          <t>2026-09-23T08:56:40.573Z</t>
        </is>
      </c>
      <c r="F215" s="4" t="inlineStr">
        <is>
          <t>2026-09-23T08:56:42.695Z</t>
        </is>
      </c>
      <c r="G215" s="20" t="n">
        <v>0.075</v>
      </c>
      <c r="H215" s="18" t="n">
        <v>99.981998</v>
      </c>
      <c r="I215" s="21" t="inlineStr">
        <is>
          <t>open</t>
        </is>
      </c>
      <c r="J215" s="22" t="inlineStr">
        <is>
          <t>9e5fe6e6949a31d210b67ed30f6d18d46660208c633fcc4a7c0548e389edaea1</t>
        </is>
      </c>
      <c r="K215" s="21" t="inlineStr">
        <is>
          <t>open</t>
        </is>
      </c>
      <c r="L215" s="22" t="inlineStr">
        <is>
          <t>16be1c6bc269d09a9bb92aa3ebd9aefa1841ba53b6a0646996b03a49f2dbf0b7</t>
        </is>
      </c>
    </row>
    <row r="216">
      <c r="A216" s="4" t="inlineStr">
        <is>
          <t>BSC → SOL</t>
        </is>
      </c>
      <c r="B216" s="4" t="n">
        <v>3</v>
      </c>
      <c r="C216" s="4" t="inlineStr">
        <is>
          <t>Across</t>
        </is>
      </c>
      <c r="D216" s="4" t="inlineStr">
        <is>
          <t>2026-09-23T09:01:00.001Z</t>
        </is>
      </c>
      <c r="E216" s="4" t="inlineStr">
        <is>
          <t>2026-09-23T09:01:01.185Z</t>
        </is>
      </c>
      <c r="F216" s="4" t="inlineStr">
        <is>
          <t>2026-09-23T09:01:03.317Z</t>
        </is>
      </c>
      <c r="G216" s="20" t="n">
        <v>0.047</v>
      </c>
      <c r="H216" s="18" t="n">
        <v>99.982169</v>
      </c>
      <c r="I216" s="21" t="inlineStr">
        <is>
          <t>open</t>
        </is>
      </c>
      <c r="J216" s="22" t="inlineStr">
        <is>
          <t>704ddf58a720d41baf92998660ced1b0b606fa1ad9c14f2e6482b8d8a64f5537</t>
        </is>
      </c>
      <c r="K216" s="21" t="inlineStr">
        <is>
          <t>open</t>
        </is>
      </c>
      <c r="L216" s="22" t="inlineStr">
        <is>
          <t>44188c55054da013148292349190095010bc0b082f3a8f98b96564b82d90d822</t>
        </is>
      </c>
    </row>
    <row r="217">
      <c r="A217" s="4" t="inlineStr">
        <is>
          <t>BSC → SOL</t>
        </is>
      </c>
      <c r="B217" s="4" t="n">
        <v>3</v>
      </c>
      <c r="C217" s="4" t="inlineStr">
        <is>
          <t>Across</t>
        </is>
      </c>
      <c r="D217" s="4" t="inlineStr">
        <is>
          <t>2026-09-23T09:47:59.249Z</t>
        </is>
      </c>
      <c r="E217" s="4" t="inlineStr">
        <is>
          <t>2026-09-23T09:48:00.544Z</t>
        </is>
      </c>
      <c r="F217" s="4" t="inlineStr">
        <is>
          <t>2026-09-23T09:48:02.667Z</t>
        </is>
      </c>
      <c r="G217" s="20" t="n">
        <v>0.34</v>
      </c>
      <c r="H217" s="18" t="n">
        <v>99.982061</v>
      </c>
      <c r="I217" s="21" t="inlineStr">
        <is>
          <t>open</t>
        </is>
      </c>
      <c r="J217" s="22" t="inlineStr">
        <is>
          <t>b7caa8b5340ebcfc007a29b36a6b5cbd809e4c27d6ab3cdc8f48d1b2399f66ca</t>
        </is>
      </c>
      <c r="K217" s="21" t="inlineStr">
        <is>
          <t>open</t>
        </is>
      </c>
      <c r="L217" s="22" t="inlineStr">
        <is>
          <t>e7ba313f8b55e1e0eecae94454f9529136c705aa9035ed346184c589e1dc3ea8</t>
        </is>
      </c>
    </row>
    <row r="218">
      <c r="A218" s="4" t="inlineStr">
        <is>
          <t>BSC → SOL</t>
        </is>
      </c>
      <c r="B218" s="4" t="n">
        <v>3</v>
      </c>
      <c r="C218" s="4" t="inlineStr">
        <is>
          <t>Mayan</t>
        </is>
      </c>
      <c r="D218" s="4" t="inlineStr">
        <is>
          <t>2026-09-23T08:56:39.599Z</t>
        </is>
      </c>
      <c r="E218" s="4" t="inlineStr">
        <is>
          <t>2026-09-23T08:56:40.798Z</t>
        </is>
      </c>
      <c r="F218" s="4" t="inlineStr">
        <is>
          <t>2026-09-23T08:56:43.216Z</t>
        </is>
      </c>
      <c r="G218" s="20" t="n">
        <v>0.3</v>
      </c>
      <c r="H218" s="18" t="n">
        <v>99.681</v>
      </c>
      <c r="I218" s="21" t="inlineStr">
        <is>
          <t>open</t>
        </is>
      </c>
      <c r="J218" s="22" t="inlineStr">
        <is>
          <t>8b13f9dbbe71f1b6826ad3090a0ad64329687db361714ae475f3628e77b3989a</t>
        </is>
      </c>
      <c r="K218" s="21" t="inlineStr">
        <is>
          <t>open</t>
        </is>
      </c>
      <c r="L218" s="22" t="inlineStr">
        <is>
          <t>58aa8a1e97f7df457ed058d75e43ca14e3fa92d5f46fe9f7ee8b285cdaa9d458</t>
        </is>
      </c>
    </row>
    <row r="219">
      <c r="A219" s="4" t="inlineStr">
        <is>
          <t>BSC → SOL</t>
        </is>
      </c>
      <c r="B219" s="4" t="n">
        <v>3</v>
      </c>
      <c r="C219" s="4" t="inlineStr">
        <is>
          <t>Mayan</t>
        </is>
      </c>
      <c r="D219" s="4" t="inlineStr">
        <is>
          <t>2026-09-23T09:47:59.248Z</t>
        </is>
      </c>
      <c r="E219" s="4" t="inlineStr">
        <is>
          <t>2026-09-23T09:48:00.453Z</t>
        </is>
      </c>
      <c r="F219" s="4" t="inlineStr">
        <is>
          <t>2026-09-23T09:48:02.568Z</t>
        </is>
      </c>
      <c r="G219" s="20" t="n">
        <v>0.249</v>
      </c>
      <c r="H219" s="18" t="n">
        <v>99.681</v>
      </c>
      <c r="I219" s="21" t="inlineStr">
        <is>
          <t>open</t>
        </is>
      </c>
      <c r="J219" s="22" t="inlineStr">
        <is>
          <t>8b13f9dbbe71f1b6826ad3090a0ad64329687db361714ae475f3628e77b3989a</t>
        </is>
      </c>
      <c r="K219" s="21" t="inlineStr">
        <is>
          <t>open</t>
        </is>
      </c>
      <c r="L219" s="22" t="inlineStr">
        <is>
          <t>58aa8a1e97f7df457ed058d75e43ca14e3fa92d5f46fe9f7ee8b285cdaa9d458</t>
        </is>
      </c>
    </row>
    <row r="220">
      <c r="A220" s="4" t="inlineStr">
        <is>
          <t>BSC → SOL</t>
        </is>
      </c>
      <c r="B220" s="4" t="n">
        <v>3</v>
      </c>
      <c r="C220" s="4" t="inlineStr">
        <is>
          <t>Husher</t>
        </is>
      </c>
      <c r="D220" s="4" t="inlineStr">
        <is>
          <t>2026-09-23T09:47:59.252Z</t>
        </is>
      </c>
      <c r="E220" s="4" t="inlineStr">
        <is>
          <t>2026-09-23T09:48:00.514Z</t>
        </is>
      </c>
      <c r="F220" s="4" t="inlineStr">
        <is>
          <t>2026-09-23T09:48:02.649Z</t>
        </is>
      </c>
      <c r="G220" s="20" t="n">
        <v>0.31</v>
      </c>
      <c r="H220" s="18" t="n">
        <v>99.34999999999999</v>
      </c>
      <c r="I220" s="21" t="inlineStr">
        <is>
          <t>open</t>
        </is>
      </c>
      <c r="J220" s="22" t="inlineStr">
        <is>
          <t>eb08e9f87da6f2811601949f03240e9747405b695556417572ee483331660c7c</t>
        </is>
      </c>
      <c r="K220" s="21" t="inlineStr">
        <is>
          <t>open</t>
        </is>
      </c>
      <c r="L220" s="22" t="inlineStr">
        <is>
          <t>9bc4e70d2c1dc92b1121228a593ac222478e8d7c43c11a6eaab143dcf0de7928</t>
        </is>
      </c>
    </row>
    <row r="221">
      <c r="A221" s="4" t="inlineStr">
        <is>
          <t>BSC → SOL</t>
        </is>
      </c>
      <c r="B221" s="4" t="n">
        <v>3</v>
      </c>
      <c r="C221" s="4" t="inlineStr">
        <is>
          <t>Layerswap</t>
        </is>
      </c>
      <c r="D221" s="4" t="inlineStr">
        <is>
          <t>2026-09-23T09:47:59.249Z</t>
        </is>
      </c>
      <c r="E221" s="4" t="inlineStr">
        <is>
          <t>2026-09-23T09:48:01.486Z</t>
        </is>
      </c>
      <c r="F221" s="4" t="inlineStr">
        <is>
          <t>2026-09-23T09:48:03.739Z</t>
        </is>
      </c>
      <c r="G221" s="20" t="n">
        <v>1.282</v>
      </c>
      <c r="H221" s="18" t="n">
        <v>99.62561100000001</v>
      </c>
      <c r="I221" s="21" t="inlineStr">
        <is>
          <t>open</t>
        </is>
      </c>
      <c r="J221" s="22" t="inlineStr">
        <is>
          <t>f70008de7613434d93023e47ea722286d21705f9b3aeb745ac07510b48a13a46</t>
        </is>
      </c>
      <c r="K221" s="21" t="inlineStr">
        <is>
          <t>open</t>
        </is>
      </c>
      <c r="L221" s="22" t="inlineStr">
        <is>
          <t>a22f93e16b209c1add6a1f1e5ef30af93875a51e50f4eb7357d5237300ce358c</t>
        </is>
      </c>
    </row>
    <row r="222">
      <c r="A222" s="4" t="inlineStr">
        <is>
          <t>BSC → SOL</t>
        </is>
      </c>
      <c r="B222" s="4" t="n">
        <v>3</v>
      </c>
      <c r="C222" s="4" t="inlineStr">
        <is>
          <t>Meson</t>
        </is>
      </c>
      <c r="D222" s="4" t="inlineStr">
        <is>
          <t>2026-09-23T09:47:59.252Z</t>
        </is>
      </c>
      <c r="E222" s="4" t="inlineStr">
        <is>
          <t>2026-09-23T09:47:59.533Z</t>
        </is>
      </c>
      <c r="F222" s="4" t="inlineStr">
        <is>
          <t>2026-09-23T09:48:01.665Z</t>
        </is>
      </c>
      <c r="G222" s="20" t="n">
        <v>0.671</v>
      </c>
      <c r="H222" s="18" t="n">
        <v>99.59999999999999</v>
      </c>
      <c r="I222" s="21" t="inlineStr">
        <is>
          <t>open</t>
        </is>
      </c>
      <c r="J222" s="22" t="inlineStr">
        <is>
          <t>7744c2337af8b4bb834e8a337fae11dc17db73f06b0f28ecea5f8eb83fb879db</t>
        </is>
      </c>
      <c r="K222" s="21" t="inlineStr">
        <is>
          <t>open</t>
        </is>
      </c>
      <c r="L222" s="22" t="inlineStr">
        <is>
          <t>be0367f043e34ec354294b36c72c89c8feae9efe7f88b49228ab3d53eff57411</t>
        </is>
      </c>
    </row>
    <row r="223">
      <c r="A223" s="4" t="inlineStr">
        <is>
          <t>BSC → SOL</t>
        </is>
      </c>
      <c r="B223" s="4" t="n">
        <v>3</v>
      </c>
      <c r="C223" s="4" t="inlineStr">
        <is>
          <t>SimpleSwap</t>
        </is>
      </c>
      <c r="D223" s="4" t="inlineStr">
        <is>
          <t>2026-09-23T09:47:59.251Z</t>
        </is>
      </c>
      <c r="E223" s="4" t="inlineStr">
        <is>
          <t>2026-09-23T09:48:02.039Z</t>
        </is>
      </c>
      <c r="F223" s="4" t="inlineStr">
        <is>
          <t>2026-09-23T09:48:04.067Z</t>
        </is>
      </c>
      <c r="G223" s="20" t="n">
        <v>1.835</v>
      </c>
      <c r="H223" s="18" t="n">
        <v>98.180301</v>
      </c>
      <c r="I223" s="21" t="inlineStr">
        <is>
          <t>open</t>
        </is>
      </c>
      <c r="J223" s="22" t="inlineStr">
        <is>
          <t>fad7a6d6aa3140c0c11080d4f7e3a643beb5b1cfc1705d7b874e3d271477fc5b</t>
        </is>
      </c>
      <c r="K223" s="21" t="inlineStr">
        <is>
          <t>open</t>
        </is>
      </c>
      <c r="L223" s="22" t="inlineStr">
        <is>
          <t>fb1738bc183670da282c8ce54b0ece8896c82494e44306ba150c3d484aa2185e</t>
        </is>
      </c>
    </row>
    <row r="224">
      <c r="A224" s="4" t="inlineStr">
        <is>
          <t>BSC → SOL</t>
        </is>
      </c>
      <c r="B224" s="4" t="n">
        <v>3</v>
      </c>
      <c r="C224" s="4" t="inlineStr">
        <is>
          <t>Symbiosis</t>
        </is>
      </c>
      <c r="D224" s="4" t="inlineStr">
        <is>
          <t>2026-09-23T09:47:59.250Z</t>
        </is>
      </c>
      <c r="E224" s="4" t="inlineStr">
        <is>
          <t>2026-09-23T09:48:01.939Z</t>
        </is>
      </c>
      <c r="F224" s="4" t="inlineStr">
        <is>
          <t>2026-09-23T09:48:04.044Z</t>
        </is>
      </c>
      <c r="G224" s="20" t="n">
        <v>1.735</v>
      </c>
      <c r="H224" s="18" t="n">
        <v>98.41977300000001</v>
      </c>
      <c r="I224" s="21" t="inlineStr">
        <is>
          <t>open</t>
        </is>
      </c>
      <c r="J224" s="22" t="inlineStr">
        <is>
          <t>00cc667c28c1b636f2dd868aeb8c1de37e752ea2895d5fda3bf665234c680ec3</t>
        </is>
      </c>
      <c r="K224" s="21" t="inlineStr">
        <is>
          <t>open</t>
        </is>
      </c>
      <c r="L224" s="22" t="inlineStr">
        <is>
          <t>7e45df5291df274eb3b85f12600192560ebf20f0e0d7b1d474bc473503516dff</t>
        </is>
      </c>
    </row>
    <row r="225">
      <c r="A225" s="4" t="inlineStr">
        <is>
          <t>SOL → Base</t>
        </is>
      </c>
      <c r="B225" s="4" t="n">
        <v>1</v>
      </c>
      <c r="C225" s="4" t="inlineStr">
        <is>
          <t>Bridg</t>
        </is>
      </c>
      <c r="D225" s="4" t="inlineStr">
        <is>
          <t>2026-09-23T08:51:38.250Z</t>
        </is>
      </c>
      <c r="E225" s="4" t="inlineStr">
        <is>
          <t>2026-09-23T08:51:39.677Z</t>
        </is>
      </c>
      <c r="F225" s="4" t="inlineStr">
        <is>
          <t>2026-09-23T08:51:42.148Z</t>
        </is>
      </c>
      <c r="G225" s="20" t="n"/>
      <c r="H225" s="18" t="n">
        <v>99.94717</v>
      </c>
      <c r="I225" s="21" t="inlineStr">
        <is>
          <t>open</t>
        </is>
      </c>
      <c r="J225" s="22" t="inlineStr">
        <is>
          <t>9488edde94502202913f1313727eef079ff2ad6dfec7af61869432c3d6ce11c3</t>
        </is>
      </c>
      <c r="K225" s="21" t="inlineStr">
        <is>
          <t>open</t>
        </is>
      </c>
      <c r="L225" s="22" t="inlineStr">
        <is>
          <t>055a6e0fccac424c634ae0c66d4cc00bf5b0cbc674a8f4cebbc624dbb9d4a794</t>
        </is>
      </c>
    </row>
    <row r="226">
      <c r="A226" s="4" t="inlineStr">
        <is>
          <t>SOL → Base</t>
        </is>
      </c>
      <c r="B226" s="4" t="n">
        <v>1</v>
      </c>
      <c r="C226" s="4" t="inlineStr">
        <is>
          <t>Bridg</t>
        </is>
      </c>
      <c r="D226" s="4" t="inlineStr">
        <is>
          <t>2026-09-23T09:40:48.497Z</t>
        </is>
      </c>
      <c r="E226" s="4" t="inlineStr">
        <is>
          <t>2026-09-23T09:40:49.547Z</t>
        </is>
      </c>
      <c r="F226" s="4" t="inlineStr">
        <is>
          <t>2026-09-23T09:40:53.024Z</t>
        </is>
      </c>
      <c r="G226" s="20" t="n"/>
      <c r="H226" s="18" t="n">
        <v>99.947174</v>
      </c>
      <c r="I226" s="21" t="inlineStr">
        <is>
          <t>open</t>
        </is>
      </c>
      <c r="J226" s="22" t="inlineStr">
        <is>
          <t>d8c74b30c4b33a04837e3cff65b9d301101ecf299ba36469eae93678be254a65</t>
        </is>
      </c>
      <c r="K226" s="21" t="inlineStr">
        <is>
          <t>open</t>
        </is>
      </c>
      <c r="L226" s="22" t="inlineStr">
        <is>
          <t>ba6adf3c33b3b334edf58c30f2b92bf74c1c3b47f2f03207789de7767ffbefc2</t>
        </is>
      </c>
    </row>
    <row r="227">
      <c r="A227" s="4" t="inlineStr">
        <is>
          <t>SOL → Base</t>
        </is>
      </c>
      <c r="B227" s="4" t="n">
        <v>1</v>
      </c>
      <c r="C227" s="4" t="inlineStr">
        <is>
          <t>Relay</t>
        </is>
      </c>
      <c r="D227" s="4" t="inlineStr">
        <is>
          <t>2026-09-23T08:51:38.251Z</t>
        </is>
      </c>
      <c r="E227" s="4" t="inlineStr">
        <is>
          <t>2026-09-23T08:51:39.944Z</t>
        </is>
      </c>
      <c r="F227" s="4" t="inlineStr">
        <is>
          <t>2026-09-23T08:51:42.130Z</t>
        </is>
      </c>
      <c r="G227" s="20" t="n">
        <v>0.267</v>
      </c>
      <c r="H227" s="18" t="n">
        <v>99.95219899999999</v>
      </c>
      <c r="I227" s="21" t="inlineStr">
        <is>
          <t>open</t>
        </is>
      </c>
      <c r="J227" s="22" t="inlineStr">
        <is>
          <t>84203835b638efb4303d0594d1cb6f64910ed783602612fce2aa6a9d996dc0fa</t>
        </is>
      </c>
      <c r="K227" s="21" t="inlineStr">
        <is>
          <t>open</t>
        </is>
      </c>
      <c r="L227" s="22" t="inlineStr">
        <is>
          <t>8499407afb3fee8e8c65ce7f7c6d198ee8535e9448df1de645352a54e3f8cd93</t>
        </is>
      </c>
    </row>
    <row r="228">
      <c r="A228" s="4" t="inlineStr">
        <is>
          <t>SOL → Base</t>
        </is>
      </c>
      <c r="B228" s="4" t="n">
        <v>1</v>
      </c>
      <c r="C228" s="4" t="inlineStr">
        <is>
          <t>Relay</t>
        </is>
      </c>
      <c r="D228" s="4" t="inlineStr">
        <is>
          <t>2026-09-23T09:40:48.497Z</t>
        </is>
      </c>
      <c r="E228" s="4" t="inlineStr">
        <is>
          <t>2026-09-23T09:40:50.085Z</t>
        </is>
      </c>
      <c r="F228" s="4" t="inlineStr">
        <is>
          <t>2026-09-23T09:40:52.341Z</t>
        </is>
      </c>
      <c r="G228" s="20" t="n">
        <v>0.538</v>
      </c>
      <c r="H228" s="18" t="n">
        <v>99.952371</v>
      </c>
      <c r="I228" s="21" t="inlineStr">
        <is>
          <t>open</t>
        </is>
      </c>
      <c r="J228" s="22" t="inlineStr">
        <is>
          <t>1b57cc347c9c9640dcd5064af5c5f1ac27bd432eb7753aca0698e915ba71a99c</t>
        </is>
      </c>
      <c r="K228" s="21" t="inlineStr">
        <is>
          <t>open</t>
        </is>
      </c>
      <c r="L228" s="22" t="inlineStr">
        <is>
          <t>7e004d931c30d0191747a1186707c66433bd1757812c2fe09abb2c7f6f163973</t>
        </is>
      </c>
    </row>
    <row r="229">
      <c r="A229" s="4" t="inlineStr">
        <is>
          <t>SOL → Base</t>
        </is>
      </c>
      <c r="B229" s="4" t="n">
        <v>1</v>
      </c>
      <c r="C229" s="4" t="inlineStr">
        <is>
          <t>deBridge</t>
        </is>
      </c>
      <c r="D229" s="4" t="inlineStr">
        <is>
          <t>2026-09-23T08:51:38.251Z</t>
        </is>
      </c>
      <c r="E229" s="4" t="inlineStr">
        <is>
          <t>2026-09-23T08:51:39.690Z</t>
        </is>
      </c>
      <c r="F229" s="4" t="inlineStr">
        <is>
          <t>2026-09-23T08:51:41.807Z</t>
        </is>
      </c>
      <c r="G229" s="20" t="n">
        <v>0.013</v>
      </c>
      <c r="H229" s="18" t="n">
        <v>99.920018</v>
      </c>
      <c r="I229" s="21" t="inlineStr">
        <is>
          <t>open</t>
        </is>
      </c>
      <c r="J229" s="22" t="inlineStr">
        <is>
          <t>ab21e1e63188214fc86f16d2db5903a4da0ed1e76ef88eab6a3b90634df3b2ab</t>
        </is>
      </c>
      <c r="K229" s="21" t="inlineStr">
        <is>
          <t>open</t>
        </is>
      </c>
      <c r="L229" s="22" t="inlineStr">
        <is>
          <t>8e4e8ce619dc77e75c1656c43c74ae3190d5c2d0e92729065cab8983abc2dbcf</t>
        </is>
      </c>
    </row>
    <row r="230">
      <c r="A230" s="4" t="inlineStr">
        <is>
          <t>SOL → Base</t>
        </is>
      </c>
      <c r="B230" s="4" t="n">
        <v>1</v>
      </c>
      <c r="C230" s="4" t="inlineStr">
        <is>
          <t>deBridge</t>
        </is>
      </c>
      <c r="D230" s="4" t="inlineStr">
        <is>
          <t>2026-09-23T09:40:48.498Z</t>
        </is>
      </c>
      <c r="E230" s="4" t="inlineStr">
        <is>
          <t>2026-09-23T09:40:50.036Z</t>
        </is>
      </c>
      <c r="F230" s="4" t="inlineStr">
        <is>
          <t>2026-09-23T09:40:52.342Z</t>
        </is>
      </c>
      <c r="G230" s="20" t="n">
        <v>0.489</v>
      </c>
      <c r="H230" s="18" t="n">
        <v>99.920018</v>
      </c>
      <c r="I230" s="21" t="inlineStr">
        <is>
          <t>open</t>
        </is>
      </c>
      <c r="J230" s="22" t="inlineStr">
        <is>
          <t>7b4cc670888dfc7c6f9279a3b8a2307db38b22d1d794cbb5a1e77ca36a9d8822</t>
        </is>
      </c>
      <c r="K230" s="21" t="inlineStr">
        <is>
          <t>open</t>
        </is>
      </c>
      <c r="L230" s="22" t="inlineStr">
        <is>
          <t>cc435128faf9e8e5a914290e29dd1ed36b17e8a22c16402199edf19a0863e5c8</t>
        </is>
      </c>
    </row>
    <row r="231">
      <c r="A231" s="4" t="inlineStr">
        <is>
          <t>SOL → Base</t>
        </is>
      </c>
      <c r="B231" s="4" t="n">
        <v>1</v>
      </c>
      <c r="C231" s="4" t="inlineStr">
        <is>
          <t>LI.FI (Jumper)</t>
        </is>
      </c>
      <c r="D231" s="4" t="inlineStr">
        <is>
          <t>2026-09-23T08:51:38.251Z</t>
        </is>
      </c>
      <c r="E231" s="4" t="inlineStr">
        <is>
          <t>2026-09-23T08:51:40.230Z</t>
        </is>
      </c>
      <c r="F231" s="4" t="inlineStr">
        <is>
          <t>2026-09-23T08:51:42.416Z</t>
        </is>
      </c>
      <c r="G231" s="20" t="n">
        <v>0.553</v>
      </c>
      <c r="H231" s="18" t="n">
        <v>100</v>
      </c>
      <c r="I231" s="21" t="inlineStr">
        <is>
          <t>open</t>
        </is>
      </c>
      <c r="J231" s="22" t="inlineStr">
        <is>
          <t>c8acb5ab75ae343a1c26b9cc7caa837dc7834cb6d2bab1d8637c6eded8d3dedd</t>
        </is>
      </c>
      <c r="K231" s="21" t="inlineStr">
        <is>
          <t>open</t>
        </is>
      </c>
      <c r="L231" s="22" t="inlineStr">
        <is>
          <t>d636cb50ecbe92ae269112e71db0ad5602f5cd5424160f8dc0c3a02a80564bce</t>
        </is>
      </c>
    </row>
    <row r="232">
      <c r="A232" s="4" t="inlineStr">
        <is>
          <t>SOL → Base</t>
        </is>
      </c>
      <c r="B232" s="4" t="n">
        <v>1</v>
      </c>
      <c r="C232" s="4" t="inlineStr">
        <is>
          <t>LI.FI (Jumper)</t>
        </is>
      </c>
      <c r="D232" s="4" t="inlineStr">
        <is>
          <t>2026-09-23T09:40:48.499Z</t>
        </is>
      </c>
      <c r="E232" s="4" t="inlineStr">
        <is>
          <t>2026-09-23T09:40:50.792Z</t>
        </is>
      </c>
      <c r="F232" s="4" t="inlineStr">
        <is>
          <t>2026-09-23T09:40:53.009Z</t>
        </is>
      </c>
      <c r="G232" s="20" t="n">
        <v>1.245</v>
      </c>
      <c r="H232" s="18" t="n">
        <v>100</v>
      </c>
      <c r="I232" s="21" t="inlineStr">
        <is>
          <t>open</t>
        </is>
      </c>
      <c r="J232" s="22" t="inlineStr">
        <is>
          <t>6350eb09cbf760e08f12e43b9691a44b723b5a27a92b151c3bd4913a3c9e719f</t>
        </is>
      </c>
      <c r="K232" s="21" t="inlineStr">
        <is>
          <t>open</t>
        </is>
      </c>
      <c r="L232" s="22" t="inlineStr">
        <is>
          <t>f299e89242df27a1d8f5db9c2936599ad9d357e2623c595544ce534a1d88e080</t>
        </is>
      </c>
    </row>
    <row r="233">
      <c r="A233" s="4" t="inlineStr">
        <is>
          <t>SOL → Base</t>
        </is>
      </c>
      <c r="B233" s="4" t="n">
        <v>1</v>
      </c>
      <c r="C233" s="4" t="inlineStr">
        <is>
          <t>Across</t>
        </is>
      </c>
      <c r="D233" s="4" t="inlineStr">
        <is>
          <t>2026-09-23T08:51:38.250Z</t>
        </is>
      </c>
      <c r="E233" s="4" t="inlineStr">
        <is>
          <t>2026-09-23T08:51:39.184Z</t>
        </is>
      </c>
      <c r="F233" s="4" t="inlineStr">
        <is>
          <t>2026-09-23T08:51:41.305Z</t>
        </is>
      </c>
      <c r="G233" s="20" t="n">
        <v>0.493</v>
      </c>
      <c r="H233" s="18" t="n">
        <v>99.98999999999999</v>
      </c>
      <c r="I233" s="21" t="inlineStr">
        <is>
          <t>open</t>
        </is>
      </c>
      <c r="J233" s="22" t="inlineStr">
        <is>
          <t>1a8cb194f967d84de78bb71694170c5c681466b8f619602818186c9eb4477026</t>
        </is>
      </c>
      <c r="K233" s="21" t="inlineStr">
        <is>
          <t>open</t>
        </is>
      </c>
      <c r="L233" s="22" t="inlineStr">
        <is>
          <t>878c5ae405d5dc311092e4de0ce9f7ceacffcaa990b58f4a7b6421fb2329036c</t>
        </is>
      </c>
    </row>
    <row r="234">
      <c r="A234" s="4" t="inlineStr">
        <is>
          <t>SOL → Base</t>
        </is>
      </c>
      <c r="B234" s="4" t="n">
        <v>1</v>
      </c>
      <c r="C234" s="4" t="inlineStr">
        <is>
          <t>Across</t>
        </is>
      </c>
      <c r="D234" s="4" t="inlineStr">
        <is>
          <t>2026-09-23T09:40:48.496Z</t>
        </is>
      </c>
      <c r="E234" s="4" t="inlineStr">
        <is>
          <t>2026-09-23T09:40:49.609Z</t>
        </is>
      </c>
      <c r="F234" s="4" t="inlineStr">
        <is>
          <t>2026-09-23T09:40:51.734Z</t>
        </is>
      </c>
      <c r="G234" s="20" t="n">
        <v>0.062</v>
      </c>
      <c r="H234" s="18" t="n">
        <v>99.98999999999999</v>
      </c>
      <c r="I234" s="21" t="inlineStr">
        <is>
          <t>open</t>
        </is>
      </c>
      <c r="J234" s="22" t="inlineStr">
        <is>
          <t>d245ebe654779c28832f26f5215b12a1800b9b428fee87e0af0dfd47a0beb656</t>
        </is>
      </c>
      <c r="K234" s="21" t="inlineStr">
        <is>
          <t>open</t>
        </is>
      </c>
      <c r="L234" s="22" t="inlineStr">
        <is>
          <t>6564537f68d128f5d8f2f4266715ec9a6245d11efb870bb68ff33a904101514f</t>
        </is>
      </c>
    </row>
    <row r="235">
      <c r="A235" s="4" t="inlineStr">
        <is>
          <t>SOL → Base</t>
        </is>
      </c>
      <c r="B235" s="4" t="n">
        <v>1</v>
      </c>
      <c r="C235" s="4" t="inlineStr">
        <is>
          <t>Mayan</t>
        </is>
      </c>
      <c r="D235" s="4" t="inlineStr">
        <is>
          <t>2026-09-23T08:51:38.250Z</t>
        </is>
      </c>
      <c r="E235" s="4" t="inlineStr">
        <is>
          <t>2026-09-23T08:51:39.381Z</t>
        </is>
      </c>
      <c r="F235" s="4" t="inlineStr">
        <is>
          <t>2026-09-23T08:51:41.504Z</t>
        </is>
      </c>
      <c r="G235" s="20" t="n">
        <v>0.296</v>
      </c>
      <c r="H235" s="18" t="n">
        <v>99.92700000000001</v>
      </c>
      <c r="I235" s="21" t="inlineStr">
        <is>
          <t>open</t>
        </is>
      </c>
      <c r="J235" s="22" t="inlineStr">
        <is>
          <t>39b641660f7f90c97018acbbbc5fbd2404c5d32878a976a919c4ea6e0a214c45</t>
        </is>
      </c>
      <c r="K235" s="21" t="inlineStr">
        <is>
          <t>open</t>
        </is>
      </c>
      <c r="L235" s="22" t="inlineStr">
        <is>
          <t>34bb1ac99fab9a5780307e68f65a792c39cdc6151cb2e9a55706a76ba02e31c3</t>
        </is>
      </c>
    </row>
    <row r="236">
      <c r="A236" s="4" t="inlineStr">
        <is>
          <t>SOL → Base</t>
        </is>
      </c>
      <c r="B236" s="4" t="n">
        <v>1</v>
      </c>
      <c r="C236" s="4" t="inlineStr">
        <is>
          <t>Mayan</t>
        </is>
      </c>
      <c r="D236" s="4" t="inlineStr">
        <is>
          <t>2026-09-23T09:40:48.495Z</t>
        </is>
      </c>
      <c r="E236" s="4" t="inlineStr">
        <is>
          <t>2026-09-23T09:40:49.780Z</t>
        </is>
      </c>
      <c r="F236" s="4" t="inlineStr">
        <is>
          <t>2026-09-23T09:40:51.904Z</t>
        </is>
      </c>
      <c r="G236" s="20" t="n">
        <v>0.233</v>
      </c>
      <c r="H236" s="18" t="n">
        <v>99.92700000000001</v>
      </c>
      <c r="I236" s="21" t="inlineStr">
        <is>
          <t>open</t>
        </is>
      </c>
      <c r="J236" s="22" t="inlineStr">
        <is>
          <t>5383a5734a183e774d8b46df768acd5a224665b6aa2c47f10b280080818ac62d</t>
        </is>
      </c>
      <c r="K236" s="21" t="inlineStr">
        <is>
          <t>open</t>
        </is>
      </c>
      <c r="L236" s="22" t="inlineStr">
        <is>
          <t>3f8827f4dfaae4083ec52dada3e45a1d9c789eb649a255a2490ba33a25ae6cf0</t>
        </is>
      </c>
    </row>
    <row r="237">
      <c r="A237" s="4" t="inlineStr">
        <is>
          <t>SOL → Base</t>
        </is>
      </c>
      <c r="B237" s="4" t="n">
        <v>1</v>
      </c>
      <c r="C237" s="4" t="inlineStr">
        <is>
          <t>Allbridge Core</t>
        </is>
      </c>
      <c r="D237" s="4" t="inlineStr">
        <is>
          <t>2026-09-23T09:40:48.499Z</t>
        </is>
      </c>
      <c r="E237" s="4" t="inlineStr">
        <is>
          <t>2026-09-23T09:40:49.712Z</t>
        </is>
      </c>
      <c r="F237" s="4" t="inlineStr">
        <is>
          <t>2026-09-23T09:40:51.916Z</t>
        </is>
      </c>
      <c r="G237" s="20" t="n">
        <v>0.165</v>
      </c>
      <c r="H237" s="18" t="n">
        <v>99.90000000000001</v>
      </c>
      <c r="I237" s="21" t="inlineStr">
        <is>
          <t>open</t>
        </is>
      </c>
      <c r="J237" s="22" t="inlineStr">
        <is>
          <t>172ec8b7c9a9b58a37e8b6f46d463c01d84bd2976e3373d2cbdf2183e2b41e41</t>
        </is>
      </c>
      <c r="K237" s="21" t="inlineStr">
        <is>
          <t>open</t>
        </is>
      </c>
      <c r="L237" s="22" t="inlineStr">
        <is>
          <t>6ec5e3ee13a1ef198eac86931238a83157ee55586b220504d42a909eada562ab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CCTP (via Portal)</t>
        </is>
      </c>
      <c r="D238" s="4" t="inlineStr">
        <is>
          <t>2026-09-23T09:40:48.499Z</t>
        </is>
      </c>
      <c r="E238" s="4" t="inlineStr">
        <is>
          <t>2026-09-23T09:40:51.721Z</t>
        </is>
      </c>
      <c r="F238" s="4" t="inlineStr">
        <is>
          <t>2026-09-23T09:40:53.933Z</t>
        </is>
      </c>
      <c r="G238" s="20" t="n">
        <v>2.174</v>
      </c>
      <c r="H238" s="18" t="n">
        <v>99.98999999999999</v>
      </c>
      <c r="I238" s="21" t="inlineStr">
        <is>
          <t>open</t>
        </is>
      </c>
      <c r="J238" s="22" t="inlineStr">
        <is>
          <t>122b552af859464f7f24bc94037552edc9159f22bbf24b5ce3cfa3e2de4344ff</t>
        </is>
      </c>
      <c r="K238" s="21" t="inlineStr">
        <is>
          <t>open</t>
        </is>
      </c>
      <c r="L238" s="22" t="inlineStr">
        <is>
          <t>6ac921bf585c507dba0333693da59135536b89b37da4b9437207f7baa1a6205d</t>
        </is>
      </c>
    </row>
    <row r="239">
      <c r="A239" s="4" t="inlineStr">
        <is>
          <t>SOL → Base</t>
        </is>
      </c>
      <c r="B239" s="4" t="n">
        <v>1</v>
      </c>
      <c r="C239" s="4" t="inlineStr">
        <is>
          <t>Husher</t>
        </is>
      </c>
      <c r="D239" s="4" t="inlineStr">
        <is>
          <t>2026-09-23T09:40:48.501Z</t>
        </is>
      </c>
      <c r="E239" s="4" t="inlineStr">
        <is>
          <t>2026-09-23T09:40:49.834Z</t>
        </is>
      </c>
      <c r="F239" s="4" t="inlineStr">
        <is>
          <t>2026-09-23T09:40:51.972Z</t>
        </is>
      </c>
      <c r="G239" s="20" t="n">
        <v>0.287</v>
      </c>
      <c r="H239" s="18" t="n">
        <v>99.45</v>
      </c>
      <c r="I239" s="21" t="inlineStr">
        <is>
          <t>open</t>
        </is>
      </c>
      <c r="J239" s="22" t="inlineStr">
        <is>
          <t>3f66db99c7c3982d91876966efa392ff97e7bed9e08c53cfd564d8e7210adfe1</t>
        </is>
      </c>
      <c r="K239" s="21" t="inlineStr">
        <is>
          <t>open</t>
        </is>
      </c>
      <c r="L239" s="22" t="inlineStr">
        <is>
          <t>1091e3db9ea3ab4bca748f8db2d5b6407ff5431e47d054f6eb750a5e1a9d0305</t>
        </is>
      </c>
    </row>
    <row r="240">
      <c r="A240" s="4" t="inlineStr">
        <is>
          <t>SOL → Base</t>
        </is>
      </c>
      <c r="B240" s="4" t="n">
        <v>1</v>
      </c>
      <c r="C240" s="4" t="inlineStr">
        <is>
          <t>Layerswap</t>
        </is>
      </c>
      <c r="D240" s="4" t="inlineStr">
        <is>
          <t>2026-09-23T09:40:48.496Z</t>
        </is>
      </c>
      <c r="E240" s="4" t="inlineStr">
        <is>
          <t>2026-09-23T09:40:50.635Z</t>
        </is>
      </c>
      <c r="F240" s="4" t="inlineStr">
        <is>
          <t>2026-09-23T09:40:52.717Z</t>
        </is>
      </c>
      <c r="G240" s="20" t="n">
        <v>1.088</v>
      </c>
      <c r="H240" s="18" t="n">
        <v>99.8643</v>
      </c>
      <c r="I240" s="21" t="inlineStr">
        <is>
          <t>open</t>
        </is>
      </c>
      <c r="J240" s="22" t="inlineStr">
        <is>
          <t>d5723dc17314808c45ec1c85a750fe38ff9bd46e61229bc4941b1e3978d402c8</t>
        </is>
      </c>
      <c r="K240" s="21" t="inlineStr">
        <is>
          <t>open</t>
        </is>
      </c>
      <c r="L240" s="22" t="inlineStr">
        <is>
          <t>74c4d2cc647ee3307a9dd556d08f53f2a7ad0d7bab78fb2bc3dd882a74bad7fb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Meson</t>
        </is>
      </c>
      <c r="D241" s="4" t="inlineStr">
        <is>
          <t>2026-09-23T09:40:48.501Z</t>
        </is>
      </c>
      <c r="E241" s="4" t="inlineStr">
        <is>
          <t>2026-09-23T09:40:48.827Z</t>
        </is>
      </c>
      <c r="F241" s="4" t="inlineStr">
        <is>
          <t>2026-09-23T09:40:50.965Z</t>
        </is>
      </c>
      <c r="G241" s="20" t="n">
        <v>0.72</v>
      </c>
      <c r="H241" s="18" t="n">
        <v>99.86</v>
      </c>
      <c r="I241" s="21" t="inlineStr">
        <is>
          <t>open</t>
        </is>
      </c>
      <c r="J241" s="22" t="inlineStr">
        <is>
          <t>f829c1e64dc220a789544b87270402b6ae0048d78b80c08636ad99617079809b</t>
        </is>
      </c>
      <c r="K241" s="21" t="inlineStr">
        <is>
          <t>open</t>
        </is>
      </c>
      <c r="L241" s="22" t="inlineStr">
        <is>
          <t>eab0d8d29ca0a5f5a856937709be052b2f02b5799153f07e0913cc79853a8939</t>
        </is>
      </c>
    </row>
    <row r="242">
      <c r="A242" s="4" t="inlineStr">
        <is>
          <t>SOL → Base</t>
        </is>
      </c>
      <c r="B242" s="4" t="n">
        <v>1</v>
      </c>
      <c r="C242" s="4" t="inlineStr">
        <is>
          <t>SimpleSwap</t>
        </is>
      </c>
      <c r="D242" s="4" t="inlineStr">
        <is>
          <t>2026-09-23T09:40:48.502Z</t>
        </is>
      </c>
      <c r="E242" s="4" t="inlineStr">
        <is>
          <t>2026-09-23T09:40:51.369Z</t>
        </is>
      </c>
      <c r="F242" s="4" t="inlineStr">
        <is>
          <t>2026-09-23T09:40:53.435Z</t>
        </is>
      </c>
      <c r="G242" s="20" t="n">
        <v>1.822</v>
      </c>
      <c r="H242" s="18" t="n">
        <v>98.48755199999999</v>
      </c>
      <c r="I242" s="21" t="inlineStr">
        <is>
          <t>open</t>
        </is>
      </c>
      <c r="J242" s="22" t="inlineStr">
        <is>
          <t>5e3df8a1cf8f72e64dffc1755b5f5029fcb12147ba7b26a56cd534d5349a3627</t>
        </is>
      </c>
      <c r="K242" s="21" t="inlineStr">
        <is>
          <t>open</t>
        </is>
      </c>
      <c r="L242" s="22" t="inlineStr">
        <is>
          <t>101e3d73f1f31f2e9067375e36fd32acbb3a1f7253679bdc49e9bde2f98a8ab3</t>
        </is>
      </c>
    </row>
    <row r="243">
      <c r="A243" s="4" t="inlineStr">
        <is>
          <t>SOL → Base</t>
        </is>
      </c>
      <c r="B243" s="4" t="n">
        <v>1</v>
      </c>
      <c r="C243" s="4" t="inlineStr">
        <is>
          <t>Skip Go</t>
        </is>
      </c>
      <c r="D243" s="4" t="inlineStr">
        <is>
          <t>2026-09-23T09:40:48.498Z</t>
        </is>
      </c>
      <c r="E243" s="4" t="inlineStr">
        <is>
          <t>2026-09-23T09:40:50.874Z</t>
        </is>
      </c>
      <c r="F243" s="4" t="inlineStr">
        <is>
          <t>2026-09-23T09:40:53.021Z</t>
        </is>
      </c>
      <c r="G243" s="20" t="n">
        <v>1.327</v>
      </c>
      <c r="H243" s="18" t="n">
        <v>99.98517</v>
      </c>
      <c r="I243" s="21" t="inlineStr">
        <is>
          <t>open</t>
        </is>
      </c>
      <c r="J243" s="22" t="inlineStr">
        <is>
          <t>b877c2583032af4e19467083731c318faeb042db0c8f9de1b8e09789949d7f7a</t>
        </is>
      </c>
      <c r="K243" s="21" t="inlineStr">
        <is>
          <t>open</t>
        </is>
      </c>
      <c r="L243" s="22" t="inlineStr">
        <is>
          <t>41eb264c808267c79322bf41de73fffe77c25c2daf71a93c482798d7d359c266</t>
        </is>
      </c>
    </row>
    <row r="244">
      <c r="A244" s="4" t="inlineStr">
        <is>
          <t>SOL → Base</t>
        </is>
      </c>
      <c r="B244" s="4" t="n">
        <v>2</v>
      </c>
      <c r="C244" s="4" t="inlineStr">
        <is>
          <t>Bridg</t>
        </is>
      </c>
      <c r="D244" s="4" t="inlineStr">
        <is>
          <t>2026-09-23T08:54:35.005Z</t>
        </is>
      </c>
      <c r="E244" s="4" t="inlineStr">
        <is>
          <t>2026-09-23T08:54:35.905Z</t>
        </is>
      </c>
      <c r="F244" s="4" t="inlineStr">
        <is>
          <t>2026-09-23T08:54:39.555Z</t>
        </is>
      </c>
      <c r="G244" s="20" t="n"/>
      <c r="H244" s="18" t="n">
        <v>99.94717</v>
      </c>
      <c r="I244" s="21" t="inlineStr">
        <is>
          <t>open</t>
        </is>
      </c>
      <c r="J244" s="22" t="inlineStr">
        <is>
          <t>f98fc94d2d0629d53002301dabd68e5f9e7d6b6c08a1a37103351229a4a56d91</t>
        </is>
      </c>
      <c r="K244" s="21" t="inlineStr">
        <is>
          <t>open</t>
        </is>
      </c>
      <c r="L244" s="22" t="inlineStr">
        <is>
          <t>49811f18065f53197fc9d8b2fd5e4e74951febde0a62ffc4ac2d91685a389e8c</t>
        </is>
      </c>
    </row>
    <row r="245">
      <c r="A245" s="4" t="inlineStr">
        <is>
          <t>SOL → Base</t>
        </is>
      </c>
      <c r="B245" s="4" t="n">
        <v>2</v>
      </c>
      <c r="C245" s="4" t="inlineStr">
        <is>
          <t>Bridg</t>
        </is>
      </c>
      <c r="D245" s="4" t="inlineStr">
        <is>
          <t>2026-09-23T09:44:48.291Z</t>
        </is>
      </c>
      <c r="E245" s="4" t="inlineStr">
        <is>
          <t>2026-09-23T09:44:49.251Z</t>
        </is>
      </c>
      <c r="F245" s="4" t="inlineStr">
        <is>
          <t>2026-09-23T09:44:52.667Z</t>
        </is>
      </c>
      <c r="G245" s="20" t="n"/>
      <c r="H245" s="18" t="n">
        <v>99.947174</v>
      </c>
      <c r="I245" s="21" t="inlineStr">
        <is>
          <t>open</t>
        </is>
      </c>
      <c r="J245" s="22" t="inlineStr">
        <is>
          <t>8333ae6e9e56068555d720d35ae60ea061f769a58c175255852c7466a0602a6b</t>
        </is>
      </c>
      <c r="K245" s="21" t="inlineStr">
        <is>
          <t>open</t>
        </is>
      </c>
      <c r="L245" s="22" t="inlineStr">
        <is>
          <t>c8023eee63ab87b3b974bb7198289af4cce684a66a3a177c6cd0397e87e0fc39</t>
        </is>
      </c>
    </row>
    <row r="246">
      <c r="A246" s="4" t="inlineStr">
        <is>
          <t>SOL → Base</t>
        </is>
      </c>
      <c r="B246" s="4" t="n">
        <v>2</v>
      </c>
      <c r="C246" s="4" t="inlineStr">
        <is>
          <t>Relay</t>
        </is>
      </c>
      <c r="D246" s="4" t="inlineStr">
        <is>
          <t>2026-09-23T08:54:35.005Z</t>
        </is>
      </c>
      <c r="E246" s="4" t="inlineStr">
        <is>
          <t>2026-09-23T08:54:36.442Z</t>
        </is>
      </c>
      <c r="F246" s="4" t="inlineStr">
        <is>
          <t>2026-09-23T08:54:38.640Z</t>
        </is>
      </c>
      <c r="G246" s="20" t="n">
        <v>0.537</v>
      </c>
      <c r="H246" s="18" t="n">
        <v>99.952681</v>
      </c>
      <c r="I246" s="21" t="inlineStr">
        <is>
          <t>open</t>
        </is>
      </c>
      <c r="J246" s="22" t="inlineStr">
        <is>
          <t>bbaf9b9dad97860b46a09eeaf9a057149de5480542b398232c3409050b88b035</t>
        </is>
      </c>
      <c r="K246" s="21" t="inlineStr">
        <is>
          <t>open</t>
        </is>
      </c>
      <c r="L246" s="22" t="inlineStr">
        <is>
          <t>afcaf46f51e1038931a3fba4726a7464659a6991b247e39fb2a9527622a5645d</t>
        </is>
      </c>
    </row>
    <row r="247">
      <c r="A247" s="4" t="inlineStr">
        <is>
          <t>SOL → Base</t>
        </is>
      </c>
      <c r="B247" s="4" t="n">
        <v>2</v>
      </c>
      <c r="C247" s="4" t="inlineStr">
        <is>
          <t>Relay</t>
        </is>
      </c>
      <c r="D247" s="4" t="inlineStr">
        <is>
          <t>2026-09-23T09:44:48.292Z</t>
        </is>
      </c>
      <c r="E247" s="4" t="inlineStr">
        <is>
          <t>2026-09-23T09:44:49.817Z</t>
        </is>
      </c>
      <c r="F247" s="4" t="inlineStr">
        <is>
          <t>2026-09-23T09:44:51.934Z</t>
        </is>
      </c>
      <c r="G247" s="20" t="n">
        <v>0.5659999999999999</v>
      </c>
      <c r="H247" s="18" t="n">
        <v>99.953163</v>
      </c>
      <c r="I247" s="21" t="inlineStr">
        <is>
          <t>open</t>
        </is>
      </c>
      <c r="J247" s="22" t="inlineStr">
        <is>
          <t>930de9f71c1fe80531860386846da6d21c8cd2913c65e69a2f77187c0f017d7e</t>
        </is>
      </c>
      <c r="K247" s="21" t="inlineStr">
        <is>
          <t>open</t>
        </is>
      </c>
      <c r="L247" s="22" t="inlineStr">
        <is>
          <t>4421030fdc4fe1132710e0e6efe5fcee96b7776924b4f8d182d2ef7d54e95753</t>
        </is>
      </c>
    </row>
    <row r="248">
      <c r="A248" s="4" t="inlineStr">
        <is>
          <t>SOL → Base</t>
        </is>
      </c>
      <c r="B248" s="4" t="n">
        <v>2</v>
      </c>
      <c r="C248" s="4" t="inlineStr">
        <is>
          <t>deBridge</t>
        </is>
      </c>
      <c r="D248" s="4" t="inlineStr">
        <is>
          <t>2026-09-23T08:54:35.005Z</t>
        </is>
      </c>
      <c r="E248" s="4" t="inlineStr">
        <is>
          <t>2026-09-23T08:54:36.442Z</t>
        </is>
      </c>
      <c r="F248" s="4" t="inlineStr">
        <is>
          <t>2026-09-23T08:54:38.641Z</t>
        </is>
      </c>
      <c r="G248" s="20" t="n">
        <v>0.537</v>
      </c>
      <c r="H248" s="18" t="n">
        <v>99.920018</v>
      </c>
      <c r="I248" s="21" t="inlineStr">
        <is>
          <t>open</t>
        </is>
      </c>
      <c r="J248" s="22" t="inlineStr">
        <is>
          <t>5e20f44b8c1c6fb21f68e0f3c341c4659c562d979c3f0148418fa813876c90de</t>
        </is>
      </c>
      <c r="K248" s="21" t="inlineStr">
        <is>
          <t>open</t>
        </is>
      </c>
      <c r="L248" s="22" t="inlineStr">
        <is>
          <t>b7bc9c6f0d1055422cc1ab1bb29a580f8d9e0e184ed5d537dda1e3f8dec3d083</t>
        </is>
      </c>
    </row>
    <row r="249">
      <c r="A249" s="4" t="inlineStr">
        <is>
          <t>SOL → Base</t>
        </is>
      </c>
      <c r="B249" s="4" t="n">
        <v>2</v>
      </c>
      <c r="C249" s="4" t="inlineStr">
        <is>
          <t>deBridge</t>
        </is>
      </c>
      <c r="D249" s="4" t="inlineStr">
        <is>
          <t>2026-09-23T09:44:48.292Z</t>
        </is>
      </c>
      <c r="E249" s="4" t="inlineStr">
        <is>
          <t>2026-09-23T09:44:50.411Z</t>
        </is>
      </c>
      <c r="F249" s="4" t="inlineStr">
        <is>
          <t>2026-09-23T09:44:52.667Z</t>
        </is>
      </c>
      <c r="G249" s="20" t="n">
        <v>1.16</v>
      </c>
      <c r="H249" s="18" t="n">
        <v>99.880033</v>
      </c>
      <c r="I249" s="21" t="inlineStr">
        <is>
          <t>open</t>
        </is>
      </c>
      <c r="J249" s="22" t="inlineStr">
        <is>
          <t>0d92a38afdc783d2f67a63010f021c56e2188ec3ca22d9f72a7c148b6234955d</t>
        </is>
      </c>
      <c r="K249" s="21" t="inlineStr">
        <is>
          <t>open</t>
        </is>
      </c>
      <c r="L249" s="22" t="inlineStr">
        <is>
          <t>10201abb5889550cfe8939574306577967d0f03ac23fe5ed906fa3688bc68039</t>
        </is>
      </c>
    </row>
    <row r="250">
      <c r="A250" s="4" t="inlineStr">
        <is>
          <t>SOL → Base</t>
        </is>
      </c>
      <c r="B250" s="4" t="n">
        <v>2</v>
      </c>
      <c r="C250" s="4" t="inlineStr">
        <is>
          <t>LI.FI (Jumper)</t>
        </is>
      </c>
      <c r="D250" s="4" t="inlineStr">
        <is>
          <t>2026-09-23T08:54:35.006Z</t>
        </is>
      </c>
      <c r="E250" s="4" t="inlineStr">
        <is>
          <t>2026-09-23T08:54:37.683Z</t>
        </is>
      </c>
      <c r="F250" s="4" t="inlineStr">
        <is>
          <t>2026-09-23T08:54:39.827Z</t>
        </is>
      </c>
      <c r="G250" s="20" t="n">
        <v>1.778</v>
      </c>
      <c r="H250" s="18" t="n">
        <v>100</v>
      </c>
      <c r="I250" s="21" t="inlineStr">
        <is>
          <t>open</t>
        </is>
      </c>
      <c r="J250" s="22" t="inlineStr">
        <is>
          <t>98728a8d6ccb87a2119841460fcaebd87e9b8c9ffe65e5a4b33511bc678cf76d</t>
        </is>
      </c>
      <c r="K250" s="21" t="inlineStr">
        <is>
          <t>open</t>
        </is>
      </c>
      <c r="L250" s="22" t="inlineStr">
        <is>
          <t>10daba12ae979a0d02798e6bb085903874c004036317e6e3b64b503c468437d4</t>
        </is>
      </c>
    </row>
    <row r="251">
      <c r="A251" s="4" t="inlineStr">
        <is>
          <t>SOL → Base</t>
        </is>
      </c>
      <c r="B251" s="4" t="n">
        <v>2</v>
      </c>
      <c r="C251" s="4" t="inlineStr">
        <is>
          <t>LI.FI (Jumper)</t>
        </is>
      </c>
      <c r="D251" s="4" t="inlineStr">
        <is>
          <t>2026-09-23T09:44:48.293Z</t>
        </is>
      </c>
      <c r="E251" s="4" t="inlineStr">
        <is>
          <t>2026-09-23T09:44:50.611Z</t>
        </is>
      </c>
      <c r="F251" s="4" t="inlineStr">
        <is>
          <t>2026-09-23T09:44:52.656Z</t>
        </is>
      </c>
      <c r="G251" s="20" t="n">
        <v>1.36</v>
      </c>
      <c r="H251" s="18" t="n">
        <v>100</v>
      </c>
      <c r="I251" s="21" t="inlineStr">
        <is>
          <t>open</t>
        </is>
      </c>
      <c r="J251" s="22" t="inlineStr">
        <is>
          <t>2ca45e7adab2b4c0d13620c15b06f105063d00968abf0081a060701445e2cd5e</t>
        </is>
      </c>
      <c r="K251" s="21" t="inlineStr">
        <is>
          <t>open</t>
        </is>
      </c>
      <c r="L251" s="22" t="inlineStr">
        <is>
          <t>f24983040eb0223902c115e13232e5f451b3f452ed6b29de6694a477713a0163</t>
        </is>
      </c>
    </row>
    <row r="252">
      <c r="A252" s="4" t="inlineStr">
        <is>
          <t>SOL → Base</t>
        </is>
      </c>
      <c r="B252" s="4" t="n">
        <v>2</v>
      </c>
      <c r="C252" s="4" t="inlineStr">
        <is>
          <t>Across</t>
        </is>
      </c>
      <c r="D252" s="4" t="inlineStr">
        <is>
          <t>2026-09-23T08:54:35.005Z</t>
        </is>
      </c>
      <c r="E252" s="4" t="inlineStr">
        <is>
          <t>2026-09-23T08:54:35.938Z</t>
        </is>
      </c>
      <c r="F252" s="4" t="inlineStr">
        <is>
          <t>2026-09-23T08:54:38.063Z</t>
        </is>
      </c>
      <c r="G252" s="20" t="n">
        <v>0.033</v>
      </c>
      <c r="H252" s="18" t="n">
        <v>99.98999999999999</v>
      </c>
      <c r="I252" s="21" t="inlineStr">
        <is>
          <t>open</t>
        </is>
      </c>
      <c r="J252" s="22" t="inlineStr">
        <is>
          <t>1a8cb194f967d84de78bb71694170c5c681466b8f619602818186c9eb4477026</t>
        </is>
      </c>
      <c r="K252" s="21" t="inlineStr">
        <is>
          <t>open</t>
        </is>
      </c>
      <c r="L252" s="22" t="inlineStr">
        <is>
          <t>233a800e448911060bc34ea5e6a5b03695d7f46081d6cd5be028f2cc7385b4dd</t>
        </is>
      </c>
    </row>
    <row r="253">
      <c r="A253" s="4" t="inlineStr">
        <is>
          <t>SOL → Base</t>
        </is>
      </c>
      <c r="B253" s="4" t="n">
        <v>2</v>
      </c>
      <c r="C253" s="4" t="inlineStr">
        <is>
          <t>Across</t>
        </is>
      </c>
      <c r="D253" s="4" t="inlineStr">
        <is>
          <t>2026-09-23T09:44:48.291Z</t>
        </is>
      </c>
      <c r="E253" s="4" t="inlineStr">
        <is>
          <t>2026-09-23T09:44:49.282Z</t>
        </is>
      </c>
      <c r="F253" s="4" t="inlineStr">
        <is>
          <t>2026-09-23T09:44:51.408Z</t>
        </is>
      </c>
      <c r="G253" s="20" t="n">
        <v>0.031</v>
      </c>
      <c r="H253" s="18" t="n">
        <v>99.98999999999999</v>
      </c>
      <c r="I253" s="21" t="inlineStr">
        <is>
          <t>open</t>
        </is>
      </c>
      <c r="J253" s="22" t="inlineStr">
        <is>
          <t>1a8cb194f967d84de78bb71694170c5c681466b8f619602818186c9eb4477026</t>
        </is>
      </c>
      <c r="K253" s="21" t="inlineStr">
        <is>
          <t>open</t>
        </is>
      </c>
      <c r="L253" s="22" t="inlineStr">
        <is>
          <t>3621be90c78410c2b11e43219e4cac45d9c1908d4b0477601afea9d17c2ea0df</t>
        </is>
      </c>
    </row>
    <row r="254">
      <c r="A254" s="4" t="inlineStr">
        <is>
          <t>SOL → Base</t>
        </is>
      </c>
      <c r="B254" s="4" t="n">
        <v>2</v>
      </c>
      <c r="C254" s="4" t="inlineStr">
        <is>
          <t>Mayan</t>
        </is>
      </c>
      <c r="D254" s="4" t="inlineStr">
        <is>
          <t>2026-09-23T08:54:35.004Z</t>
        </is>
      </c>
      <c r="E254" s="4" t="inlineStr">
        <is>
          <t>2026-09-23T08:54:36.157Z</t>
        </is>
      </c>
      <c r="F254" s="4" t="inlineStr">
        <is>
          <t>2026-09-23T08:54:38.278Z</t>
        </is>
      </c>
      <c r="G254" s="20" t="n">
        <v>0.252</v>
      </c>
      <c r="H254" s="18" t="n">
        <v>99.92700000000001</v>
      </c>
      <c r="I254" s="21" t="inlineStr">
        <is>
          <t>open</t>
        </is>
      </c>
      <c r="J254" s="22" t="inlineStr">
        <is>
          <t>39b641660f7f90c97018acbbbc5fbd2404c5d32878a976a919c4ea6e0a214c45</t>
        </is>
      </c>
      <c r="K254" s="21" t="inlineStr">
        <is>
          <t>open</t>
        </is>
      </c>
      <c r="L254" s="22" t="inlineStr">
        <is>
          <t>34bb1ac99fab9a5780307e68f65a792c39cdc6151cb2e9a55706a76ba02e31c3</t>
        </is>
      </c>
    </row>
    <row r="255">
      <c r="A255" s="4" t="inlineStr">
        <is>
          <t>SOL → Base</t>
        </is>
      </c>
      <c r="B255" s="4" t="n">
        <v>2</v>
      </c>
      <c r="C255" s="4" t="inlineStr">
        <is>
          <t>Mayan</t>
        </is>
      </c>
      <c r="D255" s="4" t="inlineStr">
        <is>
          <t>2026-09-23T09:44:48.290Z</t>
        </is>
      </c>
      <c r="E255" s="4" t="inlineStr">
        <is>
          <t>2026-09-23T09:44:49.534Z</t>
        </is>
      </c>
      <c r="F255" s="4" t="inlineStr">
        <is>
          <t>2026-09-23T09:44:51.908Z</t>
        </is>
      </c>
      <c r="G255" s="20" t="n">
        <v>0.283</v>
      </c>
      <c r="H255" s="18" t="n">
        <v>99.92700000000001</v>
      </c>
      <c r="I255" s="21" t="inlineStr">
        <is>
          <t>open</t>
        </is>
      </c>
      <c r="J255" s="22" t="inlineStr">
        <is>
          <t>39b641660f7f90c97018acbbbc5fbd2404c5d32878a976a919c4ea6e0a214c45</t>
        </is>
      </c>
      <c r="K255" s="21" t="inlineStr">
        <is>
          <t>open</t>
        </is>
      </c>
      <c r="L255" s="22" t="inlineStr">
        <is>
          <t>34bb1ac99fab9a5780307e68f65a792c39cdc6151cb2e9a55706a76ba02e31c3</t>
        </is>
      </c>
    </row>
    <row r="256">
      <c r="A256" s="4" t="inlineStr">
        <is>
          <t>SOL → Base</t>
        </is>
      </c>
      <c r="B256" s="4" t="n">
        <v>2</v>
      </c>
      <c r="C256" s="4" t="inlineStr">
        <is>
          <t>Allbridge Core</t>
        </is>
      </c>
      <c r="D256" s="4" t="inlineStr">
        <is>
          <t>2026-09-23T09:44:48.293Z</t>
        </is>
      </c>
      <c r="E256" s="4" t="inlineStr">
        <is>
          <t>2026-09-23T09:44:49.466Z</t>
        </is>
      </c>
      <c r="F256" s="4" t="inlineStr">
        <is>
          <t>2026-09-23T09:44:51.949Z</t>
        </is>
      </c>
      <c r="G256" s="20" t="n">
        <v>0.215</v>
      </c>
      <c r="H256" s="18" t="n">
        <v>99.90000000000001</v>
      </c>
      <c r="I256" s="21" t="inlineStr">
        <is>
          <t>open</t>
        </is>
      </c>
      <c r="J256" s="22" t="inlineStr">
        <is>
          <t>172ec8b7c9a9b58a37e8b6f46d463c01d84bd2976e3373d2cbdf2183e2b41e41</t>
        </is>
      </c>
      <c r="K256" s="21" t="inlineStr">
        <is>
          <t>open</t>
        </is>
      </c>
      <c r="L256" s="22" t="inlineStr">
        <is>
          <t>c95fcbbcb5c4b2b0646fc77e2757e9e4d2bb7a03fe71850e54a702c7fe9045a5</t>
        </is>
      </c>
    </row>
    <row r="257">
      <c r="A257" s="4" t="inlineStr">
        <is>
          <t>SOL → Base</t>
        </is>
      </c>
      <c r="B257" s="4" t="n">
        <v>2</v>
      </c>
      <c r="C257" s="4" t="inlineStr">
        <is>
          <t>CCTP (via Portal)</t>
        </is>
      </c>
      <c r="D257" s="4" t="inlineStr">
        <is>
          <t>2026-09-23T09:44:48.293Z</t>
        </is>
      </c>
      <c r="E257" s="4" t="inlineStr">
        <is>
          <t>2026-09-23T09:44:51.619Z</t>
        </is>
      </c>
      <c r="F257" s="4" t="inlineStr">
        <is>
          <t>2026-09-23T09:44:54.205Z</t>
        </is>
      </c>
      <c r="G257" s="20" t="n">
        <v>2.368</v>
      </c>
      <c r="H257" s="18" t="n">
        <v>99.98999999999999</v>
      </c>
      <c r="I257" s="21" t="inlineStr">
        <is>
          <t>open</t>
        </is>
      </c>
      <c r="J257" s="22" t="inlineStr">
        <is>
          <t>122b552af859464f7f24bc94037552edc9159f22bbf24b5ce3cfa3e2de4344ff</t>
        </is>
      </c>
      <c r="K257" s="21" t="inlineStr">
        <is>
          <t>open</t>
        </is>
      </c>
      <c r="L257" s="22" t="inlineStr">
        <is>
          <t>2ba63f5d0004f8c71c4280dc0bdf69951f1020425db09dd4e7c0a64227a1c8a9</t>
        </is>
      </c>
    </row>
    <row r="258">
      <c r="A258" s="4" t="inlineStr">
        <is>
          <t>SOL → Base</t>
        </is>
      </c>
      <c r="B258" s="4" t="n">
        <v>2</v>
      </c>
      <c r="C258" s="4" t="inlineStr">
        <is>
          <t>Husher</t>
        </is>
      </c>
      <c r="D258" s="4" t="inlineStr">
        <is>
          <t>2026-09-23T09:44:48.294Z</t>
        </is>
      </c>
      <c r="E258" s="4" t="inlineStr">
        <is>
          <t>2026-09-23T09:44:49.586Z</t>
        </is>
      </c>
      <c r="F258" s="4" t="inlineStr">
        <is>
          <t>2026-09-23T09:44:51.935Z</t>
        </is>
      </c>
      <c r="G258" s="20" t="n">
        <v>0.335</v>
      </c>
      <c r="H258" s="18" t="n">
        <v>99.45</v>
      </c>
      <c r="I258" s="21" t="inlineStr">
        <is>
          <t>open</t>
        </is>
      </c>
      <c r="J258" s="22" t="inlineStr">
        <is>
          <t>70aeb2e8ed9f6e947ed86b27a107e0dbd180461db2d8b80e1870ef3f9a94e11a</t>
        </is>
      </c>
      <c r="K258" s="21" t="inlineStr">
        <is>
          <t>open</t>
        </is>
      </c>
      <c r="L258" s="22" t="inlineStr">
        <is>
          <t>8e588193e1f458adfb1e30291302dbe61866e4ea57428765611656d2cd49d671</t>
        </is>
      </c>
    </row>
    <row r="259">
      <c r="A259" s="4" t="inlineStr">
        <is>
          <t>SOL → Base</t>
        </is>
      </c>
      <c r="B259" s="4" t="n">
        <v>2</v>
      </c>
      <c r="C259" s="4" t="inlineStr">
        <is>
          <t>Layerswap</t>
        </is>
      </c>
      <c r="D259" s="4" t="inlineStr">
        <is>
          <t>2026-09-23T09:44:48.290Z</t>
        </is>
      </c>
      <c r="E259" s="4" t="inlineStr">
        <is>
          <t>2026-09-23T09:44:50.508Z</t>
        </is>
      </c>
      <c r="F259" s="4" t="inlineStr">
        <is>
          <t>2026-09-23T09:44:52.667Z</t>
        </is>
      </c>
      <c r="G259" s="20" t="n">
        <v>1.257</v>
      </c>
      <c r="H259" s="18" t="n">
        <v>99.864299</v>
      </c>
      <c r="I259" s="21" t="inlineStr">
        <is>
          <t>open</t>
        </is>
      </c>
      <c r="J259" s="22" t="inlineStr">
        <is>
          <t>ef54d661d13bd98447130e029326ae0cbb7e759fed5b5e3f657fd44f2d8749ff</t>
        </is>
      </c>
      <c r="K259" s="21" t="inlineStr">
        <is>
          <t>open</t>
        </is>
      </c>
      <c r="L259" s="22" t="inlineStr">
        <is>
          <t>7e86fd44abc6fbb33e0dafc48033bf6922ddfe3eca072ecec852e6a354a4c0c7</t>
        </is>
      </c>
    </row>
    <row r="260">
      <c r="A260" s="4" t="inlineStr">
        <is>
          <t>SOL → Base</t>
        </is>
      </c>
      <c r="B260" s="4" t="n">
        <v>2</v>
      </c>
      <c r="C260" s="4" t="inlineStr">
        <is>
          <t>Meson</t>
        </is>
      </c>
      <c r="D260" s="4" t="inlineStr">
        <is>
          <t>2026-09-23T09:44:48.294Z</t>
        </is>
      </c>
      <c r="E260" s="4" t="inlineStr">
        <is>
          <t>2026-09-23T09:44:48.634Z</t>
        </is>
      </c>
      <c r="F260" s="4" t="inlineStr">
        <is>
          <t>2026-09-23T09:44:50.785Z</t>
        </is>
      </c>
      <c r="G260" s="20" t="n">
        <v>0.617</v>
      </c>
      <c r="H260" s="18" t="n">
        <v>99.86</v>
      </c>
      <c r="I260" s="21" t="inlineStr">
        <is>
          <t>open</t>
        </is>
      </c>
      <c r="J260" s="22" t="inlineStr">
        <is>
          <t>f829c1e64dc220a789544b87270402b6ae0048d78b80c08636ad99617079809b</t>
        </is>
      </c>
      <c r="K260" s="21" t="inlineStr">
        <is>
          <t>open</t>
        </is>
      </c>
      <c r="L260" s="22" t="inlineStr">
        <is>
          <t>4668634f066d9943118202148da684627fcdb5cd52864fe06760e4213ac38bf3</t>
        </is>
      </c>
    </row>
    <row r="261">
      <c r="A261" s="4" t="inlineStr">
        <is>
          <t>SOL → Base</t>
        </is>
      </c>
      <c r="B261" s="4" t="n">
        <v>2</v>
      </c>
      <c r="C261" s="4" t="inlineStr">
        <is>
          <t>SimpleSwap</t>
        </is>
      </c>
      <c r="D261" s="4" t="inlineStr">
        <is>
          <t>2026-09-23T09:44:48.295Z</t>
        </is>
      </c>
      <c r="E261" s="4" t="inlineStr">
        <is>
          <t>2026-09-23T09:44:50.862Z</t>
        </is>
      </c>
      <c r="F261" s="4" t="inlineStr">
        <is>
          <t>2026-09-23T09:44:53.169Z</t>
        </is>
      </c>
      <c r="G261" s="20" t="n">
        <v>1.611</v>
      </c>
      <c r="H261" s="18" t="n">
        <v>98.48755199999999</v>
      </c>
      <c r="I261" s="21" t="inlineStr">
        <is>
          <t>open</t>
        </is>
      </c>
      <c r="J261" s="22" t="inlineStr">
        <is>
          <t>78b8cd8fea21fa3814f62d8b1955dacdcd35ea17f6cd1c5310120407161411ec</t>
        </is>
      </c>
      <c r="K261" s="21" t="inlineStr">
        <is>
          <t>open</t>
        </is>
      </c>
      <c r="L261" s="22" t="inlineStr">
        <is>
          <t>ceaa5b99a4bdd572b862fe9c5791062f6e3cc782111fa8e251604597e5e95d92</t>
        </is>
      </c>
    </row>
    <row r="262">
      <c r="A262" s="4" t="inlineStr">
        <is>
          <t>SOL → Base</t>
        </is>
      </c>
      <c r="B262" s="4" t="n">
        <v>2</v>
      </c>
      <c r="C262" s="4" t="inlineStr">
        <is>
          <t>Skip Go</t>
        </is>
      </c>
      <c r="D262" s="4" t="inlineStr">
        <is>
          <t>2026-09-23T09:44:48.292Z</t>
        </is>
      </c>
      <c r="E262" s="4" t="inlineStr">
        <is>
          <t>2026-09-23T09:44:50.481Z</t>
        </is>
      </c>
      <c r="F262" s="4" t="inlineStr">
        <is>
          <t>2026-09-23T09:44:52.668Z</t>
        </is>
      </c>
      <c r="G262" s="20" t="n">
        <v>1.23</v>
      </c>
      <c r="H262" s="18" t="n">
        <v>99.98517</v>
      </c>
      <c r="I262" s="21" t="inlineStr">
        <is>
          <t>open</t>
        </is>
      </c>
      <c r="J262" s="22" t="inlineStr">
        <is>
          <t>ceb1ffd4010796552d798617d93c82a9d9241f56b91e6f639a8d135e8165f56c</t>
        </is>
      </c>
      <c r="K262" s="21" t="inlineStr">
        <is>
          <t>open</t>
        </is>
      </c>
      <c r="L262" s="22" t="inlineStr">
        <is>
          <t>41eb264c808267c79322bf41de73fffe77c25c2daf71a93c482798d7d359c266</t>
        </is>
      </c>
    </row>
    <row r="263">
      <c r="A263" s="4" t="inlineStr">
        <is>
          <t>SOL → Base</t>
        </is>
      </c>
      <c r="B263" s="4" t="n">
        <v>3</v>
      </c>
      <c r="C263" s="4" t="inlineStr">
        <is>
          <t>Bridg</t>
        </is>
      </c>
      <c r="D263" s="4" t="inlineStr">
        <is>
          <t>2026-09-23T08:57:05.518Z</t>
        </is>
      </c>
      <c r="E263" s="4" t="inlineStr">
        <is>
          <t>2026-09-23T08:57:06.405Z</t>
        </is>
      </c>
      <c r="F263" s="4" t="inlineStr">
        <is>
          <t>2026-09-23T08:57:09.342Z</t>
        </is>
      </c>
      <c r="G263" s="20" t="n"/>
      <c r="H263" s="18" t="n">
        <v>99.947171</v>
      </c>
      <c r="I263" s="21" t="inlineStr">
        <is>
          <t>open</t>
        </is>
      </c>
      <c r="J263" s="22" t="inlineStr">
        <is>
          <t>8be6fe143d02fb9fd1910d33b53b246eb39c7852541f01cfdeefb9040b1a8b23</t>
        </is>
      </c>
      <c r="K263" s="21" t="inlineStr">
        <is>
          <t>open</t>
        </is>
      </c>
      <c r="L263" s="22" t="inlineStr">
        <is>
          <t>d2a4951f7a66ede0e7332302479a8f056383554a805d891b6ea0c632136ad8b3</t>
        </is>
      </c>
    </row>
    <row r="264">
      <c r="A264" s="4" t="inlineStr">
        <is>
          <t>SOL → Base</t>
        </is>
      </c>
      <c r="B264" s="4" t="n">
        <v>3</v>
      </c>
      <c r="C264" s="4" t="inlineStr">
        <is>
          <t>Bridg</t>
        </is>
      </c>
      <c r="D264" s="4" t="inlineStr">
        <is>
          <t>2026-09-23T09:48:26.939Z</t>
        </is>
      </c>
      <c r="E264" s="4" t="inlineStr">
        <is>
          <t>2026-09-23T09:48:28.001Z</t>
        </is>
      </c>
      <c r="F264" s="4" t="inlineStr">
        <is>
          <t>2026-09-23T09:48:31.140Z</t>
        </is>
      </c>
      <c r="G264" s="20" t="n"/>
      <c r="H264" s="18" t="n">
        <v>99.947174</v>
      </c>
      <c r="I264" s="21" t="inlineStr">
        <is>
          <t>open</t>
        </is>
      </c>
      <c r="J264" s="22" t="inlineStr">
        <is>
          <t>97b7ef55a93d3361d1e44468d267b1189ad2550e08825365c9276cac3de3c3f6</t>
        </is>
      </c>
      <c r="K264" s="21" t="inlineStr">
        <is>
          <t>open</t>
        </is>
      </c>
      <c r="L264" s="22" t="inlineStr">
        <is>
          <t>f783de4b07a2fb82b1f403b93d8b521581cf73e1b0fb3dd41a5e95833b04435d</t>
        </is>
      </c>
    </row>
    <row r="265">
      <c r="A265" s="4" t="inlineStr">
        <is>
          <t>SOL → Base</t>
        </is>
      </c>
      <c r="B265" s="4" t="n">
        <v>3</v>
      </c>
      <c r="C265" s="4" t="inlineStr">
        <is>
          <t>Relay</t>
        </is>
      </c>
      <c r="D265" s="4" t="inlineStr">
        <is>
          <t>2026-09-23T08:57:05.517Z</t>
        </is>
      </c>
      <c r="E265" s="4" t="inlineStr">
        <is>
          <t>2026-09-23T08:57:06.949Z</t>
        </is>
      </c>
      <c r="F265" s="4" t="inlineStr">
        <is>
          <t>2026-09-23T08:57:09.340Z</t>
        </is>
      </c>
      <c r="G265" s="20" t="n">
        <v>0.544</v>
      </c>
      <c r="H265" s="18" t="n">
        <v>99.95285800000001</v>
      </c>
      <c r="I265" s="21" t="inlineStr">
        <is>
          <t>open</t>
        </is>
      </c>
      <c r="J265" s="22" t="inlineStr">
        <is>
          <t>e11b9d99eda9725a4e53b07ae638159b3d42b60c727542133c5eb2fecf6eac4f</t>
        </is>
      </c>
      <c r="K265" s="21" t="inlineStr">
        <is>
          <t>open</t>
        </is>
      </c>
      <c r="L265" s="22" t="inlineStr">
        <is>
          <t>a6b60df3176a677b776508c53417b634b8dddc167589ca3637ed4e1c443bcee1</t>
        </is>
      </c>
    </row>
    <row r="266">
      <c r="A266" s="4" t="inlineStr">
        <is>
          <t>SOL → Base</t>
        </is>
      </c>
      <c r="B266" s="4" t="n">
        <v>3</v>
      </c>
      <c r="C266" s="4" t="inlineStr">
        <is>
          <t>Relay</t>
        </is>
      </c>
      <c r="D266" s="4" t="inlineStr">
        <is>
          <t>2026-09-23T09:48:26.939Z</t>
        </is>
      </c>
      <c r="E266" s="4" t="inlineStr">
        <is>
          <t>2026-09-23T09:48:29.052Z</t>
        </is>
      </c>
      <c r="F266" s="4" t="inlineStr">
        <is>
          <t>2026-09-23T09:48:31.138Z</t>
        </is>
      </c>
      <c r="G266" s="20" t="n">
        <v>1.051</v>
      </c>
      <c r="H266" s="18" t="n">
        <v>99.951452</v>
      </c>
      <c r="I266" s="21" t="inlineStr">
        <is>
          <t>open</t>
        </is>
      </c>
      <c r="J266" s="22" t="inlineStr">
        <is>
          <t>b98dc308144deaf005ba2b94c5723734c26cae5096abde1a33efc098e29fed2f</t>
        </is>
      </c>
      <c r="K266" s="21" t="inlineStr">
        <is>
          <t>open</t>
        </is>
      </c>
      <c r="L266" s="22" t="inlineStr">
        <is>
          <t>791ae5e8f5cf5e1a750e0dc4858673c786b50d9eb482dbd7df0074cd1a2382e5</t>
        </is>
      </c>
    </row>
    <row r="267">
      <c r="A267" s="4" t="inlineStr">
        <is>
          <t>SOL → Base</t>
        </is>
      </c>
      <c r="B267" s="4" t="n">
        <v>3</v>
      </c>
      <c r="C267" s="4" t="inlineStr">
        <is>
          <t>deBridge</t>
        </is>
      </c>
      <c r="D267" s="4" t="inlineStr">
        <is>
          <t>2026-09-23T08:57:05.518Z</t>
        </is>
      </c>
      <c r="E267" s="4" t="inlineStr">
        <is>
          <t>2026-09-23T08:57:06.949Z</t>
        </is>
      </c>
      <c r="F267" s="4" t="inlineStr">
        <is>
          <t>2026-09-23T08:57:09.341Z</t>
        </is>
      </c>
      <c r="G267" s="20" t="n">
        <v>0.544</v>
      </c>
      <c r="H267" s="18" t="n">
        <v>99.920018</v>
      </c>
      <c r="I267" s="21" t="inlineStr">
        <is>
          <t>open</t>
        </is>
      </c>
      <c r="J267" s="22" t="inlineStr">
        <is>
          <t>d3830e142e0f4fe4f20473cd695396782ad4e6a70ff10a1c8a7bf1c97eb1ecd8</t>
        </is>
      </c>
      <c r="K267" s="21" t="inlineStr">
        <is>
          <t>open</t>
        </is>
      </c>
      <c r="L267" s="22" t="inlineStr">
        <is>
          <t>7481e924c2db7e999ad8688284f1d7d60e628d4680b6306daa7fbead45692467</t>
        </is>
      </c>
    </row>
    <row r="268">
      <c r="A268" s="4" t="inlineStr">
        <is>
          <t>SOL → Base</t>
        </is>
      </c>
      <c r="B268" s="4" t="n">
        <v>3</v>
      </c>
      <c r="C268" s="4" t="inlineStr">
        <is>
          <t>deBridge</t>
        </is>
      </c>
      <c r="D268" s="4" t="inlineStr">
        <is>
          <t>2026-09-23T09:48:26.940Z</t>
        </is>
      </c>
      <c r="E268" s="4" t="inlineStr">
        <is>
          <t>2026-09-23T09:48:28.752Z</t>
        </is>
      </c>
      <c r="F268" s="4" t="inlineStr">
        <is>
          <t>2026-09-23T09:48:30.792Z</t>
        </is>
      </c>
      <c r="G268" s="20" t="n">
        <v>0.751</v>
      </c>
      <c r="H268" s="18" t="n">
        <v>99.880033</v>
      </c>
      <c r="I268" s="21" t="inlineStr">
        <is>
          <t>open</t>
        </is>
      </c>
      <c r="J268" s="22" t="inlineStr">
        <is>
          <t>a1f2d4c7d6c81963daae9020e94beaa1fb9ba7f55d7c2dad30338428c76d3851</t>
        </is>
      </c>
      <c r="K268" s="21" t="inlineStr">
        <is>
          <t>open</t>
        </is>
      </c>
      <c r="L268" s="22" t="inlineStr">
        <is>
          <t>91e6d580af7cc3dae4d4e23e1c87633b9e4d6fade868579e33676f0624c2713c</t>
        </is>
      </c>
    </row>
    <row r="269">
      <c r="A269" s="4" t="inlineStr">
        <is>
          <t>SOL → Base</t>
        </is>
      </c>
      <c r="B269" s="4" t="n">
        <v>3</v>
      </c>
      <c r="C269" s="4" t="inlineStr">
        <is>
          <t>LI.FI (Jumper)</t>
        </is>
      </c>
      <c r="D269" s="4" t="inlineStr">
        <is>
          <t>2026-09-23T08:57:05.518Z</t>
        </is>
      </c>
      <c r="E269" s="4" t="inlineStr">
        <is>
          <t>2026-09-23T08:57:08.185Z</t>
        </is>
      </c>
      <c r="F269" s="4" t="inlineStr">
        <is>
          <t>2026-09-23T08:57:10.227Z</t>
        </is>
      </c>
      <c r="G269" s="20" t="n">
        <v>1.78</v>
      </c>
      <c r="H269" s="18" t="n">
        <v>100</v>
      </c>
      <c r="I269" s="21" t="inlineStr">
        <is>
          <t>open</t>
        </is>
      </c>
      <c r="J269" s="22" t="inlineStr">
        <is>
          <t>d496f85075838b8990aa85d71a77ef4c5798562e68edd42a2296d66f68788a8e</t>
        </is>
      </c>
      <c r="K269" s="21" t="inlineStr">
        <is>
          <t>open</t>
        </is>
      </c>
      <c r="L269" s="22" t="inlineStr">
        <is>
          <t>d374815789de3916bcbc63d63174baa6db237dcd323bbcaf419b799a7626c3f5</t>
        </is>
      </c>
    </row>
    <row r="270">
      <c r="A270" s="4" t="inlineStr">
        <is>
          <t>SOL → Base</t>
        </is>
      </c>
      <c r="B270" s="4" t="n">
        <v>3</v>
      </c>
      <c r="C270" s="4" t="inlineStr">
        <is>
          <t>LI.FI (Jumper)</t>
        </is>
      </c>
      <c r="D270" s="4" t="inlineStr">
        <is>
          <t>2026-09-23T09:48:26.940Z</t>
        </is>
      </c>
      <c r="E270" s="4" t="inlineStr">
        <is>
          <t>2026-09-23T09:48:29.041Z</t>
        </is>
      </c>
      <c r="F270" s="4" t="inlineStr">
        <is>
          <t>2026-09-23T09:48:31.080Z</t>
        </is>
      </c>
      <c r="G270" s="20" t="n">
        <v>1.04</v>
      </c>
      <c r="H270" s="18" t="n">
        <v>100</v>
      </c>
      <c r="I270" s="21" t="inlineStr">
        <is>
          <t>open</t>
        </is>
      </c>
      <c r="J270" s="22" t="inlineStr">
        <is>
          <t>a3fd158885d9733a530ef757c744aa0fa03b90eaa5fe42140ef140e68b7e0b41</t>
        </is>
      </c>
      <c r="K270" s="21" t="inlineStr">
        <is>
          <t>open</t>
        </is>
      </c>
      <c r="L270" s="22" t="inlineStr">
        <is>
          <t>81bcd80288783b26b929613be897fd035cfca610ac2534f25564bb961722833e</t>
        </is>
      </c>
    </row>
    <row r="271">
      <c r="A271" s="4" t="inlineStr">
        <is>
          <t>SOL → Base</t>
        </is>
      </c>
      <c r="B271" s="4" t="n">
        <v>3</v>
      </c>
      <c r="C271" s="4" t="inlineStr">
        <is>
          <t>Across</t>
        </is>
      </c>
      <c r="D271" s="4" t="inlineStr">
        <is>
          <t>2026-09-23T08:57:05.517Z</t>
        </is>
      </c>
      <c r="E271" s="4" t="inlineStr">
        <is>
          <t>2026-09-23T08:57:06.712Z</t>
        </is>
      </c>
      <c r="F271" s="4" t="inlineStr">
        <is>
          <t>2026-09-23T08:57:08.835Z</t>
        </is>
      </c>
      <c r="G271" s="20" t="n">
        <v>0.307</v>
      </c>
      <c r="H271" s="18" t="n">
        <v>99.98999999999999</v>
      </c>
      <c r="I271" s="21" t="inlineStr">
        <is>
          <t>open</t>
        </is>
      </c>
      <c r="J271" s="22" t="inlineStr">
        <is>
          <t>1a8cb194f967d84de78bb71694170c5c681466b8f619602818186c9eb4477026</t>
        </is>
      </c>
      <c r="K271" s="21" t="inlineStr">
        <is>
          <t>open</t>
        </is>
      </c>
      <c r="L271" s="22" t="inlineStr">
        <is>
          <t>efb59ef032bfbd9e82ce1303d61ad44374a174b9b2bf63d5c8f2a8a30a430eaf</t>
        </is>
      </c>
    </row>
    <row r="272">
      <c r="A272" s="4" t="inlineStr">
        <is>
          <t>SOL → Base</t>
        </is>
      </c>
      <c r="B272" s="4" t="n">
        <v>3</v>
      </c>
      <c r="C272" s="4" t="inlineStr">
        <is>
          <t>Across</t>
        </is>
      </c>
      <c r="D272" s="4" t="inlineStr">
        <is>
          <t>2026-09-23T09:48:26.939Z</t>
        </is>
      </c>
      <c r="E272" s="4" t="inlineStr">
        <is>
          <t>2026-09-23T09:48:27.997Z</t>
        </is>
      </c>
      <c r="F272" s="4" t="inlineStr">
        <is>
          <t>2026-09-23T09:48:30.123Z</t>
        </is>
      </c>
      <c r="G272" s="20" t="n">
        <v>0.004</v>
      </c>
      <c r="H272" s="18" t="n">
        <v>99.98999999999999</v>
      </c>
      <c r="I272" s="21" t="inlineStr">
        <is>
          <t>open</t>
        </is>
      </c>
      <c r="J272" s="22" t="inlineStr">
        <is>
          <t>1a8cb194f967d84de78bb71694170c5c681466b8f619602818186c9eb4477026</t>
        </is>
      </c>
      <c r="K272" s="21" t="inlineStr">
        <is>
          <t>open</t>
        </is>
      </c>
      <c r="L272" s="22" t="inlineStr">
        <is>
          <t>2d64db70c6a5c3871a0b283afba9faaf4a231fb14469515c446dfac419c28920</t>
        </is>
      </c>
    </row>
    <row r="273">
      <c r="A273" s="4" t="inlineStr">
        <is>
          <t>SOL → Base</t>
        </is>
      </c>
      <c r="B273" s="4" t="n">
        <v>3</v>
      </c>
      <c r="C273" s="4" t="inlineStr">
        <is>
          <t>Mayan</t>
        </is>
      </c>
      <c r="D273" s="4" t="inlineStr">
        <is>
          <t>2026-09-23T08:57:05.517Z</t>
        </is>
      </c>
      <c r="E273" s="4" t="inlineStr">
        <is>
          <t>2026-09-23T08:57:06.653Z</t>
        </is>
      </c>
      <c r="F273" s="4" t="inlineStr">
        <is>
          <t>2026-09-23T08:57:08.783Z</t>
        </is>
      </c>
      <c r="G273" s="20" t="n">
        <v>0.248</v>
      </c>
      <c r="H273" s="18" t="n">
        <v>99.92700000000001</v>
      </c>
      <c r="I273" s="21" t="inlineStr">
        <is>
          <t>open</t>
        </is>
      </c>
      <c r="J273" s="22" t="inlineStr">
        <is>
          <t>5383a5734a183e774d8b46df768acd5a224665b6aa2c47f10b280080818ac62d</t>
        </is>
      </c>
      <c r="K273" s="21" t="inlineStr">
        <is>
          <t>open</t>
        </is>
      </c>
      <c r="L273" s="22" t="inlineStr">
        <is>
          <t>3f8827f4dfaae4083ec52dada3e45a1d9c789eb649a255a2490ba33a25ae6cf0</t>
        </is>
      </c>
    </row>
    <row r="274">
      <c r="A274" s="4" t="inlineStr">
        <is>
          <t>SOL → Base</t>
        </is>
      </c>
      <c r="B274" s="4" t="n">
        <v>3</v>
      </c>
      <c r="C274" s="4" t="inlineStr">
        <is>
          <t>Mayan</t>
        </is>
      </c>
      <c r="D274" s="4" t="inlineStr">
        <is>
          <t>2026-09-23T09:48:26.938Z</t>
        </is>
      </c>
      <c r="E274" s="4" t="inlineStr">
        <is>
          <t>2026-09-23T09:48:28.250Z</t>
        </is>
      </c>
      <c r="F274" s="4" t="inlineStr">
        <is>
          <t>2026-09-23T09:48:30.373Z</t>
        </is>
      </c>
      <c r="G274" s="20" t="n">
        <v>0.249</v>
      </c>
      <c r="H274" s="18" t="n">
        <v>99.92700000000001</v>
      </c>
      <c r="I274" s="21" t="inlineStr">
        <is>
          <t>open</t>
        </is>
      </c>
      <c r="J274" s="22" t="inlineStr">
        <is>
          <t>39b641660f7f90c97018acbbbc5fbd2404c5d32878a976a919c4ea6e0a214c45</t>
        </is>
      </c>
      <c r="K274" s="21" t="inlineStr">
        <is>
          <t>open</t>
        </is>
      </c>
      <c r="L274" s="22" t="inlineStr">
        <is>
          <t>34bb1ac99fab9a5780307e68f65a792c39cdc6151cb2e9a55706a76ba02e31c3</t>
        </is>
      </c>
    </row>
    <row r="275">
      <c r="A275" s="4" t="inlineStr">
        <is>
          <t>SOL → Base</t>
        </is>
      </c>
      <c r="B275" s="4" t="n">
        <v>3</v>
      </c>
      <c r="C275" s="4" t="inlineStr">
        <is>
          <t>Allbridge Core</t>
        </is>
      </c>
      <c r="D275" s="4" t="inlineStr">
        <is>
          <t>2026-09-23T09:48:26.940Z</t>
        </is>
      </c>
      <c r="E275" s="4" t="inlineStr">
        <is>
          <t>2026-09-23T09:48:28.106Z</t>
        </is>
      </c>
      <c r="F275" s="4" t="inlineStr">
        <is>
          <t>2026-09-23T09:48:30.314Z</t>
        </is>
      </c>
      <c r="G275" s="20" t="n">
        <v>0.105</v>
      </c>
      <c r="H275" s="18" t="n">
        <v>99.90000000000001</v>
      </c>
      <c r="I275" s="21" t="inlineStr">
        <is>
          <t>open</t>
        </is>
      </c>
      <c r="J275" s="22" t="inlineStr">
        <is>
          <t>86fc1b4d41798aeb8f32dfca74e5ddbbd99374d214952060a4dec7f34fb3902a</t>
        </is>
      </c>
      <c r="K275" s="21" t="inlineStr">
        <is>
          <t>open</t>
        </is>
      </c>
      <c r="L275" s="22" t="inlineStr">
        <is>
          <t>c95fcbbcb5c4b2b0646fc77e2757e9e4d2bb7a03fe71850e54a702c7fe9045a5</t>
        </is>
      </c>
    </row>
    <row r="276">
      <c r="A276" s="4" t="inlineStr">
        <is>
          <t>SOL → Base</t>
        </is>
      </c>
      <c r="B276" s="4" t="n">
        <v>3</v>
      </c>
      <c r="C276" s="4" t="inlineStr">
        <is>
          <t>CCTP (via Portal)</t>
        </is>
      </c>
      <c r="D276" s="4" t="inlineStr">
        <is>
          <t>2026-09-23T09:48:26.941Z</t>
        </is>
      </c>
      <c r="E276" s="4" t="inlineStr">
        <is>
          <t>2026-09-23T09:48:30.680Z</t>
        </is>
      </c>
      <c r="F276" s="4" t="inlineStr">
        <is>
          <t>2026-09-23T09:48:32.822Z</t>
        </is>
      </c>
      <c r="G276" s="20" t="n">
        <v>2.679</v>
      </c>
      <c r="H276" s="18" t="n">
        <v>99.98999999999999</v>
      </c>
      <c r="I276" s="21" t="inlineStr">
        <is>
          <t>open</t>
        </is>
      </c>
      <c r="J276" s="22" t="inlineStr">
        <is>
          <t>122b552af859464f7f24bc94037552edc9159f22bbf24b5ce3cfa3e2de4344ff</t>
        </is>
      </c>
      <c r="K276" s="21" t="inlineStr">
        <is>
          <t>open</t>
        </is>
      </c>
      <c r="L276" s="22" t="inlineStr">
        <is>
          <t>e6965932cb79c57397791aae8108f083249e296e80f7a3929c4c1842d6aa1681</t>
        </is>
      </c>
    </row>
    <row r="277">
      <c r="A277" s="4" t="inlineStr">
        <is>
          <t>SOL → Base</t>
        </is>
      </c>
      <c r="B277" s="4" t="n">
        <v>3</v>
      </c>
      <c r="C277" s="4" t="inlineStr">
        <is>
          <t>Husher</t>
        </is>
      </c>
      <c r="D277" s="4" t="inlineStr">
        <is>
          <t>2026-09-23T09:48:26.941Z</t>
        </is>
      </c>
      <c r="E277" s="4" t="inlineStr">
        <is>
          <t>2026-09-23T09:48:28.160Z</t>
        </is>
      </c>
      <c r="F277" s="4" t="inlineStr">
        <is>
          <t>2026-09-23T09:48:30.287Z</t>
        </is>
      </c>
      <c r="G277" s="20" t="n">
        <v>0.159</v>
      </c>
      <c r="H277" s="18" t="n">
        <v>99.45</v>
      </c>
      <c r="I277" s="21" t="inlineStr">
        <is>
          <t>open</t>
        </is>
      </c>
      <c r="J277" s="22" t="inlineStr">
        <is>
          <t>ab4186e7773f24f1f948d689b440c9a5152eab61ce7e48faa93369a5b1b19036</t>
        </is>
      </c>
      <c r="K277" s="21" t="inlineStr">
        <is>
          <t>open</t>
        </is>
      </c>
      <c r="L277" s="22" t="inlineStr">
        <is>
          <t>b266b30a2742ef95739ec534d38b541b249fd84229d28df06c34ad7514d69350</t>
        </is>
      </c>
    </row>
    <row r="278">
      <c r="A278" s="4" t="inlineStr">
        <is>
          <t>SOL → Base</t>
        </is>
      </c>
      <c r="B278" s="4" t="n">
        <v>3</v>
      </c>
      <c r="C278" s="4" t="inlineStr">
        <is>
          <t>Layerswap</t>
        </is>
      </c>
      <c r="D278" s="4" t="inlineStr">
        <is>
          <t>2026-09-23T09:48:26.938Z</t>
        </is>
      </c>
      <c r="E278" s="4" t="inlineStr">
        <is>
          <t>2026-09-23T09:48:29.363Z</t>
        </is>
      </c>
      <c r="F278" s="4" t="inlineStr">
        <is>
          <t>2026-09-23T09:48:31.446Z</t>
        </is>
      </c>
      <c r="G278" s="20" t="n">
        <v>1.362</v>
      </c>
      <c r="H278" s="18" t="n">
        <v>99.864301</v>
      </c>
      <c r="I278" s="21" t="inlineStr">
        <is>
          <t>open</t>
        </is>
      </c>
      <c r="J278" s="22" t="inlineStr">
        <is>
          <t>6b06fd3d7dc0a505871121f76aef8041f3f14ae39fd7290c9ff4b2955142aa7f</t>
        </is>
      </c>
      <c r="K278" s="21" t="inlineStr">
        <is>
          <t>open</t>
        </is>
      </c>
      <c r="L278" s="22" t="inlineStr">
        <is>
          <t>03388188d6abacf1e415d0310181de1027d96475ee0cc016d70e79e1f28c79bd</t>
        </is>
      </c>
    </row>
    <row r="279">
      <c r="A279" s="4" t="inlineStr">
        <is>
          <t>SOL → Base</t>
        </is>
      </c>
      <c r="B279" s="4" t="n">
        <v>3</v>
      </c>
      <c r="C279" s="4" t="inlineStr">
        <is>
          <t>Meson</t>
        </is>
      </c>
      <c r="D279" s="4" t="inlineStr">
        <is>
          <t>2026-09-23T09:48:26.942Z</t>
        </is>
      </c>
      <c r="E279" s="4" t="inlineStr">
        <is>
          <t>2026-09-23T09:48:27.305Z</t>
        </is>
      </c>
      <c r="F279" s="4" t="inlineStr">
        <is>
          <t>2026-09-23T09:48:29.445Z</t>
        </is>
      </c>
      <c r="G279" s="20" t="n">
        <v>0.696</v>
      </c>
      <c r="H279" s="18" t="n">
        <v>99.86</v>
      </c>
      <c r="I279" s="21" t="inlineStr">
        <is>
          <t>open</t>
        </is>
      </c>
      <c r="J279" s="22" t="inlineStr">
        <is>
          <t>f829c1e64dc220a789544b87270402b6ae0048d78b80c08636ad99617079809b</t>
        </is>
      </c>
      <c r="K279" s="21" t="inlineStr">
        <is>
          <t>open</t>
        </is>
      </c>
      <c r="L279" s="22" t="inlineStr">
        <is>
          <t>5c6c83a68e34e3c9617e4fd7d9430acc195d84f01527231ac5aee2721876bb61</t>
        </is>
      </c>
    </row>
    <row r="280">
      <c r="A280" s="4" t="inlineStr">
        <is>
          <t>SOL → Base</t>
        </is>
      </c>
      <c r="B280" s="4" t="n">
        <v>3</v>
      </c>
      <c r="C280" s="4" t="inlineStr">
        <is>
          <t>SimpleSwap</t>
        </is>
      </c>
      <c r="D280" s="4" t="inlineStr">
        <is>
          <t>2026-09-23T09:48:26.942Z</t>
        </is>
      </c>
      <c r="E280" s="4" t="inlineStr">
        <is>
          <t>2026-09-23T09:48:30.057Z</t>
        </is>
      </c>
      <c r="F280" s="4" t="inlineStr">
        <is>
          <t>2026-09-23T09:48:32.084Z</t>
        </is>
      </c>
      <c r="G280" s="20" t="n">
        <v>2.056</v>
      </c>
      <c r="H280" s="18" t="n">
        <v>98.494293</v>
      </c>
      <c r="I280" s="21" t="inlineStr">
        <is>
          <t>open</t>
        </is>
      </c>
      <c r="J280" s="22" t="inlineStr">
        <is>
          <t>4598c06fbe675a902191eb5fcf9169d50581f15de4e3b669dbdc4b1defc73840</t>
        </is>
      </c>
      <c r="K280" s="21" t="inlineStr">
        <is>
          <t>open</t>
        </is>
      </c>
      <c r="L280" s="22" t="inlineStr">
        <is>
          <t>9a723aca5581b69d872c49141f5746375ad09613c9c1229e69662ca3d77b11ac</t>
        </is>
      </c>
    </row>
    <row r="281">
      <c r="A281" s="4" t="inlineStr">
        <is>
          <t>SOL → Base</t>
        </is>
      </c>
      <c r="B281" s="4" t="n">
        <v>3</v>
      </c>
      <c r="C281" s="4" t="inlineStr">
        <is>
          <t>Skip Go</t>
        </is>
      </c>
      <c r="D281" s="4" t="inlineStr">
        <is>
          <t>2026-09-23T09:48:26.939Z</t>
        </is>
      </c>
      <c r="E281" s="4" t="inlineStr">
        <is>
          <t>2026-09-23T09:48:29.232Z</t>
        </is>
      </c>
      <c r="F281" s="4" t="inlineStr">
        <is>
          <t>2026-09-23T09:48:31.445Z</t>
        </is>
      </c>
      <c r="G281" s="20" t="n">
        <v>1.231</v>
      </c>
      <c r="H281" s="18" t="n">
        <v>99.98517</v>
      </c>
      <c r="I281" s="21" t="inlineStr">
        <is>
          <t>open</t>
        </is>
      </c>
      <c r="J281" s="22" t="inlineStr">
        <is>
          <t>7378f2db248472dfd7c77792edb774a7fa1173d76dd34c588c8ec39b82fc37f8</t>
        </is>
      </c>
      <c r="K281" s="21" t="inlineStr">
        <is>
          <t>open</t>
        </is>
      </c>
      <c r="L281" s="22" t="inlineStr">
        <is>
          <t>fe0b96449b611273ab266107c037e4689e860534dc7bf4085aa29af5c02f48be</t>
        </is>
      </c>
    </row>
    <row r="282">
      <c r="A282" s="4" t="inlineStr">
        <is>
          <t>Base → SOL</t>
        </is>
      </c>
      <c r="B282" s="4" t="n">
        <v>1</v>
      </c>
      <c r="C282" s="4" t="inlineStr">
        <is>
          <t>Bridg</t>
        </is>
      </c>
      <c r="D282" s="4" t="inlineStr">
        <is>
          <t>2026-09-23T08:52:04.716Z</t>
        </is>
      </c>
      <c r="E282" s="4" t="inlineStr">
        <is>
          <t>2026-09-23T08:52:05.401Z</t>
        </is>
      </c>
      <c r="F282" s="4" t="inlineStr">
        <is>
          <t>2026-09-23T08:52:07.544Z</t>
        </is>
      </c>
      <c r="G282" s="20" t="n"/>
      <c r="H282" s="18" t="n">
        <v>99.85005</v>
      </c>
      <c r="I282" s="21" t="inlineStr">
        <is>
          <t>open</t>
        </is>
      </c>
      <c r="J282" s="22" t="inlineStr">
        <is>
          <t>dbb64c63d25e9fbdcb9a16a75c28199aec6101c1a326d2f04ca986ed7f16ef5f</t>
        </is>
      </c>
      <c r="K282" s="21" t="inlineStr">
        <is>
          <t>open</t>
        </is>
      </c>
      <c r="L282" s="22" t="inlineStr">
        <is>
          <t>d0c6030d6ed953cfaa73469e1a18c46232b7803044f82f9c0cf8d81042b137de</t>
        </is>
      </c>
    </row>
    <row r="283">
      <c r="A283" s="4" t="inlineStr">
        <is>
          <t>Base → SOL</t>
        </is>
      </c>
      <c r="B283" s="4" t="n">
        <v>1</v>
      </c>
      <c r="C283" s="4" t="inlineStr">
        <is>
          <t>Bridg</t>
        </is>
      </c>
      <c r="D283" s="4" t="inlineStr">
        <is>
          <t>2026-09-23T09:41:14.842Z</t>
        </is>
      </c>
      <c r="E283" s="4" t="inlineStr">
        <is>
          <t>2026-09-23T09:41:15.825Z</t>
        </is>
      </c>
      <c r="F283" s="4" t="inlineStr">
        <is>
          <t>2026-09-23T09:41:19.691Z</t>
        </is>
      </c>
      <c r="G283" s="20" t="n"/>
      <c r="H283" s="18" t="n">
        <v>99.85005</v>
      </c>
      <c r="I283" s="21" t="inlineStr">
        <is>
          <t>open</t>
        </is>
      </c>
      <c r="J283" s="22" t="inlineStr">
        <is>
          <t>d8a065855c161fd370d4a29a5ec9619ec5bbd7c8536bab9c8af581b1158ba9db</t>
        </is>
      </c>
      <c r="K283" s="21" t="inlineStr">
        <is>
          <t>open</t>
        </is>
      </c>
      <c r="L283" s="22" t="inlineStr">
        <is>
          <t>cd3e66d20f4ae6cc52a8fb3440b18c47d009ef907413c850dc03c48f8e070f92</t>
        </is>
      </c>
    </row>
    <row r="284">
      <c r="A284" s="4" t="inlineStr">
        <is>
          <t>Base → SOL</t>
        </is>
      </c>
      <c r="B284" s="4" t="n">
        <v>1</v>
      </c>
      <c r="C284" s="4" t="inlineStr">
        <is>
          <t>Relay</t>
        </is>
      </c>
      <c r="D284" s="4" t="inlineStr">
        <is>
          <t>2026-09-23T08:52:04.716Z</t>
        </is>
      </c>
      <c r="E284" s="4" t="inlineStr">
        <is>
          <t>2026-09-23T08:52:06.450Z</t>
        </is>
      </c>
      <c r="F284" s="4" t="inlineStr">
        <is>
          <t>2026-09-23T08:52:08.700Z</t>
        </is>
      </c>
      <c r="G284" s="20" t="n">
        <v>1.049</v>
      </c>
      <c r="H284" s="18" t="n">
        <v>99.945577</v>
      </c>
      <c r="I284" s="21" t="inlineStr">
        <is>
          <t>open</t>
        </is>
      </c>
      <c r="J284" s="22" t="inlineStr">
        <is>
          <t>809bfb9243a20e5ad2932b0e09187291f4aa8eb6cdaf03e4e0028295345bdbbd</t>
        </is>
      </c>
      <c r="K284" s="21" t="inlineStr">
        <is>
          <t>open</t>
        </is>
      </c>
      <c r="L284" s="22" t="inlineStr">
        <is>
          <t>565fa3b5c1035bb6dd36badadfab525d1225f3752a453ad5e94125901e1e2d30</t>
        </is>
      </c>
    </row>
    <row r="285">
      <c r="A285" s="4" t="inlineStr">
        <is>
          <t>Base → SOL</t>
        </is>
      </c>
      <c r="B285" s="4" t="n">
        <v>1</v>
      </c>
      <c r="C285" s="4" t="inlineStr">
        <is>
          <t>Relay</t>
        </is>
      </c>
      <c r="D285" s="4" t="inlineStr">
        <is>
          <t>2026-09-23T09:41:14.842Z</t>
        </is>
      </c>
      <c r="E285" s="4" t="inlineStr">
        <is>
          <t>2026-09-23T09:41:16.729Z</t>
        </is>
      </c>
      <c r="F285" s="4" t="inlineStr">
        <is>
          <t>2026-09-23T09:41:19.082Z</t>
        </is>
      </c>
      <c r="G285" s="20" t="n">
        <v>0.904</v>
      </c>
      <c r="H285" s="18" t="n">
        <v>99.94557399999999</v>
      </c>
      <c r="I285" s="21" t="inlineStr">
        <is>
          <t>open</t>
        </is>
      </c>
      <c r="J285" s="22" t="inlineStr">
        <is>
          <t>8aed4b0af24076a94eeb26a4bfd6f265618023f641c64cf2c8bbb0c8bcea3980</t>
        </is>
      </c>
      <c r="K285" s="21" t="inlineStr">
        <is>
          <t>open</t>
        </is>
      </c>
      <c r="L285" s="22" t="inlineStr">
        <is>
          <t>597812da62ea962ff48b0eb908185be81319cb268eceb6ae102c7993fb5a4169</t>
        </is>
      </c>
    </row>
    <row r="286">
      <c r="A286" s="4" t="inlineStr">
        <is>
          <t>Base → SOL</t>
        </is>
      </c>
      <c r="B286" s="4" t="n">
        <v>1</v>
      </c>
      <c r="C286" s="4" t="inlineStr">
        <is>
          <t>deBridge</t>
        </is>
      </c>
      <c r="D286" s="4" t="inlineStr">
        <is>
          <t>2026-09-23T08:52:04.717Z</t>
        </is>
      </c>
      <c r="E286" s="4" t="inlineStr">
        <is>
          <t>2026-09-23T08:52:05.937Z</t>
        </is>
      </c>
      <c r="F286" s="4" t="inlineStr">
        <is>
          <t>2026-09-23T08:52:08.395Z</t>
        </is>
      </c>
      <c r="G286" s="20" t="n">
        <v>0.536</v>
      </c>
      <c r="H286" s="18" t="n">
        <v>99.920018</v>
      </c>
      <c r="I286" s="21" t="inlineStr">
        <is>
          <t>open</t>
        </is>
      </c>
      <c r="J286" s="22" t="inlineStr">
        <is>
          <t>35c63f35414948b78e20c97142675e3244ca7a071e4793789962c4ae428b75b8</t>
        </is>
      </c>
      <c r="K286" s="21" t="inlineStr">
        <is>
          <t>open</t>
        </is>
      </c>
      <c r="L286" s="22" t="inlineStr">
        <is>
          <t>ef2edc6033585d1c373cc42b57ba35cd10749c113c32dec90960cdc600ef5708</t>
        </is>
      </c>
    </row>
    <row r="287">
      <c r="A287" s="4" t="inlineStr">
        <is>
          <t>Base → SOL</t>
        </is>
      </c>
      <c r="B287" s="4" t="n">
        <v>1</v>
      </c>
      <c r="C287" s="4" t="inlineStr">
        <is>
          <t>deBridge</t>
        </is>
      </c>
      <c r="D287" s="4" t="inlineStr">
        <is>
          <t>2026-09-23T09:41:14.843Z</t>
        </is>
      </c>
      <c r="E287" s="4" t="inlineStr">
        <is>
          <t>2026-09-23T09:41:16.411Z</t>
        </is>
      </c>
      <c r="F287" s="4" t="inlineStr">
        <is>
          <t>2026-09-23T09:41:18.664Z</t>
        </is>
      </c>
      <c r="G287" s="20" t="n">
        <v>0.586</v>
      </c>
      <c r="H287" s="18" t="n">
        <v>99.920018</v>
      </c>
      <c r="I287" s="21" t="inlineStr">
        <is>
          <t>open</t>
        </is>
      </c>
      <c r="J287" s="22" t="inlineStr">
        <is>
          <t>31d59ff64ff04671b5a4e3b2520464d55e33bd0fec51548077a7310866f36e0c</t>
        </is>
      </c>
      <c r="K287" s="21" t="inlineStr">
        <is>
          <t>open</t>
        </is>
      </c>
      <c r="L287" s="22" t="inlineStr">
        <is>
          <t>8a8af23d88980655f43cb2a854e4f56a8965c78d5c34ef360457f402b2453b16</t>
        </is>
      </c>
    </row>
    <row r="288">
      <c r="A288" s="4" t="inlineStr">
        <is>
          <t>Base → SOL</t>
        </is>
      </c>
      <c r="B288" s="4" t="n">
        <v>1</v>
      </c>
      <c r="C288" s="4" t="inlineStr">
        <is>
          <t>LI.FI (Jumper)</t>
        </is>
      </c>
      <c r="D288" s="4" t="inlineStr">
        <is>
          <t>2026-09-23T08:52:04.717Z</t>
        </is>
      </c>
      <c r="E288" s="4" t="inlineStr">
        <is>
          <t>2026-09-23T08:52:06.457Z</t>
        </is>
      </c>
      <c r="F288" s="4" t="inlineStr">
        <is>
          <t>2026-09-23T08:52:08.677Z</t>
        </is>
      </c>
      <c r="G288" s="20" t="n">
        <v>1.056</v>
      </c>
      <c r="H288" s="18" t="n">
        <v>100</v>
      </c>
      <c r="I288" s="21" t="inlineStr">
        <is>
          <t>open</t>
        </is>
      </c>
      <c r="J288" s="22" t="inlineStr">
        <is>
          <t>f792fdb7601618b12b62d29d2dbfdc1dbdeca7371dbb528f59804520e0bb7d6d</t>
        </is>
      </c>
      <c r="K288" s="21" t="inlineStr">
        <is>
          <t>open</t>
        </is>
      </c>
      <c r="L288" s="22" t="inlineStr">
        <is>
          <t>5e092539869912a5f119bfc25eb93f76045b130c1d2a079196195929a6b836c0</t>
        </is>
      </c>
    </row>
    <row r="289">
      <c r="A289" s="4" t="inlineStr">
        <is>
          <t>Base → SOL</t>
        </is>
      </c>
      <c r="B289" s="4" t="n">
        <v>1</v>
      </c>
      <c r="C289" s="4" t="inlineStr">
        <is>
          <t>LI.FI (Jumper)</t>
        </is>
      </c>
      <c r="D289" s="4" t="inlineStr">
        <is>
          <t>2026-09-23T09:41:14.844Z</t>
        </is>
      </c>
      <c r="E289" s="4" t="inlineStr">
        <is>
          <t>2026-09-23T09:41:16.908Z</t>
        </is>
      </c>
      <c r="F289" s="4" t="inlineStr">
        <is>
          <t>2026-09-23T09:41:19.069Z</t>
        </is>
      </c>
      <c r="G289" s="20" t="n">
        <v>1.083</v>
      </c>
      <c r="H289" s="18" t="n">
        <v>100</v>
      </c>
      <c r="I289" s="21" t="inlineStr">
        <is>
          <t>open</t>
        </is>
      </c>
      <c r="J289" s="22" t="inlineStr">
        <is>
          <t>5c9610735a2903fa0a5c45e4442ea970c4ddbf5879b3a2a333dd8bd96a7595d8</t>
        </is>
      </c>
      <c r="K289" s="21" t="inlineStr">
        <is>
          <t>open</t>
        </is>
      </c>
      <c r="L289" s="22" t="inlineStr">
        <is>
          <t>092d4f5faf7517b13ac7bf3a858516ad16060facbefe16d9b4c0d57451ea3858</t>
        </is>
      </c>
    </row>
    <row r="290">
      <c r="A290" s="4" t="inlineStr">
        <is>
          <t>Base → SOL</t>
        </is>
      </c>
      <c r="B290" s="4" t="n">
        <v>1</v>
      </c>
      <c r="C290" s="4" t="inlineStr">
        <is>
          <t>Across</t>
        </is>
      </c>
      <c r="D290" s="4" t="inlineStr">
        <is>
          <t>2026-09-23T08:52:04.716Z</t>
        </is>
      </c>
      <c r="E290" s="4" t="inlineStr">
        <is>
          <t>2026-09-23T08:52:05.675Z</t>
        </is>
      </c>
      <c r="F290" s="4" t="inlineStr">
        <is>
          <t>2026-09-23T08:52:07.797Z</t>
        </is>
      </c>
      <c r="G290" s="20" t="n">
        <v>0.274</v>
      </c>
      <c r="H290" s="18" t="n">
        <v>99.98699999999999</v>
      </c>
      <c r="I290" s="21" t="inlineStr">
        <is>
          <t>open</t>
        </is>
      </c>
      <c r="J290" s="22" t="inlineStr">
        <is>
          <t>da6c7f4de10275412f87a58a86794be9e97d691a1edd276807d23c6b362c9380</t>
        </is>
      </c>
      <c r="K290" s="21" t="inlineStr">
        <is>
          <t>open</t>
        </is>
      </c>
      <c r="L290" s="22" t="inlineStr">
        <is>
          <t>640f690213c0ba2ec9d1a0ec9e6b81c3c22dde74ff7890c90009563c1082c52b</t>
        </is>
      </c>
    </row>
    <row r="291">
      <c r="A291" s="4" t="inlineStr">
        <is>
          <t>Base → SOL</t>
        </is>
      </c>
      <c r="B291" s="4" t="n">
        <v>1</v>
      </c>
      <c r="C291" s="4" t="inlineStr">
        <is>
          <t>Across</t>
        </is>
      </c>
      <c r="D291" s="4" t="inlineStr">
        <is>
          <t>2026-09-23T09:41:14.842Z</t>
        </is>
      </c>
      <c r="E291" s="4" t="inlineStr">
        <is>
          <t>2026-09-23T09:41:15.919Z</t>
        </is>
      </c>
      <c r="F291" s="4" t="inlineStr">
        <is>
          <t>2026-09-23T09:41:18.044Z</t>
        </is>
      </c>
      <c r="G291" s="20" t="n">
        <v>0.094</v>
      </c>
      <c r="H291" s="18" t="n">
        <v>99.98699999999999</v>
      </c>
      <c r="I291" s="21" t="inlineStr">
        <is>
          <t>open</t>
        </is>
      </c>
      <c r="J291" s="22" t="inlineStr">
        <is>
          <t>da6c7f4de10275412f87a58a86794be9e97d691a1edd276807d23c6b362c9380</t>
        </is>
      </c>
      <c r="K291" s="21" t="inlineStr">
        <is>
          <t>open</t>
        </is>
      </c>
      <c r="L291" s="22" t="inlineStr">
        <is>
          <t>68a131ce7a96ee5391847e6eae6150b4aeec3cac249aa2a62d7939e00efe6a02</t>
        </is>
      </c>
    </row>
    <row r="292">
      <c r="A292" s="4" t="inlineStr">
        <is>
          <t>Base → SOL</t>
        </is>
      </c>
      <c r="B292" s="4" t="n">
        <v>1</v>
      </c>
      <c r="C292" s="4" t="inlineStr">
        <is>
          <t>Mayan</t>
        </is>
      </c>
      <c r="D292" s="4" t="inlineStr">
        <is>
          <t>2026-09-23T08:52:04.716Z</t>
        </is>
      </c>
      <c r="E292" s="4" t="inlineStr">
        <is>
          <t>2026-09-23T08:52:05.845Z</t>
        </is>
      </c>
      <c r="F292" s="4" t="inlineStr">
        <is>
          <t>2026-09-23T08:52:07.979Z</t>
        </is>
      </c>
      <c r="G292" s="20" t="n">
        <v>0.444</v>
      </c>
      <c r="H292" s="18" t="n">
        <v>99.681</v>
      </c>
      <c r="I292" s="21" t="inlineStr">
        <is>
          <t>open</t>
        </is>
      </c>
      <c r="J292" s="22" t="inlineStr">
        <is>
          <t>a15c2dbe750f3c265069fa63e13b14b7a1e6af08fb01180ecb8a0be6505f9153</t>
        </is>
      </c>
      <c r="K292" s="21" t="inlineStr">
        <is>
          <t>open</t>
        </is>
      </c>
      <c r="L292" s="22" t="inlineStr">
        <is>
          <t>821b3cdfc7b09adece44059e71960644041f1f1a64138d2c2c8497584c6b0df4</t>
        </is>
      </c>
    </row>
    <row r="293">
      <c r="A293" s="4" t="inlineStr">
        <is>
          <t>Base → SOL</t>
        </is>
      </c>
      <c r="B293" s="4" t="n">
        <v>1</v>
      </c>
      <c r="C293" s="4" t="inlineStr">
        <is>
          <t>Mayan</t>
        </is>
      </c>
      <c r="D293" s="4" t="inlineStr">
        <is>
          <t>2026-09-23T09:41:14.841Z</t>
        </is>
      </c>
      <c r="E293" s="4" t="inlineStr">
        <is>
          <t>2026-09-23T09:41:16.092Z</t>
        </is>
      </c>
      <c r="F293" s="4" t="inlineStr">
        <is>
          <t>2026-09-23T09:41:18.216Z</t>
        </is>
      </c>
      <c r="G293" s="20" t="n">
        <v>0.267</v>
      </c>
      <c r="H293" s="18" t="n">
        <v>99.68000000000001</v>
      </c>
      <c r="I293" s="21" t="inlineStr">
        <is>
          <t>open</t>
        </is>
      </c>
      <c r="J293" s="22" t="inlineStr">
        <is>
          <t>58d61f77c1affc24e2fff93e1a9b6651e378a9c1e545cc13ff705e8d5a76823e</t>
        </is>
      </c>
      <c r="K293" s="21" t="inlineStr">
        <is>
          <t>open</t>
        </is>
      </c>
      <c r="L293" s="22" t="inlineStr">
        <is>
          <t>44be80be7344c847831243d63ea64e2e020af38bafe8f5bdce3780d14a76db74</t>
        </is>
      </c>
    </row>
    <row r="294">
      <c r="A294" s="4" t="inlineStr">
        <is>
          <t>Base → SOL</t>
        </is>
      </c>
      <c r="B294" s="4" t="n">
        <v>1</v>
      </c>
      <c r="C294" s="4" t="inlineStr">
        <is>
          <t>Allbridge Core</t>
        </is>
      </c>
      <c r="D294" s="4" t="inlineStr">
        <is>
          <t>2026-09-23T09:41:14.843Z</t>
        </is>
      </c>
      <c r="E294" s="4" t="inlineStr">
        <is>
          <t>2026-09-23T09:41:15.995Z</t>
        </is>
      </c>
      <c r="F294" s="4" t="inlineStr">
        <is>
          <t>2026-09-23T09:41:18.201Z</t>
        </is>
      </c>
      <c r="G294" s="20" t="n">
        <v>0.17</v>
      </c>
      <c r="H294" s="18" t="n">
        <v>99.90000000000001</v>
      </c>
      <c r="I294" s="21" t="inlineStr">
        <is>
          <t>open</t>
        </is>
      </c>
      <c r="J294" s="22" t="inlineStr">
        <is>
          <t>80a92956a601f22da7f5950466a8f7febd5d222faa7225be1e709aa6d7791026</t>
        </is>
      </c>
      <c r="K294" s="21" t="inlineStr">
        <is>
          <t>open</t>
        </is>
      </c>
      <c r="L294" s="22" t="inlineStr">
        <is>
          <t>85e391926dfedf2f14e05928720b5955d0d4d48a472ddfc7e9ae1dc0bbaaefcd</t>
        </is>
      </c>
    </row>
    <row r="295">
      <c r="A295" s="4" t="inlineStr">
        <is>
          <t>Base → SOL</t>
        </is>
      </c>
      <c r="B295" s="4" t="n">
        <v>1</v>
      </c>
      <c r="C295" s="4" t="inlineStr">
        <is>
          <t>CCTP (via Portal)</t>
        </is>
      </c>
      <c r="D295" s="4" t="inlineStr">
        <is>
          <t>2026-09-23T09:41:14.844Z</t>
        </is>
      </c>
      <c r="E295" s="4" t="inlineStr">
        <is>
          <t>2026-09-23T09:41:18.426Z</t>
        </is>
      </c>
      <c r="F295" s="4" t="inlineStr">
        <is>
          <t>2026-09-23T09:41:20.906Z</t>
        </is>
      </c>
      <c r="G295" s="20" t="n">
        <v>2.601</v>
      </c>
      <c r="H295" s="18" t="n">
        <v>99.977001</v>
      </c>
      <c r="I295" s="21" t="inlineStr">
        <is>
          <t>open</t>
        </is>
      </c>
      <c r="J295" s="22" t="inlineStr">
        <is>
          <t>b5a30387b07f39b68111662c0114846a8577444d8025f14b51e03d183d1a13df</t>
        </is>
      </c>
      <c r="K295" s="21" t="inlineStr">
        <is>
          <t>open</t>
        </is>
      </c>
      <c r="L295" s="22" t="inlineStr">
        <is>
          <t>cafa126864a996cd658ac9f5680a03d3364db888009aa08c378ab3695987c9ab</t>
        </is>
      </c>
    </row>
    <row r="296">
      <c r="A296" s="4" t="inlineStr">
        <is>
          <t>Base → SOL</t>
        </is>
      </c>
      <c r="B296" s="4" t="n">
        <v>1</v>
      </c>
      <c r="C296" s="4" t="inlineStr">
        <is>
          <t>Husher</t>
        </is>
      </c>
      <c r="D296" s="4" t="inlineStr">
        <is>
          <t>2026-09-23T09:41:14.845Z</t>
        </is>
      </c>
      <c r="E296" s="4" t="inlineStr">
        <is>
          <t>2026-09-23T09:41:16.157Z</t>
        </is>
      </c>
      <c r="F296" s="4" t="inlineStr">
        <is>
          <t>2026-09-23T09:41:18.664Z</t>
        </is>
      </c>
      <c r="G296" s="20" t="n">
        <v>0.332</v>
      </c>
      <c r="H296" s="18" t="n">
        <v>99.34999999999999</v>
      </c>
      <c r="I296" s="21" t="inlineStr">
        <is>
          <t>open</t>
        </is>
      </c>
      <c r="J296" s="22" t="inlineStr">
        <is>
          <t>26aca6c6c08b2d95c74f7e95a8065d02e760895597ffd55e0e08f2bcaa622f64</t>
        </is>
      </c>
      <c r="K296" s="21" t="inlineStr">
        <is>
          <t>open</t>
        </is>
      </c>
      <c r="L296" s="22" t="inlineStr">
        <is>
          <t>5f8a541a1963a99578251db180fa761f2f6127fdd1197e84a9b638cba4f28eaa</t>
        </is>
      </c>
    </row>
    <row r="297">
      <c r="A297" s="4" t="inlineStr">
        <is>
          <t>Base → SOL</t>
        </is>
      </c>
      <c r="B297" s="4" t="n">
        <v>1</v>
      </c>
      <c r="C297" s="4" t="inlineStr">
        <is>
          <t>Layerswap</t>
        </is>
      </c>
      <c r="D297" s="4" t="inlineStr">
        <is>
          <t>2026-09-23T09:41:14.842Z</t>
        </is>
      </c>
      <c r="E297" s="4" t="inlineStr">
        <is>
          <t>2026-09-23T09:41:17.296Z</t>
        </is>
      </c>
      <c r="F297" s="4" t="inlineStr">
        <is>
          <t>2026-09-23T09:41:19.385Z</t>
        </is>
      </c>
      <c r="G297" s="20" t="n">
        <v>1.471</v>
      </c>
      <c r="H297" s="18" t="n">
        <v>99.67345899999999</v>
      </c>
      <c r="I297" s="21" t="inlineStr">
        <is>
          <t>open</t>
        </is>
      </c>
      <c r="J297" s="22" t="inlineStr">
        <is>
          <t>8577d63ece36cf9262288891afa70f150fec189e6009186399ea2531965ecacb</t>
        </is>
      </c>
      <c r="K297" s="21" t="inlineStr">
        <is>
          <t>open</t>
        </is>
      </c>
      <c r="L297" s="22" t="inlineStr">
        <is>
          <t>8a2f5f45c2f52f2306f8c2af58db4adae2197bebc55241715f0bb4f0a2eb5afb</t>
        </is>
      </c>
    </row>
    <row r="298">
      <c r="A298" s="4" t="inlineStr">
        <is>
          <t>Base → SOL</t>
        </is>
      </c>
      <c r="B298" s="4" t="n">
        <v>1</v>
      </c>
      <c r="C298" s="4" t="inlineStr">
        <is>
          <t>Meson</t>
        </is>
      </c>
      <c r="D298" s="4" t="inlineStr">
        <is>
          <t>2026-09-23T09:41:14.845Z</t>
        </is>
      </c>
      <c r="E298" s="4" t="inlineStr">
        <is>
          <t>2026-09-23T09:41:15.144Z</t>
        </is>
      </c>
      <c r="F298" s="4" t="inlineStr">
        <is>
          <t>2026-09-23T09:41:17.293Z</t>
        </is>
      </c>
      <c r="G298" s="20" t="n">
        <v>0.681</v>
      </c>
      <c r="H298" s="18" t="n">
        <v>99.59999999999999</v>
      </c>
      <c r="I298" s="21" t="inlineStr">
        <is>
          <t>open</t>
        </is>
      </c>
      <c r="J298" s="22" t="inlineStr">
        <is>
          <t>5cd2b7d2d5bcb980939fa42abb219a3558debaa2a6d6038533649a522a4d426e</t>
        </is>
      </c>
      <c r="K298" s="21" t="inlineStr">
        <is>
          <t>open</t>
        </is>
      </c>
      <c r="L298" s="22" t="inlineStr">
        <is>
          <t>5783aba77e6cec6bda38f53219f303e81bc858b48fe9ff6397703091e7c54f0b</t>
        </is>
      </c>
    </row>
    <row r="299">
      <c r="A299" s="4" t="inlineStr">
        <is>
          <t>Base → SOL</t>
        </is>
      </c>
      <c r="B299" s="4" t="n">
        <v>1</v>
      </c>
      <c r="C299" s="4" t="inlineStr">
        <is>
          <t>Skip Go</t>
        </is>
      </c>
      <c r="D299" s="4" t="inlineStr">
        <is>
          <t>2026-09-23T09:41:14.844Z</t>
        </is>
      </c>
      <c r="E299" s="4" t="inlineStr">
        <is>
          <t>2026-09-23T09:41:16.800Z</t>
        </is>
      </c>
      <c r="F299" s="4" t="inlineStr">
        <is>
          <t>2026-09-23T09:41:19.081Z</t>
        </is>
      </c>
      <c r="G299" s="20" t="n">
        <v>0.975</v>
      </c>
      <c r="H299" s="18" t="n">
        <v>99.71571</v>
      </c>
      <c r="I299" s="21" t="inlineStr">
        <is>
          <t>open</t>
        </is>
      </c>
      <c r="J299" s="22" t="inlineStr">
        <is>
          <t>06c18c42225f5a7bf1e5eaf7e5f512cba1afd1bc84dfd039ae4560e36286ce5b</t>
        </is>
      </c>
      <c r="K299" s="21" t="inlineStr">
        <is>
          <t>open</t>
        </is>
      </c>
      <c r="L299" s="22" t="inlineStr">
        <is>
          <t>ac66fa72b2b1b8d714ee0397f7aa8c1614a6874f93f5d38bde5fb9cf42a2aa02</t>
        </is>
      </c>
    </row>
    <row r="300">
      <c r="A300" s="4" t="inlineStr">
        <is>
          <t>Base → SOL</t>
        </is>
      </c>
      <c r="B300" s="4" t="n">
        <v>1</v>
      </c>
      <c r="C300" s="4" t="inlineStr">
        <is>
          <t>Symbiosis</t>
        </is>
      </c>
      <c r="D300" s="4" t="inlineStr">
        <is>
          <t>2026-09-23T09:41:14.842Z</t>
        </is>
      </c>
      <c r="E300" s="4" t="inlineStr">
        <is>
          <t>2026-09-23T09:41:17.856Z</t>
        </is>
      </c>
      <c r="F300" s="4" t="inlineStr">
        <is>
          <t>2026-09-23T09:41:19.994Z</t>
        </is>
      </c>
      <c r="G300" s="20" t="n">
        <v>2.031</v>
      </c>
      <c r="H300" s="18" t="n">
        <v>98.40936000000001</v>
      </c>
      <c r="I300" s="21" t="inlineStr">
        <is>
          <t>open</t>
        </is>
      </c>
      <c r="J300" s="22" t="inlineStr">
        <is>
          <t>85a2297f5ef17634bb617398ad11195c39ea3d2227d615c439d0816fd95fcd4e</t>
        </is>
      </c>
      <c r="K300" s="21" t="inlineStr">
        <is>
          <t>open</t>
        </is>
      </c>
      <c r="L300" s="22" t="inlineStr">
        <is>
          <t>909d1b3f3cbad4b984a800f8ee09f95f9fa4466acf33194c14e6785622c4689a</t>
        </is>
      </c>
    </row>
    <row r="301">
      <c r="A301" s="4" t="inlineStr">
        <is>
          <t>Base → SOL</t>
        </is>
      </c>
      <c r="B301" s="4" t="n">
        <v>2</v>
      </c>
      <c r="C301" s="4" t="inlineStr">
        <is>
          <t>Bridg</t>
        </is>
      </c>
      <c r="D301" s="4" t="inlineStr">
        <is>
          <t>2026-09-23T08:55:00.601Z</t>
        </is>
      </c>
      <c r="E301" s="4" t="inlineStr">
        <is>
          <t>2026-09-23T08:55:01.486Z</t>
        </is>
      </c>
      <c r="F301" s="4" t="inlineStr">
        <is>
          <t>2026-09-23T08:55:03.628Z</t>
        </is>
      </c>
      <c r="G301" s="20" t="n"/>
      <c r="H301" s="18" t="n">
        <v>99.85005</v>
      </c>
      <c r="I301" s="21" t="inlineStr">
        <is>
          <t>open</t>
        </is>
      </c>
      <c r="J301" s="22" t="inlineStr">
        <is>
          <t>011f59c32d903ef71a1125490ccd8c091764e5785ef0252c6055231afb88b5ea</t>
        </is>
      </c>
      <c r="K301" s="21" t="inlineStr">
        <is>
          <t>open</t>
        </is>
      </c>
      <c r="L301" s="22" t="inlineStr">
        <is>
          <t>70463319ec6132930d77d4f4fe244da26915ec2d087156dd18f6a0f75307b506</t>
        </is>
      </c>
    </row>
    <row r="302">
      <c r="A302" s="4" t="inlineStr">
        <is>
          <t>Base → SOL</t>
        </is>
      </c>
      <c r="B302" s="4" t="n">
        <v>2</v>
      </c>
      <c r="C302" s="4" t="inlineStr">
        <is>
          <t>Bridg</t>
        </is>
      </c>
      <c r="D302" s="4" t="inlineStr">
        <is>
          <t>2026-09-23T09:45:14.883Z</t>
        </is>
      </c>
      <c r="E302" s="4" t="inlineStr">
        <is>
          <t>2026-09-23T09:45:16.035Z</t>
        </is>
      </c>
      <c r="F302" s="4" t="inlineStr">
        <is>
          <t>2026-09-23T09:45:20.039Z</t>
        </is>
      </c>
      <c r="G302" s="20" t="n"/>
      <c r="H302" s="18" t="n">
        <v>99.85005</v>
      </c>
      <c r="I302" s="21" t="inlineStr">
        <is>
          <t>open</t>
        </is>
      </c>
      <c r="J302" s="22" t="inlineStr">
        <is>
          <t>5abbe1a470f40d7bb807a260abb07453ceb208c14f249d71c37ace389c102d62</t>
        </is>
      </c>
      <c r="K302" s="21" t="inlineStr">
        <is>
          <t>open</t>
        </is>
      </c>
      <c r="L302" s="22" t="inlineStr">
        <is>
          <t>6fb045863604ce487d85785dfb612a6ec958bdb2efea9ff1de61fd34370d6637</t>
        </is>
      </c>
    </row>
    <row r="303">
      <c r="A303" s="4" t="inlineStr">
        <is>
          <t>Base → SOL</t>
        </is>
      </c>
      <c r="B303" s="4" t="n">
        <v>2</v>
      </c>
      <c r="C303" s="4" t="inlineStr">
        <is>
          <t>Relay</t>
        </is>
      </c>
      <c r="D303" s="4" t="inlineStr">
        <is>
          <t>2026-09-23T08:55:00.601Z</t>
        </is>
      </c>
      <c r="E303" s="4" t="inlineStr">
        <is>
          <t>2026-09-23T08:55:02.534Z</t>
        </is>
      </c>
      <c r="F303" s="4" t="inlineStr">
        <is>
          <t>2026-09-23T08:55:04.666Z</t>
        </is>
      </c>
      <c r="G303" s="20" t="n">
        <v>1.048</v>
      </c>
      <c r="H303" s="18" t="n">
        <v>99.94558000000001</v>
      </c>
      <c r="I303" s="21" t="inlineStr">
        <is>
          <t>open</t>
        </is>
      </c>
      <c r="J303" s="22" t="inlineStr">
        <is>
          <t>28eeae9cc987a63144f6a8874af68153fafabcb5e1cb3a705f5681ea5971f4d9</t>
        </is>
      </c>
      <c r="K303" s="21" t="inlineStr">
        <is>
          <t>open</t>
        </is>
      </c>
      <c r="L303" s="22" t="inlineStr">
        <is>
          <t>2f6c61351e15ad8dcef08f2c77de5c20d050d72a1ff923069ab0857c7bbc4d6f</t>
        </is>
      </c>
    </row>
    <row r="304">
      <c r="A304" s="4" t="inlineStr">
        <is>
          <t>Base → SOL</t>
        </is>
      </c>
      <c r="B304" s="4" t="n">
        <v>2</v>
      </c>
      <c r="C304" s="4" t="inlineStr">
        <is>
          <t>Relay</t>
        </is>
      </c>
      <c r="D304" s="4" t="inlineStr">
        <is>
          <t>2026-09-23T09:45:14.882Z</t>
        </is>
      </c>
      <c r="E304" s="4" t="inlineStr">
        <is>
          <t>2026-09-23T09:45:16.541Z</t>
        </is>
      </c>
      <c r="F304" s="4" t="inlineStr">
        <is>
          <t>2026-09-23T09:45:19.122Z</t>
        </is>
      </c>
      <c r="G304" s="20" t="n">
        <v>0.506</v>
      </c>
      <c r="H304" s="18" t="n">
        <v>99.94557500000001</v>
      </c>
      <c r="I304" s="21" t="inlineStr">
        <is>
          <t>open</t>
        </is>
      </c>
      <c r="J304" s="22" t="inlineStr">
        <is>
          <t>e71def90e89024ee23b34051377992cc8e09da0e3478a4e21859d5954c29c5e6</t>
        </is>
      </c>
      <c r="K304" s="21" t="inlineStr">
        <is>
          <t>open</t>
        </is>
      </c>
      <c r="L304" s="22" t="inlineStr">
        <is>
          <t>6d7f9bef6ce82d27e26abe0948bafa6baa17137ec6c5a42c154127d20ae73556</t>
        </is>
      </c>
    </row>
    <row r="305">
      <c r="A305" s="4" t="inlineStr">
        <is>
          <t>Base → SOL</t>
        </is>
      </c>
      <c r="B305" s="4" t="n">
        <v>2</v>
      </c>
      <c r="C305" s="4" t="inlineStr">
        <is>
          <t>deBridge</t>
        </is>
      </c>
      <c r="D305" s="4" t="inlineStr">
        <is>
          <t>2026-09-23T08:55:00.602Z</t>
        </is>
      </c>
      <c r="E305" s="4" t="inlineStr">
        <is>
          <t>2026-09-23T08:55:02.029Z</t>
        </is>
      </c>
      <c r="F305" s="4" t="inlineStr">
        <is>
          <t>2026-09-23T08:55:04.155Z</t>
        </is>
      </c>
      <c r="G305" s="20" t="n">
        <v>0.543</v>
      </c>
      <c r="H305" s="18" t="n">
        <v>99.920018</v>
      </c>
      <c r="I305" s="21" t="inlineStr">
        <is>
          <t>open</t>
        </is>
      </c>
      <c r="J305" s="22" t="inlineStr">
        <is>
          <t>90437b9c6bb901dfe10d8bed171cc0958beee3090d424bc370fcfb441be7c1d9</t>
        </is>
      </c>
      <c r="K305" s="21" t="inlineStr">
        <is>
          <t>open</t>
        </is>
      </c>
      <c r="L305" s="22" t="inlineStr">
        <is>
          <t>05bc8f2473c45b93becc9e22f343f4b02ab9b3d2193b95d1db677d987857ce09</t>
        </is>
      </c>
    </row>
    <row r="306">
      <c r="A306" s="4" t="inlineStr">
        <is>
          <t>Base → SOL</t>
        </is>
      </c>
      <c r="B306" s="4" t="n">
        <v>2</v>
      </c>
      <c r="C306" s="4" t="inlineStr">
        <is>
          <t>deBridge</t>
        </is>
      </c>
      <c r="D306" s="4" t="inlineStr">
        <is>
          <t>2026-09-23T09:45:14.883Z</t>
        </is>
      </c>
      <c r="E306" s="4" t="inlineStr">
        <is>
          <t>2026-09-23T09:45:16.541Z</t>
        </is>
      </c>
      <c r="F306" s="4" t="inlineStr">
        <is>
          <t>2026-09-23T09:45:19.125Z</t>
        </is>
      </c>
      <c r="G306" s="20" t="n">
        <v>0.506</v>
      </c>
      <c r="H306" s="18" t="n">
        <v>99.920018</v>
      </c>
      <c r="I306" s="21" t="inlineStr">
        <is>
          <t>open</t>
        </is>
      </c>
      <c r="J306" s="22" t="inlineStr">
        <is>
          <t>faa3742adf05625ad72e3231878b16c55c2ce3f243a742cbf67c19cdf77ff75d</t>
        </is>
      </c>
      <c r="K306" s="21" t="inlineStr">
        <is>
          <t>open</t>
        </is>
      </c>
      <c r="L306" s="22" t="inlineStr">
        <is>
          <t>7e4b5f0fa2300e26a5d0da242f8b59c8efe6aad7fa87d7fff242d49b6bcc8f2a</t>
        </is>
      </c>
    </row>
    <row r="307">
      <c r="A307" s="4" t="inlineStr">
        <is>
          <t>Base → SOL</t>
        </is>
      </c>
      <c r="B307" s="4" t="n">
        <v>2</v>
      </c>
      <c r="C307" s="4" t="inlineStr">
        <is>
          <t>LI.FI (Jumper)</t>
        </is>
      </c>
      <c r="D307" s="4" t="inlineStr">
        <is>
          <t>2026-09-23T08:55:00.602Z</t>
        </is>
      </c>
      <c r="E307" s="4" t="inlineStr">
        <is>
          <t>2026-09-23T08:55:03.122Z</t>
        </is>
      </c>
      <c r="F307" s="4" t="inlineStr">
        <is>
          <t>2026-09-23T08:55:05.253Z</t>
        </is>
      </c>
      <c r="G307" s="20" t="n">
        <v>1.636</v>
      </c>
      <c r="H307" s="18" t="n">
        <v>100</v>
      </c>
      <c r="I307" s="21" t="inlineStr">
        <is>
          <t>open</t>
        </is>
      </c>
      <c r="J307" s="22" t="inlineStr">
        <is>
          <t>1799d39caa06bcc65b737cba6e4fbd39f30a84a8fcd8609efbc7ed477a669ce1</t>
        </is>
      </c>
      <c r="K307" s="21" t="inlineStr">
        <is>
          <t>open</t>
        </is>
      </c>
      <c r="L307" s="22" t="inlineStr">
        <is>
          <t>4f80def32f3307b41783beed6c995e340cb71d7390d6734129a914b8105054b1</t>
        </is>
      </c>
    </row>
    <row r="308">
      <c r="A308" s="4" t="inlineStr">
        <is>
          <t>Base → SOL</t>
        </is>
      </c>
      <c r="B308" s="4" t="n">
        <v>2</v>
      </c>
      <c r="C308" s="4" t="inlineStr">
        <is>
          <t>LI.FI (Jumper)</t>
        </is>
      </c>
      <c r="D308" s="4" t="inlineStr">
        <is>
          <t>2026-09-23T09:45:14.885Z</t>
        </is>
      </c>
      <c r="E308" s="4" t="inlineStr">
        <is>
          <t>2026-09-23T09:45:16.966Z</t>
        </is>
      </c>
      <c r="F308" s="4" t="inlineStr">
        <is>
          <t>2026-09-23T09:45:19.085Z</t>
        </is>
      </c>
      <c r="G308" s="20" t="n">
        <v>0.931</v>
      </c>
      <c r="H308" s="18" t="n">
        <v>100</v>
      </c>
      <c r="I308" s="21" t="inlineStr">
        <is>
          <t>open</t>
        </is>
      </c>
      <c r="J308" s="22" t="inlineStr">
        <is>
          <t>63b8c3c48a081c23de61d491df413b0f952aebc02a00fc272df98fc7a72b56a6</t>
        </is>
      </c>
      <c r="K308" s="21" t="inlineStr">
        <is>
          <t>open</t>
        </is>
      </c>
      <c r="L308" s="22" t="inlineStr">
        <is>
          <t>ce43523fbcae839883aceb7a60078f5dbe26b6cbf0028b087d65139e26a1ad3d</t>
        </is>
      </c>
    </row>
    <row r="309">
      <c r="A309" s="4" t="inlineStr">
        <is>
          <t>Base → SOL</t>
        </is>
      </c>
      <c r="B309" s="4" t="n">
        <v>2</v>
      </c>
      <c r="C309" s="4" t="inlineStr">
        <is>
          <t>Across</t>
        </is>
      </c>
      <c r="D309" s="4" t="inlineStr">
        <is>
          <t>2026-09-23T08:55:00.602Z</t>
        </is>
      </c>
      <c r="E309" s="4" t="inlineStr">
        <is>
          <t>2026-09-23T08:55:02.028Z</t>
        </is>
      </c>
      <c r="F309" s="4" t="inlineStr">
        <is>
          <t>2026-09-23T08:55:04.153Z</t>
        </is>
      </c>
      <c r="G309" s="20" t="n">
        <v>0.542</v>
      </c>
      <c r="H309" s="18" t="n">
        <v>99.98699999999999</v>
      </c>
      <c r="I309" s="21" t="inlineStr">
        <is>
          <t>open</t>
        </is>
      </c>
      <c r="J309" s="22" t="inlineStr">
        <is>
          <t>619b55f579035e5ff4133359908bbe7fdc8c611584440b91ec85d2ec8067c4a7</t>
        </is>
      </c>
      <c r="K309" s="21" t="inlineStr">
        <is>
          <t>open</t>
        </is>
      </c>
      <c r="L309" s="22" t="inlineStr">
        <is>
          <t>beb9aba236b7f9b037d0e4a1bde190de76d9becdbfddec394ffc2217af109344</t>
        </is>
      </c>
    </row>
    <row r="310">
      <c r="A310" s="4" t="inlineStr">
        <is>
          <t>Base → SOL</t>
        </is>
      </c>
      <c r="B310" s="4" t="n">
        <v>2</v>
      </c>
      <c r="C310" s="4" t="inlineStr">
        <is>
          <t>Across</t>
        </is>
      </c>
      <c r="D310" s="4" t="inlineStr">
        <is>
          <t>2026-09-23T09:45:14.882Z</t>
        </is>
      </c>
      <c r="E310" s="4" t="inlineStr">
        <is>
          <t>2026-09-23T09:45:16.153Z</t>
        </is>
      </c>
      <c r="F310" s="4" t="inlineStr">
        <is>
          <t>2026-09-23T09:45:18.286Z</t>
        </is>
      </c>
      <c r="G310" s="20" t="n">
        <v>0.118</v>
      </c>
      <c r="H310" s="18" t="n">
        <v>99.98699999999999</v>
      </c>
      <c r="I310" s="21" t="inlineStr">
        <is>
          <t>open</t>
        </is>
      </c>
      <c r="J310" s="22" t="inlineStr">
        <is>
          <t>da6c7f4de10275412f87a58a86794be9e97d691a1edd276807d23c6b362c9380</t>
        </is>
      </c>
      <c r="K310" s="21" t="inlineStr">
        <is>
          <t>open</t>
        </is>
      </c>
      <c r="L310" s="22" t="inlineStr">
        <is>
          <t>68ab6a98a32f481f0d11c968e754cbf4547b7980648235a769013d2c4f73adc7</t>
        </is>
      </c>
    </row>
    <row r="311">
      <c r="A311" s="4" t="inlineStr">
        <is>
          <t>Base → SOL</t>
        </is>
      </c>
      <c r="B311" s="4" t="n">
        <v>2</v>
      </c>
      <c r="C311" s="4" t="inlineStr">
        <is>
          <t>Mayan</t>
        </is>
      </c>
      <c r="D311" s="4" t="inlineStr">
        <is>
          <t>2026-09-23T08:55:00.601Z</t>
        </is>
      </c>
      <c r="E311" s="4" t="inlineStr">
        <is>
          <t>2026-09-23T08:55:01.730Z</t>
        </is>
      </c>
      <c r="F311" s="4" t="inlineStr">
        <is>
          <t>2026-09-23T08:55:03.848Z</t>
        </is>
      </c>
      <c r="G311" s="20" t="n">
        <v>0.244</v>
      </c>
      <c r="H311" s="18" t="n">
        <v>99.681</v>
      </c>
      <c r="I311" s="21" t="inlineStr">
        <is>
          <t>open</t>
        </is>
      </c>
      <c r="J311" s="22" t="inlineStr">
        <is>
          <t>a15c2dbe750f3c265069fa63e13b14b7a1e6af08fb01180ecb8a0be6505f9153</t>
        </is>
      </c>
      <c r="K311" s="21" t="inlineStr">
        <is>
          <t>open</t>
        </is>
      </c>
      <c r="L311" s="22" t="inlineStr">
        <is>
          <t>821b3cdfc7b09adece44059e71960644041f1f1a64138d2c2c8497584c6b0df4</t>
        </is>
      </c>
    </row>
    <row r="312">
      <c r="A312" s="4" t="inlineStr">
        <is>
          <t>Base → SOL</t>
        </is>
      </c>
      <c r="B312" s="4" t="n">
        <v>2</v>
      </c>
      <c r="C312" s="4" t="inlineStr">
        <is>
          <t>Mayan</t>
        </is>
      </c>
      <c r="D312" s="4" t="inlineStr">
        <is>
          <t>2026-09-23T09:45:14.881Z</t>
        </is>
      </c>
      <c r="E312" s="4" t="inlineStr">
        <is>
          <t>2026-09-23T09:45:16.217Z</t>
        </is>
      </c>
      <c r="F312" s="4" t="inlineStr">
        <is>
          <t>2026-09-23T09:45:18.338Z</t>
        </is>
      </c>
      <c r="G312" s="20" t="n">
        <v>0.182</v>
      </c>
      <c r="H312" s="18" t="n">
        <v>99.68000000000001</v>
      </c>
      <c r="I312" s="21" t="inlineStr">
        <is>
          <t>open</t>
        </is>
      </c>
      <c r="J312" s="22" t="inlineStr">
        <is>
          <t>58d61f77c1affc24e2fff93e1a9b6651e378a9c1e545cc13ff705e8d5a76823e</t>
        </is>
      </c>
      <c r="K312" s="21" t="inlineStr">
        <is>
          <t>open</t>
        </is>
      </c>
      <c r="L312" s="22" t="inlineStr">
        <is>
          <t>44be80be7344c847831243d63ea64e2e020af38bafe8f5bdce3780d14a76db74</t>
        </is>
      </c>
    </row>
    <row r="313">
      <c r="A313" s="4" t="inlineStr">
        <is>
          <t>Base → SOL</t>
        </is>
      </c>
      <c r="B313" s="4" t="n">
        <v>2</v>
      </c>
      <c r="C313" s="4" t="inlineStr">
        <is>
          <t>Allbridge Core</t>
        </is>
      </c>
      <c r="D313" s="4" t="inlineStr">
        <is>
          <t>2026-09-23T09:45:14.885Z</t>
        </is>
      </c>
      <c r="E313" s="4" t="inlineStr">
        <is>
          <t>2026-09-23T09:45:16.169Z</t>
        </is>
      </c>
      <c r="F313" s="4" t="inlineStr">
        <is>
          <t>2026-09-23T09:45:18.385Z</t>
        </is>
      </c>
      <c r="G313" s="20" t="n">
        <v>0.134</v>
      </c>
      <c r="H313" s="18" t="n">
        <v>99.90000000000001</v>
      </c>
      <c r="I313" s="21" t="inlineStr">
        <is>
          <t>open</t>
        </is>
      </c>
      <c r="J313" s="22" t="inlineStr">
        <is>
          <t>762542c3766f3e6a516729c8a68c6bdcf498107b0840ae0f02dcdcf0e898ede8</t>
        </is>
      </c>
      <c r="K313" s="21" t="inlineStr">
        <is>
          <t>open</t>
        </is>
      </c>
      <c r="L313" s="22" t="inlineStr">
        <is>
          <t>d4445384fd512d206ac429ccc558164f6de8bc379634b9ce9257eac4b8c0181f</t>
        </is>
      </c>
    </row>
    <row r="314">
      <c r="A314" s="4" t="inlineStr">
        <is>
          <t>Base → SOL</t>
        </is>
      </c>
      <c r="B314" s="4" t="n">
        <v>2</v>
      </c>
      <c r="C314" s="4" t="inlineStr">
        <is>
          <t>CCTP (via Portal)</t>
        </is>
      </c>
      <c r="D314" s="4" t="inlineStr">
        <is>
          <t>2026-09-23T09:45:14.885Z</t>
        </is>
      </c>
      <c r="E314" s="4" t="inlineStr">
        <is>
          <t>2026-09-23T09:45:18.721Z</t>
        </is>
      </c>
      <c r="F314" s="4" t="inlineStr">
        <is>
          <t>2026-09-23T09:45:21.256Z</t>
        </is>
      </c>
      <c r="G314" s="20" t="n">
        <v>2.686</v>
      </c>
      <c r="H314" s="18" t="n">
        <v>99.977001</v>
      </c>
      <c r="I314" s="21" t="inlineStr">
        <is>
          <t>open</t>
        </is>
      </c>
      <c r="J314" s="22" t="inlineStr">
        <is>
          <t>b5a30387b07f39b68111662c0114846a8577444d8025f14b51e03d183d1a13df</t>
        </is>
      </c>
      <c r="K314" s="21" t="inlineStr">
        <is>
          <t>open</t>
        </is>
      </c>
      <c r="L314" s="22" t="inlineStr">
        <is>
          <t>747e0a7c4610534386b253113a2d486d413c374c73137fecd8a12f85a3bd9563</t>
        </is>
      </c>
    </row>
    <row r="315">
      <c r="A315" s="4" t="inlineStr">
        <is>
          <t>Base → SOL</t>
        </is>
      </c>
      <c r="B315" s="4" t="n">
        <v>2</v>
      </c>
      <c r="C315" s="4" t="inlineStr">
        <is>
          <t>Husher</t>
        </is>
      </c>
      <c r="D315" s="4" t="inlineStr">
        <is>
          <t>2026-09-23T09:45:14.887Z</t>
        </is>
      </c>
      <c r="E315" s="4" t="inlineStr">
        <is>
          <t>2026-09-23T09:45:16.249Z</t>
        </is>
      </c>
      <c r="F315" s="4" t="inlineStr">
        <is>
          <t>2026-09-23T09:45:18.378Z</t>
        </is>
      </c>
      <c r="G315" s="20" t="n">
        <v>0.214</v>
      </c>
      <c r="H315" s="18" t="n">
        <v>99.34999999999999</v>
      </c>
      <c r="I315" s="21" t="inlineStr">
        <is>
          <t>open</t>
        </is>
      </c>
      <c r="J315" s="22" t="inlineStr">
        <is>
          <t>46c3f24defa6ec3f6c2f867d24a99666d062262aee66d0dd8464fd4deff6084c</t>
        </is>
      </c>
      <c r="K315" s="21" t="inlineStr">
        <is>
          <t>open</t>
        </is>
      </c>
      <c r="L315" s="22" t="inlineStr">
        <is>
          <t>2482940a89e0ad16d897be74ed0faf457f7789f9db32b0a0187cb0ad20aeb9e5</t>
        </is>
      </c>
    </row>
    <row r="316">
      <c r="A316" s="4" t="inlineStr">
        <is>
          <t>Base → SOL</t>
        </is>
      </c>
      <c r="B316" s="4" t="n">
        <v>2</v>
      </c>
      <c r="C316" s="4" t="inlineStr">
        <is>
          <t>Layerswap</t>
        </is>
      </c>
      <c r="D316" s="4" t="inlineStr">
        <is>
          <t>2026-09-23T09:45:14.882Z</t>
        </is>
      </c>
      <c r="E316" s="4" t="inlineStr">
        <is>
          <t>2026-09-23T09:45:17.191Z</t>
        </is>
      </c>
      <c r="F316" s="4" t="inlineStr">
        <is>
          <t>2026-09-23T09:45:19.428Z</t>
        </is>
      </c>
      <c r="G316" s="20" t="n">
        <v>1.156</v>
      </c>
      <c r="H316" s="18" t="n">
        <v>99.673535</v>
      </c>
      <c r="I316" s="21" t="inlineStr">
        <is>
          <t>open</t>
        </is>
      </c>
      <c r="J316" s="22" t="inlineStr">
        <is>
          <t>9f4d9a5a4219ae3adc334d9276f747042354eb3c26047bd645a49937a0d81d5e</t>
        </is>
      </c>
      <c r="K316" s="21" t="inlineStr">
        <is>
          <t>open</t>
        </is>
      </c>
      <c r="L316" s="22" t="inlineStr">
        <is>
          <t>5c44cc3f84560730a3dae90bfee4175e97d88e7c793f9cd621acf8ec1fda1958</t>
        </is>
      </c>
    </row>
    <row r="317">
      <c r="A317" s="4" t="inlineStr">
        <is>
          <t>Base → SOL</t>
        </is>
      </c>
      <c r="B317" s="4" t="n">
        <v>2</v>
      </c>
      <c r="C317" s="4" t="inlineStr">
        <is>
          <t>Meson</t>
        </is>
      </c>
      <c r="D317" s="4" t="inlineStr">
        <is>
          <t>2026-09-23T09:45:14.886Z</t>
        </is>
      </c>
      <c r="E317" s="4" t="inlineStr">
        <is>
          <t>2026-09-23T09:45:15.263Z</t>
        </is>
      </c>
      <c r="F317" s="4" t="inlineStr">
        <is>
          <t>2026-09-23T09:45:17.395Z</t>
        </is>
      </c>
      <c r="G317" s="20" t="n">
        <v>0.772</v>
      </c>
      <c r="H317" s="18" t="n">
        <v>99.59999999999999</v>
      </c>
      <c r="I317" s="21" t="inlineStr">
        <is>
          <t>open</t>
        </is>
      </c>
      <c r="J317" s="22" t="inlineStr">
        <is>
          <t>5cd2b7d2d5bcb980939fa42abb219a3558debaa2a6d6038533649a522a4d426e</t>
        </is>
      </c>
      <c r="K317" s="21" t="inlineStr">
        <is>
          <t>open</t>
        </is>
      </c>
      <c r="L317" s="22" t="inlineStr">
        <is>
          <t>954f73e4a6518906bad2fe443d96f64edbb2ec08298dab9481446cb098b12b12</t>
        </is>
      </c>
    </row>
    <row r="318">
      <c r="A318" s="4" t="inlineStr">
        <is>
          <t>Base → SOL</t>
        </is>
      </c>
      <c r="B318" s="4" t="n">
        <v>2</v>
      </c>
      <c r="C318" s="4" t="inlineStr">
        <is>
          <t>Skip Go</t>
        </is>
      </c>
      <c r="D318" s="4" t="inlineStr">
        <is>
          <t>2026-09-23T09:45:14.883Z</t>
        </is>
      </c>
      <c r="E318" s="4" t="inlineStr">
        <is>
          <t>2026-09-23T09:45:17.355Z</t>
        </is>
      </c>
      <c r="F318" s="4" t="inlineStr">
        <is>
          <t>2026-09-23T09:45:19.426Z</t>
        </is>
      </c>
      <c r="G318" s="20" t="n">
        <v>1.32</v>
      </c>
      <c r="H318" s="18" t="n">
        <v>99.71585</v>
      </c>
      <c r="I318" s="21" t="inlineStr">
        <is>
          <t>open</t>
        </is>
      </c>
      <c r="J318" s="22" t="inlineStr">
        <is>
          <t>41f41e1ffbe2720da8f5283d6402dc456823adb5392efebb153b0d8263595a0a</t>
        </is>
      </c>
      <c r="K318" s="21" t="inlineStr">
        <is>
          <t>open</t>
        </is>
      </c>
      <c r="L318" s="22" t="inlineStr">
        <is>
          <t>4196bfc44d475a771c1f47039c636b3ed4e387d9da39900aa1c4cc6579a377d1</t>
        </is>
      </c>
    </row>
    <row r="319">
      <c r="A319" s="4" t="inlineStr">
        <is>
          <t>Base → SOL</t>
        </is>
      </c>
      <c r="B319" s="4" t="n">
        <v>2</v>
      </c>
      <c r="C319" s="4" t="inlineStr">
        <is>
          <t>Symbiosis</t>
        </is>
      </c>
      <c r="D319" s="4" t="inlineStr">
        <is>
          <t>2026-09-23T09:45:14.883Z</t>
        </is>
      </c>
      <c r="E319" s="4" t="inlineStr">
        <is>
          <t>2026-09-23T09:45:18.253Z</t>
        </is>
      </c>
      <c r="F319" s="4" t="inlineStr">
        <is>
          <t>2026-09-23T09:45:20.343Z</t>
        </is>
      </c>
      <c r="G319" s="20" t="n">
        <v>2.218</v>
      </c>
      <c r="H319" s="18" t="n">
        <v>98.395017</v>
      </c>
      <c r="I319" s="21" t="inlineStr">
        <is>
          <t>open</t>
        </is>
      </c>
      <c r="J319" s="22" t="inlineStr">
        <is>
          <t>cbdb9a24d3e8541d80a79398965ee6d5035ab81b34c80b883fa3d99dfb1ac875</t>
        </is>
      </c>
      <c r="K319" s="21" t="inlineStr">
        <is>
          <t>open</t>
        </is>
      </c>
      <c r="L319" s="22" t="inlineStr">
        <is>
          <t>90d1d2388d5a1ec0cc14a1fb13bea79fb72830f4be15340ec9ecbf892cb38c6a</t>
        </is>
      </c>
    </row>
    <row r="320">
      <c r="A320" s="4" t="inlineStr">
        <is>
          <t>Base → SOL</t>
        </is>
      </c>
      <c r="B320" s="4" t="n">
        <v>3</v>
      </c>
      <c r="C320" s="4" t="inlineStr">
        <is>
          <t>Bridg</t>
        </is>
      </c>
      <c r="D320" s="4" t="inlineStr">
        <is>
          <t>2026-09-23T08:57:30.229Z</t>
        </is>
      </c>
      <c r="E320" s="4" t="inlineStr">
        <is>
          <t>2026-09-23T08:57:31.117Z</t>
        </is>
      </c>
      <c r="F320" s="4" t="inlineStr">
        <is>
          <t>2026-09-23T08:57:34.143Z</t>
        </is>
      </c>
      <c r="G320" s="20" t="n"/>
      <c r="H320" s="18" t="n">
        <v>99.85005</v>
      </c>
      <c r="I320" s="21" t="inlineStr">
        <is>
          <t>open</t>
        </is>
      </c>
      <c r="J320" s="22" t="inlineStr">
        <is>
          <t>1b9f4fd63b708687a4297bb0948ee8c8f2c700320c2454aea18aec776a1557bb</t>
        </is>
      </c>
      <c r="K320" s="21" t="inlineStr">
        <is>
          <t>open</t>
        </is>
      </c>
      <c r="L320" s="22" t="inlineStr">
        <is>
          <t>01b4b329eff6e5724849462260f1e7bb28c6c136408cd5e85cc5a421d4167645</t>
        </is>
      </c>
    </row>
    <row r="321">
      <c r="A321" s="4" t="inlineStr">
        <is>
          <t>Base → SOL</t>
        </is>
      </c>
      <c r="B321" s="4" t="n">
        <v>3</v>
      </c>
      <c r="C321" s="4" t="inlineStr">
        <is>
          <t>Bridg</t>
        </is>
      </c>
      <c r="D321" s="4" t="inlineStr">
        <is>
          <t>2026-09-23T09:48:54.108Z</t>
        </is>
      </c>
      <c r="E321" s="4" t="inlineStr">
        <is>
          <t>2026-09-23T09:48:54.951Z</t>
        </is>
      </c>
      <c r="F321" s="4" t="inlineStr">
        <is>
          <t>2026-09-23T09:48:58.712Z</t>
        </is>
      </c>
      <c r="G321" s="20" t="n"/>
      <c r="H321" s="18" t="n">
        <v>99.85005</v>
      </c>
      <c r="I321" s="21" t="inlineStr">
        <is>
          <t>open</t>
        </is>
      </c>
      <c r="J321" s="22" t="inlineStr">
        <is>
          <t>1527cc2bd014ae52fa530e2444c9a64c62277823bc6e96efbc0ae987b699b939</t>
        </is>
      </c>
      <c r="K321" s="21" t="inlineStr">
        <is>
          <t>open</t>
        </is>
      </c>
      <c r="L321" s="22" t="inlineStr">
        <is>
          <t>66df15bb7a8a5fe48c1e5701885f8e373373fc31c61034587725d02e4de1c43c</t>
        </is>
      </c>
    </row>
    <row r="322">
      <c r="A322" s="4" t="inlineStr">
        <is>
          <t>Base → SOL</t>
        </is>
      </c>
      <c r="B322" s="4" t="n">
        <v>3</v>
      </c>
      <c r="C322" s="4" t="inlineStr">
        <is>
          <t>Relay</t>
        </is>
      </c>
      <c r="D322" s="4" t="inlineStr">
        <is>
          <t>2026-09-23T08:57:30.230Z</t>
        </is>
      </c>
      <c r="E322" s="4" t="inlineStr">
        <is>
          <t>2026-09-23T08:57:31.880Z</t>
        </is>
      </c>
      <c r="F322" s="4" t="inlineStr">
        <is>
          <t>2026-09-23T08:57:34.142Z</t>
        </is>
      </c>
      <c r="G322" s="20" t="n">
        <v>0.763</v>
      </c>
      <c r="H322" s="18" t="n">
        <v>99.945573</v>
      </c>
      <c r="I322" s="21" t="inlineStr">
        <is>
          <t>open</t>
        </is>
      </c>
      <c r="J322" s="22" t="inlineStr">
        <is>
          <t>05bb34eb12646b3994f0f035ac3f6aeb3e88cac08c784fb77201b7571cbbe23e</t>
        </is>
      </c>
      <c r="K322" s="21" t="inlineStr">
        <is>
          <t>open</t>
        </is>
      </c>
      <c r="L322" s="22" t="inlineStr">
        <is>
          <t>7caea5371a795bd54d3ff1e4cd39a0fbe233ec9f89c231d211b3febd645c4417</t>
        </is>
      </c>
    </row>
    <row r="323">
      <c r="A323" s="4" t="inlineStr">
        <is>
          <t>Base → SOL</t>
        </is>
      </c>
      <c r="B323" s="4" t="n">
        <v>3</v>
      </c>
      <c r="C323" s="4" t="inlineStr">
        <is>
          <t>Relay</t>
        </is>
      </c>
      <c r="D323" s="4" t="inlineStr">
        <is>
          <t>2026-09-23T09:48:54.108Z</t>
        </is>
      </c>
      <c r="E323" s="4" t="inlineStr">
        <is>
          <t>2026-09-23T09:48:56.029Z</t>
        </is>
      </c>
      <c r="F323" s="4" t="inlineStr">
        <is>
          <t>2026-09-23T09:48:58.403Z</t>
        </is>
      </c>
      <c r="G323" s="20" t="n">
        <v>1.078</v>
      </c>
      <c r="H323" s="18" t="n">
        <v>99.94557</v>
      </c>
      <c r="I323" s="21" t="inlineStr">
        <is>
          <t>open</t>
        </is>
      </c>
      <c r="J323" s="22" t="inlineStr">
        <is>
          <t>008baf7b4c583a8923d107c74f43b519a509d6e693af615142b99a96ca4905fa</t>
        </is>
      </c>
      <c r="K323" s="21" t="inlineStr">
        <is>
          <t>open</t>
        </is>
      </c>
      <c r="L323" s="22" t="inlineStr">
        <is>
          <t>3131dd1e95f3dfa7e1d900fd02d95c28a225095d2b91fbb4404df895035096c0</t>
        </is>
      </c>
    </row>
    <row r="324">
      <c r="A324" s="4" t="inlineStr">
        <is>
          <t>Base → SOL</t>
        </is>
      </c>
      <c r="B324" s="4" t="n">
        <v>3</v>
      </c>
      <c r="C324" s="4" t="inlineStr">
        <is>
          <t>deBridge</t>
        </is>
      </c>
      <c r="D324" s="4" t="inlineStr">
        <is>
          <t>2026-09-23T08:57:30.230Z</t>
        </is>
      </c>
      <c r="E324" s="4" t="inlineStr">
        <is>
          <t>2026-09-23T08:57:31.434Z</t>
        </is>
      </c>
      <c r="F324" s="4" t="inlineStr">
        <is>
          <t>2026-09-23T08:57:33.839Z</t>
        </is>
      </c>
      <c r="G324" s="20" t="n">
        <v>0.317</v>
      </c>
      <c r="H324" s="18" t="n">
        <v>99.920018</v>
      </c>
      <c r="I324" s="21" t="inlineStr">
        <is>
          <t>open</t>
        </is>
      </c>
      <c r="J324" s="22" t="inlineStr">
        <is>
          <t>73b11f7132b3f35db252a7702e4bec84823a46eb816a145272cd96d3342909b8</t>
        </is>
      </c>
      <c r="K324" s="21" t="inlineStr">
        <is>
          <t>open</t>
        </is>
      </c>
      <c r="L324" s="22" t="inlineStr">
        <is>
          <t>4aad41448615b36c56fca570de35115d2df080088c52df7952ab6fd714fb137a</t>
        </is>
      </c>
    </row>
    <row r="325">
      <c r="A325" s="4" t="inlineStr">
        <is>
          <t>Base → SOL</t>
        </is>
      </c>
      <c r="B325" s="4" t="n">
        <v>3</v>
      </c>
      <c r="C325" s="4" t="inlineStr">
        <is>
          <t>deBridge</t>
        </is>
      </c>
      <c r="D325" s="4" t="inlineStr">
        <is>
          <t>2026-09-23T09:48:54.108Z</t>
        </is>
      </c>
      <c r="E325" s="4" t="inlineStr">
        <is>
          <t>2026-09-23T09:48:55.527Z</t>
        </is>
      </c>
      <c r="F325" s="4" t="inlineStr">
        <is>
          <t>2026-09-23T09:48:57.662Z</t>
        </is>
      </c>
      <c r="G325" s="20" t="n">
        <v>0.576</v>
      </c>
      <c r="H325" s="18" t="n">
        <v>99.920018</v>
      </c>
      <c r="I325" s="21" t="inlineStr">
        <is>
          <t>open</t>
        </is>
      </c>
      <c r="J325" s="22" t="inlineStr">
        <is>
          <t>c5b5a21e5ee1f28c9649eb73c0c1cd36a7cf374a6f5c10676a1c58d2bce9d9a4</t>
        </is>
      </c>
      <c r="K325" s="21" t="inlineStr">
        <is>
          <t>open</t>
        </is>
      </c>
      <c r="L325" s="22" t="inlineStr">
        <is>
          <t>a580ab82289b72c8394095160831c582a10005e7f91c7a041f50d90a9d1fd34f</t>
        </is>
      </c>
    </row>
    <row r="326">
      <c r="A326" s="4" t="inlineStr">
        <is>
          <t>Base → SOL</t>
        </is>
      </c>
      <c r="B326" s="4" t="n">
        <v>3</v>
      </c>
      <c r="C326" s="4" t="inlineStr">
        <is>
          <t>LI.FI (Jumper)</t>
        </is>
      </c>
      <c r="D326" s="4" t="inlineStr">
        <is>
          <t>2026-09-23T08:57:30.230Z</t>
        </is>
      </c>
      <c r="E326" s="4" t="inlineStr">
        <is>
          <t>2026-09-23T08:57:32.445Z</t>
        </is>
      </c>
      <c r="F326" s="4" t="inlineStr">
        <is>
          <t>2026-09-23T08:57:34.721Z</t>
        </is>
      </c>
      <c r="G326" s="20" t="n">
        <v>1.328</v>
      </c>
      <c r="H326" s="18" t="n">
        <v>100</v>
      </c>
      <c r="I326" s="21" t="inlineStr">
        <is>
          <t>open</t>
        </is>
      </c>
      <c r="J326" s="22" t="inlineStr">
        <is>
          <t>9127520b2142b1eb2faf2bc97e100a65da920492b32bdb86640d938f694afacd</t>
        </is>
      </c>
      <c r="K326" s="21" t="inlineStr">
        <is>
          <t>open</t>
        </is>
      </c>
      <c r="L326" s="22" t="inlineStr">
        <is>
          <t>ea485bc4e23a4a320f3df95c96157f87331f70f7fd61d0175f2d368cf8fb399d</t>
        </is>
      </c>
    </row>
    <row r="327">
      <c r="A327" s="4" t="inlineStr">
        <is>
          <t>Base → SOL</t>
        </is>
      </c>
      <c r="B327" s="4" t="n">
        <v>3</v>
      </c>
      <c r="C327" s="4" t="inlineStr">
        <is>
          <t>LI.FI (Jumper)</t>
        </is>
      </c>
      <c r="D327" s="4" t="inlineStr">
        <is>
          <t>2026-09-23T09:48:54.110Z</t>
        </is>
      </c>
      <c r="E327" s="4" t="inlineStr">
        <is>
          <t>2026-09-23T09:48:56.300Z</t>
        </is>
      </c>
      <c r="F327" s="4" t="inlineStr">
        <is>
          <t>2026-09-23T09:48:58.369Z</t>
        </is>
      </c>
      <c r="G327" s="20" t="n">
        <v>1.349</v>
      </c>
      <c r="H327" s="18" t="n">
        <v>100</v>
      </c>
      <c r="I327" s="21" t="inlineStr">
        <is>
          <t>open</t>
        </is>
      </c>
      <c r="J327" s="22" t="inlineStr">
        <is>
          <t>0ef75a11b50301f0c5c6fdbe05e95d8c686afa4704c09ed02fff769de0cce67d</t>
        </is>
      </c>
      <c r="K327" s="21" t="inlineStr">
        <is>
          <t>open</t>
        </is>
      </c>
      <c r="L327" s="22" t="inlineStr">
        <is>
          <t>6fd7500ee867688cee25f8de89ce692eba00e9c3076526612e3ca99d35a60976</t>
        </is>
      </c>
    </row>
    <row r="328">
      <c r="A328" s="4" t="inlineStr">
        <is>
          <t>Base → SOL</t>
        </is>
      </c>
      <c r="B328" s="4" t="n">
        <v>3</v>
      </c>
      <c r="C328" s="4" t="inlineStr">
        <is>
          <t>Across</t>
        </is>
      </c>
      <c r="D328" s="4" t="inlineStr">
        <is>
          <t>2026-09-23T08:57:30.230Z</t>
        </is>
      </c>
      <c r="E328" s="4" t="inlineStr">
        <is>
          <t>2026-09-23T08:57:31.170Z</t>
        </is>
      </c>
      <c r="F328" s="4" t="inlineStr">
        <is>
          <t>2026-09-23T08:57:33.296Z</t>
        </is>
      </c>
      <c r="G328" s="20" t="n">
        <v>0.053</v>
      </c>
      <c r="H328" s="18" t="n">
        <v>99.98699999999999</v>
      </c>
      <c r="I328" s="21" t="inlineStr">
        <is>
          <t>open</t>
        </is>
      </c>
      <c r="J328" s="22" t="inlineStr">
        <is>
          <t>da6c7f4de10275412f87a58a86794be9e97d691a1edd276807d23c6b362c9380</t>
        </is>
      </c>
      <c r="K328" s="21" t="inlineStr">
        <is>
          <t>open</t>
        </is>
      </c>
      <c r="L328" s="22" t="inlineStr">
        <is>
          <t>2b5147e86fec9c87c6f2a4b8c7ddcb775a2b6bfac0878d240bba97d731b9c513</t>
        </is>
      </c>
    </row>
    <row r="329">
      <c r="A329" s="4" t="inlineStr">
        <is>
          <t>Base → SOL</t>
        </is>
      </c>
      <c r="B329" s="4" t="n">
        <v>3</v>
      </c>
      <c r="C329" s="4" t="inlineStr">
        <is>
          <t>Across</t>
        </is>
      </c>
      <c r="D329" s="4" t="inlineStr">
        <is>
          <t>2026-09-23T09:48:54.107Z</t>
        </is>
      </c>
      <c r="E329" s="4" t="inlineStr">
        <is>
          <t>2026-09-23T09:48:55.257Z</t>
        </is>
      </c>
      <c r="F329" s="4" t="inlineStr">
        <is>
          <t>2026-09-23T09:48:57.393Z</t>
        </is>
      </c>
      <c r="G329" s="20" t="n">
        <v>0.306</v>
      </c>
      <c r="H329" s="18" t="n">
        <v>99.98699999999999</v>
      </c>
      <c r="I329" s="21" t="inlineStr">
        <is>
          <t>open</t>
        </is>
      </c>
      <c r="J329" s="22" t="inlineStr">
        <is>
          <t>da6c7f4de10275412f87a58a86794be9e97d691a1edd276807d23c6b362c9380</t>
        </is>
      </c>
      <c r="K329" s="21" t="inlineStr">
        <is>
          <t>open</t>
        </is>
      </c>
      <c r="L329" s="22" t="inlineStr">
        <is>
          <t>5e146b490e2fd320ac494952297210cc9510e776494ef50bbc55a1aa9fe87c00</t>
        </is>
      </c>
    </row>
    <row r="330">
      <c r="A330" s="4" t="inlineStr">
        <is>
          <t>Base → SOL</t>
        </is>
      </c>
      <c r="B330" s="4" t="n">
        <v>3</v>
      </c>
      <c r="C330" s="4" t="inlineStr">
        <is>
          <t>Mayan</t>
        </is>
      </c>
      <c r="D330" s="4" t="inlineStr">
        <is>
          <t>2026-09-23T08:57:30.229Z</t>
        </is>
      </c>
      <c r="E330" s="4" t="inlineStr">
        <is>
          <t>2026-09-23T08:57:31.360Z</t>
        </is>
      </c>
      <c r="F330" s="4" t="inlineStr">
        <is>
          <t>2026-09-23T08:57:33.483Z</t>
        </is>
      </c>
      <c r="G330" s="20" t="n">
        <v>0.243</v>
      </c>
      <c r="H330" s="18" t="n">
        <v>99.68000000000001</v>
      </c>
      <c r="I330" s="21" t="inlineStr">
        <is>
          <t>open</t>
        </is>
      </c>
      <c r="J330" s="22" t="inlineStr">
        <is>
          <t>58d61f77c1affc24e2fff93e1a9b6651e378a9c1e545cc13ff705e8d5a76823e</t>
        </is>
      </c>
      <c r="K330" s="21" t="inlineStr">
        <is>
          <t>open</t>
        </is>
      </c>
      <c r="L330" s="22" t="inlineStr">
        <is>
          <t>44be80be7344c847831243d63ea64e2e020af38bafe8f5bdce3780d14a76db74</t>
        </is>
      </c>
    </row>
    <row r="331">
      <c r="A331" s="4" t="inlineStr">
        <is>
          <t>Base → SOL</t>
        </is>
      </c>
      <c r="B331" s="4" t="n">
        <v>3</v>
      </c>
      <c r="C331" s="4" t="inlineStr">
        <is>
          <t>Mayan</t>
        </is>
      </c>
      <c r="D331" s="4" t="inlineStr">
        <is>
          <t>2026-09-23T09:48:54.107Z</t>
        </is>
      </c>
      <c r="E331" s="4" t="inlineStr">
        <is>
          <t>2026-09-23T09:48:55.655Z</t>
        </is>
      </c>
      <c r="F331" s="4" t="inlineStr">
        <is>
          <t>2026-09-23T09:48:57.967Z</t>
        </is>
      </c>
      <c r="G331" s="20" t="n">
        <v>0.704</v>
      </c>
      <c r="H331" s="18" t="n">
        <v>99.68000000000001</v>
      </c>
      <c r="I331" s="21" t="inlineStr">
        <is>
          <t>open</t>
        </is>
      </c>
      <c r="J331" s="22" t="inlineStr">
        <is>
          <t>58d61f77c1affc24e2fff93e1a9b6651e378a9c1e545cc13ff705e8d5a76823e</t>
        </is>
      </c>
      <c r="K331" s="21" t="inlineStr">
        <is>
          <t>open</t>
        </is>
      </c>
      <c r="L331" s="22" t="inlineStr">
        <is>
          <t>44be80be7344c847831243d63ea64e2e020af38bafe8f5bdce3780d14a76db74</t>
        </is>
      </c>
    </row>
    <row r="332">
      <c r="A332" s="4" t="inlineStr">
        <is>
          <t>Base → SOL</t>
        </is>
      </c>
      <c r="B332" s="4" t="n">
        <v>3</v>
      </c>
      <c r="C332" s="4" t="inlineStr">
        <is>
          <t>Allbridge Core</t>
        </is>
      </c>
      <c r="D332" s="4" t="inlineStr">
        <is>
          <t>2026-09-23T09:48:54.110Z</t>
        </is>
      </c>
      <c r="E332" s="4" t="inlineStr">
        <is>
          <t>2026-09-23T09:48:55.306Z</t>
        </is>
      </c>
      <c r="F332" s="4" t="inlineStr">
        <is>
          <t>2026-09-23T09:48:57.556Z</t>
        </is>
      </c>
      <c r="G332" s="20" t="n">
        <v>0.355</v>
      </c>
      <c r="H332" s="18" t="n">
        <v>99.90000000000001</v>
      </c>
      <c r="I332" s="21" t="inlineStr">
        <is>
          <t>open</t>
        </is>
      </c>
      <c r="J332" s="22" t="inlineStr">
        <is>
          <t>b0d57b4c8228db9f9d3f14370f3a9073b874d4ec568d6ae82da6a20eb0adb705</t>
        </is>
      </c>
      <c r="K332" s="21" t="inlineStr">
        <is>
          <t>open</t>
        </is>
      </c>
      <c r="L332" s="22" t="inlineStr">
        <is>
          <t>d4445384fd512d206ac429ccc558164f6de8bc379634b9ce9257eac4b8c0181f</t>
        </is>
      </c>
    </row>
    <row r="333">
      <c r="A333" s="4" t="inlineStr">
        <is>
          <t>Base → SOL</t>
        </is>
      </c>
      <c r="B333" s="4" t="n">
        <v>3</v>
      </c>
      <c r="C333" s="4" t="inlineStr">
        <is>
          <t>CCTP (via Portal)</t>
        </is>
      </c>
      <c r="D333" s="4" t="inlineStr">
        <is>
          <t>2026-09-23T09:48:54.111Z</t>
        </is>
      </c>
      <c r="E333" s="4" t="inlineStr">
        <is>
          <t>2026-09-23T09:48:57.718Z</t>
        </is>
      </c>
      <c r="F333" s="4" t="inlineStr">
        <is>
          <t>2026-09-23T09:49:00.095Z</t>
        </is>
      </c>
      <c r="G333" s="20" t="n">
        <v>2.767</v>
      </c>
      <c r="H333" s="18" t="n">
        <v>99.977001</v>
      </c>
      <c r="I333" s="21" t="inlineStr">
        <is>
          <t>open</t>
        </is>
      </c>
      <c r="J333" s="22" t="inlineStr">
        <is>
          <t>b5a30387b07f39b68111662c0114846a8577444d8025f14b51e03d183d1a13df</t>
        </is>
      </c>
      <c r="K333" s="21" t="inlineStr">
        <is>
          <t>open</t>
        </is>
      </c>
      <c r="L333" s="22" t="inlineStr">
        <is>
          <t>5fd0f1ebeb2b4d03879fd75c9ae57fc955c190cbac5aeb1c4f562bbe322f100f</t>
        </is>
      </c>
    </row>
    <row r="334">
      <c r="A334" s="4" t="inlineStr">
        <is>
          <t>Base → SOL</t>
        </is>
      </c>
      <c r="B334" s="4" t="n">
        <v>3</v>
      </c>
      <c r="C334" s="4" t="inlineStr">
        <is>
          <t>Husher</t>
        </is>
      </c>
      <c r="D334" s="4" t="inlineStr">
        <is>
          <t>2026-09-23T09:48:54.111Z</t>
        </is>
      </c>
      <c r="E334" s="4" t="inlineStr">
        <is>
          <t>2026-09-23T09:48:55.449Z</t>
        </is>
      </c>
      <c r="F334" s="4" t="inlineStr">
        <is>
          <t>2026-09-23T09:48:57.588Z</t>
        </is>
      </c>
      <c r="G334" s="20" t="n">
        <v>0.498</v>
      </c>
      <c r="H334" s="18" t="n">
        <v>99.34999999999999</v>
      </c>
      <c r="I334" s="21" t="inlineStr">
        <is>
          <t>open</t>
        </is>
      </c>
      <c r="J334" s="22" t="inlineStr">
        <is>
          <t>555b127bc9677c03b245808e24af237beb2b48902b4012e0fd35bdc670bdb854</t>
        </is>
      </c>
      <c r="K334" s="21" t="inlineStr">
        <is>
          <t>open</t>
        </is>
      </c>
      <c r="L334" s="22" t="inlineStr">
        <is>
          <t>83d92292dfcef24e5345c6120b668169c8c0c8f2d4ebd7ea7d879f00fcb4ee78</t>
        </is>
      </c>
    </row>
    <row r="335">
      <c r="A335" s="4" t="inlineStr">
        <is>
          <t>Base → SOL</t>
        </is>
      </c>
      <c r="B335" s="4" t="n">
        <v>3</v>
      </c>
      <c r="C335" s="4" t="inlineStr">
        <is>
          <t>Layerswap</t>
        </is>
      </c>
      <c r="D335" s="4" t="inlineStr">
        <is>
          <t>2026-09-23T09:48:54.107Z</t>
        </is>
      </c>
      <c r="E335" s="4" t="inlineStr">
        <is>
          <t>2026-09-23T09:48:56.211Z</t>
        </is>
      </c>
      <c r="F335" s="4" t="inlineStr">
        <is>
          <t>2026-09-23T09:48:58.404Z</t>
        </is>
      </c>
      <c r="G335" s="20" t="n">
        <v>1.26</v>
      </c>
      <c r="H335" s="18" t="n">
        <v>99.673486</v>
      </c>
      <c r="I335" s="21" t="inlineStr">
        <is>
          <t>open</t>
        </is>
      </c>
      <c r="J335" s="22" t="inlineStr">
        <is>
          <t>9f39f87569243312a0bc00b21bc57a91d1b238eef309ef5667cfc1d10820f287</t>
        </is>
      </c>
      <c r="K335" s="21" t="inlineStr">
        <is>
          <t>open</t>
        </is>
      </c>
      <c r="L335" s="22" t="inlineStr">
        <is>
          <t>8debf8e4ed661b87d4769765078305602338f3da0deb969f39f8dd008fe1d63c</t>
        </is>
      </c>
    </row>
    <row r="336">
      <c r="A336" s="4" t="inlineStr">
        <is>
          <t>Base → SOL</t>
        </is>
      </c>
      <c r="B336" s="4" t="n">
        <v>3</v>
      </c>
      <c r="C336" s="4" t="inlineStr">
        <is>
          <t>Meson</t>
        </is>
      </c>
      <c r="D336" s="4" t="inlineStr">
        <is>
          <t>2026-09-23T09:48:54.112Z</t>
        </is>
      </c>
      <c r="E336" s="4" t="inlineStr">
        <is>
          <t>2026-09-23T09:48:54.509Z</t>
        </is>
      </c>
      <c r="F336" s="4" t="inlineStr">
        <is>
          <t>2026-09-23T09:48:56.641Z</t>
        </is>
      </c>
      <c r="G336" s="20" t="n">
        <v>0.442</v>
      </c>
      <c r="H336" s="18" t="n">
        <v>99.59999999999999</v>
      </c>
      <c r="I336" s="21" t="inlineStr">
        <is>
          <t>open</t>
        </is>
      </c>
      <c r="J336" s="22" t="inlineStr">
        <is>
          <t>5cd2b7d2d5bcb980939fa42abb219a3558debaa2a6d6038533649a522a4d426e</t>
        </is>
      </c>
      <c r="K336" s="21" t="inlineStr">
        <is>
          <t>open</t>
        </is>
      </c>
      <c r="L336" s="22" t="inlineStr">
        <is>
          <t>1765e210f0d56cba4829443278983a6968e4e2e5df42feb504dd7cb017688872</t>
        </is>
      </c>
    </row>
    <row r="337">
      <c r="A337" s="4" t="inlineStr">
        <is>
          <t>Base → SOL</t>
        </is>
      </c>
      <c r="B337" s="4" t="n">
        <v>3</v>
      </c>
      <c r="C337" s="4" t="inlineStr">
        <is>
          <t>SimpleSwap</t>
        </is>
      </c>
      <c r="D337" s="4" t="inlineStr">
        <is>
          <t>2026-09-23T09:48:54.111Z</t>
        </is>
      </c>
      <c r="E337" s="4" t="inlineStr">
        <is>
          <t>2026-09-23T09:48:57.089Z</t>
        </is>
      </c>
      <c r="F337" s="4" t="inlineStr">
        <is>
          <t>2026-09-23T09:48:59.369Z</t>
        </is>
      </c>
      <c r="G337" s="20" t="n">
        <v>2.138</v>
      </c>
      <c r="H337" s="18" t="n">
        <v>98.49063200000001</v>
      </c>
      <c r="I337" s="21" t="inlineStr">
        <is>
          <t>open</t>
        </is>
      </c>
      <c r="J337" s="22" t="inlineStr">
        <is>
          <t>4395e20cfeb84dd0db5488fc3d893aa11051605eef4612ac3127331249d17f3d</t>
        </is>
      </c>
      <c r="K337" s="21" t="inlineStr">
        <is>
          <t>open</t>
        </is>
      </c>
      <c r="L337" s="22" t="inlineStr">
        <is>
          <t>1436e9bdf4fcb795ce3e2fc9acbd644976909c55d2150a0183432bbdd2ebf772</t>
        </is>
      </c>
    </row>
    <row r="338">
      <c r="A338" s="4" t="inlineStr">
        <is>
          <t>Base → SOL</t>
        </is>
      </c>
      <c r="B338" s="4" t="n">
        <v>3</v>
      </c>
      <c r="C338" s="4" t="inlineStr">
        <is>
          <t>Skip Go</t>
        </is>
      </c>
      <c r="D338" s="4" t="inlineStr">
        <is>
          <t>2026-09-23T09:48:54.108Z</t>
        </is>
      </c>
      <c r="E338" s="4" t="inlineStr">
        <is>
          <t>2026-09-23T09:48:56.033Z</t>
        </is>
      </c>
      <c r="F338" s="4" t="inlineStr">
        <is>
          <t>2026-09-23T09:48:58.405Z</t>
        </is>
      </c>
      <c r="G338" s="20" t="n">
        <v>1.082</v>
      </c>
      <c r="H338" s="18" t="n">
        <v>99.71585</v>
      </c>
      <c r="I338" s="21" t="inlineStr">
        <is>
          <t>open</t>
        </is>
      </c>
      <c r="J338" s="22" t="inlineStr">
        <is>
          <t>90671d5036ac4ada436a47c62890899546e31a81bb9a16983507a5ee379bbd28</t>
        </is>
      </c>
      <c r="K338" s="21" t="inlineStr">
        <is>
          <t>open</t>
        </is>
      </c>
      <c r="L338" s="22" t="inlineStr">
        <is>
          <t>5c71890e38c66875db102627fa0ea70adb0efa763c9ff87d03fb628240fe9d12</t>
        </is>
      </c>
    </row>
    <row r="339">
      <c r="A339" s="4" t="inlineStr">
        <is>
          <t>Base → SOL</t>
        </is>
      </c>
      <c r="B339" s="4" t="n">
        <v>3</v>
      </c>
      <c r="C339" s="4" t="inlineStr">
        <is>
          <t>Symbiosis</t>
        </is>
      </c>
      <c r="D339" s="4" t="inlineStr">
        <is>
          <t>2026-09-23T09:48:54.108Z</t>
        </is>
      </c>
      <c r="E339" s="4" t="inlineStr">
        <is>
          <t>2026-09-23T09:48:57.246Z</t>
        </is>
      </c>
      <c r="F339" s="4" t="inlineStr">
        <is>
          <t>2026-09-23T09:48:59.319Z</t>
        </is>
      </c>
      <c r="G339" s="20" t="n">
        <v>2.295</v>
      </c>
      <c r="H339" s="18" t="n">
        <v>98.39485500000001</v>
      </c>
      <c r="I339" s="21" t="inlineStr">
        <is>
          <t>open</t>
        </is>
      </c>
      <c r="J339" s="22" t="inlineStr">
        <is>
          <t>9bb14838bdbdbd9d8a8aacb38ba8b4ad8dfbbe409a8ea017d33043e6de628100</t>
        </is>
      </c>
      <c r="K339" s="21" t="inlineStr">
        <is>
          <t>open</t>
        </is>
      </c>
      <c r="L339" s="22" t="inlineStr">
        <is>
          <t>0740a49db382b5212cbc5d31ce06ec9401d1b341d7e6a451cfb19454082f0e0e</t>
        </is>
      </c>
    </row>
  </sheetData>
  <autoFilter ref="A1:L339"/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K22" r:id="rId42"/>
    <hyperlink xmlns:r="http://schemas.openxmlformats.org/officeDocument/2006/relationships" ref="I23" r:id="rId43"/>
    <hyperlink xmlns:r="http://schemas.openxmlformats.org/officeDocument/2006/relationships" ref="K23" r:id="rId44"/>
    <hyperlink xmlns:r="http://schemas.openxmlformats.org/officeDocument/2006/relationships" ref="I24" r:id="rId45"/>
    <hyperlink xmlns:r="http://schemas.openxmlformats.org/officeDocument/2006/relationships" ref="K24" r:id="rId46"/>
    <hyperlink xmlns:r="http://schemas.openxmlformats.org/officeDocument/2006/relationships" ref="I25" r:id="rId47"/>
    <hyperlink xmlns:r="http://schemas.openxmlformats.org/officeDocument/2006/relationships" ref="K25" r:id="rId48"/>
    <hyperlink xmlns:r="http://schemas.openxmlformats.org/officeDocument/2006/relationships" ref="I26" r:id="rId49"/>
    <hyperlink xmlns:r="http://schemas.openxmlformats.org/officeDocument/2006/relationships" ref="K26" r:id="rId50"/>
    <hyperlink xmlns:r="http://schemas.openxmlformats.org/officeDocument/2006/relationships" ref="I27" r:id="rId51"/>
    <hyperlink xmlns:r="http://schemas.openxmlformats.org/officeDocument/2006/relationships" ref="K27" r:id="rId52"/>
    <hyperlink xmlns:r="http://schemas.openxmlformats.org/officeDocument/2006/relationships" ref="I28" r:id="rId53"/>
    <hyperlink xmlns:r="http://schemas.openxmlformats.org/officeDocument/2006/relationships" ref="K28" r:id="rId54"/>
    <hyperlink xmlns:r="http://schemas.openxmlformats.org/officeDocument/2006/relationships" ref="I29" r:id="rId55"/>
    <hyperlink xmlns:r="http://schemas.openxmlformats.org/officeDocument/2006/relationships" ref="K29" r:id="rId56"/>
    <hyperlink xmlns:r="http://schemas.openxmlformats.org/officeDocument/2006/relationships" ref="I30" r:id="rId57"/>
    <hyperlink xmlns:r="http://schemas.openxmlformats.org/officeDocument/2006/relationships" ref="K30" r:id="rId58"/>
    <hyperlink xmlns:r="http://schemas.openxmlformats.org/officeDocument/2006/relationships" ref="I31" r:id="rId59"/>
    <hyperlink xmlns:r="http://schemas.openxmlformats.org/officeDocument/2006/relationships" ref="K31" r:id="rId60"/>
    <hyperlink xmlns:r="http://schemas.openxmlformats.org/officeDocument/2006/relationships" ref="I32" r:id="rId61"/>
    <hyperlink xmlns:r="http://schemas.openxmlformats.org/officeDocument/2006/relationships" ref="K32" r:id="rId62"/>
    <hyperlink xmlns:r="http://schemas.openxmlformats.org/officeDocument/2006/relationships" ref="I33" r:id="rId63"/>
    <hyperlink xmlns:r="http://schemas.openxmlformats.org/officeDocument/2006/relationships" ref="K33" r:id="rId64"/>
    <hyperlink xmlns:r="http://schemas.openxmlformats.org/officeDocument/2006/relationships" ref="I34" r:id="rId65"/>
    <hyperlink xmlns:r="http://schemas.openxmlformats.org/officeDocument/2006/relationships" ref="K34" r:id="rId66"/>
    <hyperlink xmlns:r="http://schemas.openxmlformats.org/officeDocument/2006/relationships" ref="I35" r:id="rId67"/>
    <hyperlink xmlns:r="http://schemas.openxmlformats.org/officeDocument/2006/relationships" ref="K35" r:id="rId68"/>
    <hyperlink xmlns:r="http://schemas.openxmlformats.org/officeDocument/2006/relationships" ref="I36" r:id="rId69"/>
    <hyperlink xmlns:r="http://schemas.openxmlformats.org/officeDocument/2006/relationships" ref="K36" r:id="rId70"/>
    <hyperlink xmlns:r="http://schemas.openxmlformats.org/officeDocument/2006/relationships" ref="I37" r:id="rId71"/>
    <hyperlink xmlns:r="http://schemas.openxmlformats.org/officeDocument/2006/relationships" ref="K37" r:id="rId72"/>
    <hyperlink xmlns:r="http://schemas.openxmlformats.org/officeDocument/2006/relationships" ref="I38" r:id="rId73"/>
    <hyperlink xmlns:r="http://schemas.openxmlformats.org/officeDocument/2006/relationships" ref="K38" r:id="rId74"/>
    <hyperlink xmlns:r="http://schemas.openxmlformats.org/officeDocument/2006/relationships" ref="I39" r:id="rId75"/>
    <hyperlink xmlns:r="http://schemas.openxmlformats.org/officeDocument/2006/relationships" ref="K39" r:id="rId76"/>
    <hyperlink xmlns:r="http://schemas.openxmlformats.org/officeDocument/2006/relationships" ref="I40" r:id="rId77"/>
    <hyperlink xmlns:r="http://schemas.openxmlformats.org/officeDocument/2006/relationships" ref="K40" r:id="rId78"/>
    <hyperlink xmlns:r="http://schemas.openxmlformats.org/officeDocument/2006/relationships" ref="I41" r:id="rId79"/>
    <hyperlink xmlns:r="http://schemas.openxmlformats.org/officeDocument/2006/relationships" ref="K41" r:id="rId80"/>
    <hyperlink xmlns:r="http://schemas.openxmlformats.org/officeDocument/2006/relationships" ref="I42" r:id="rId81"/>
    <hyperlink xmlns:r="http://schemas.openxmlformats.org/officeDocument/2006/relationships" ref="K42" r:id="rId82"/>
    <hyperlink xmlns:r="http://schemas.openxmlformats.org/officeDocument/2006/relationships" ref="I43" r:id="rId83"/>
    <hyperlink xmlns:r="http://schemas.openxmlformats.org/officeDocument/2006/relationships" ref="K43" r:id="rId84"/>
    <hyperlink xmlns:r="http://schemas.openxmlformats.org/officeDocument/2006/relationships" ref="I44" r:id="rId85"/>
    <hyperlink xmlns:r="http://schemas.openxmlformats.org/officeDocument/2006/relationships" ref="K44" r:id="rId86"/>
    <hyperlink xmlns:r="http://schemas.openxmlformats.org/officeDocument/2006/relationships" ref="I45" r:id="rId87"/>
    <hyperlink xmlns:r="http://schemas.openxmlformats.org/officeDocument/2006/relationships" ref="K45" r:id="rId88"/>
    <hyperlink xmlns:r="http://schemas.openxmlformats.org/officeDocument/2006/relationships" ref="I46" r:id="rId89"/>
    <hyperlink xmlns:r="http://schemas.openxmlformats.org/officeDocument/2006/relationships" ref="K46" r:id="rId90"/>
    <hyperlink xmlns:r="http://schemas.openxmlformats.org/officeDocument/2006/relationships" ref="I47" r:id="rId91"/>
    <hyperlink xmlns:r="http://schemas.openxmlformats.org/officeDocument/2006/relationships" ref="K47" r:id="rId92"/>
    <hyperlink xmlns:r="http://schemas.openxmlformats.org/officeDocument/2006/relationships" ref="I48" r:id="rId93"/>
    <hyperlink xmlns:r="http://schemas.openxmlformats.org/officeDocument/2006/relationships" ref="K48" r:id="rId94"/>
    <hyperlink xmlns:r="http://schemas.openxmlformats.org/officeDocument/2006/relationships" ref="I49" r:id="rId95"/>
    <hyperlink xmlns:r="http://schemas.openxmlformats.org/officeDocument/2006/relationships" ref="K49" r:id="rId96"/>
    <hyperlink xmlns:r="http://schemas.openxmlformats.org/officeDocument/2006/relationships" ref="I50" r:id="rId97"/>
    <hyperlink xmlns:r="http://schemas.openxmlformats.org/officeDocument/2006/relationships" ref="K50" r:id="rId98"/>
    <hyperlink xmlns:r="http://schemas.openxmlformats.org/officeDocument/2006/relationships" ref="I51" r:id="rId99"/>
    <hyperlink xmlns:r="http://schemas.openxmlformats.org/officeDocument/2006/relationships" ref="K51" r:id="rId100"/>
    <hyperlink xmlns:r="http://schemas.openxmlformats.org/officeDocument/2006/relationships" ref="I52" r:id="rId101"/>
    <hyperlink xmlns:r="http://schemas.openxmlformats.org/officeDocument/2006/relationships" ref="K52" r:id="rId102"/>
    <hyperlink xmlns:r="http://schemas.openxmlformats.org/officeDocument/2006/relationships" ref="I53" r:id="rId103"/>
    <hyperlink xmlns:r="http://schemas.openxmlformats.org/officeDocument/2006/relationships" ref="K53" r:id="rId104"/>
    <hyperlink xmlns:r="http://schemas.openxmlformats.org/officeDocument/2006/relationships" ref="I54" r:id="rId105"/>
    <hyperlink xmlns:r="http://schemas.openxmlformats.org/officeDocument/2006/relationships" ref="K54" r:id="rId106"/>
    <hyperlink xmlns:r="http://schemas.openxmlformats.org/officeDocument/2006/relationships" ref="I55" r:id="rId107"/>
    <hyperlink xmlns:r="http://schemas.openxmlformats.org/officeDocument/2006/relationships" ref="K55" r:id="rId108"/>
    <hyperlink xmlns:r="http://schemas.openxmlformats.org/officeDocument/2006/relationships" ref="I56" r:id="rId109"/>
    <hyperlink xmlns:r="http://schemas.openxmlformats.org/officeDocument/2006/relationships" ref="K56" r:id="rId110"/>
    <hyperlink xmlns:r="http://schemas.openxmlformats.org/officeDocument/2006/relationships" ref="I57" r:id="rId111"/>
    <hyperlink xmlns:r="http://schemas.openxmlformats.org/officeDocument/2006/relationships" ref="K57" r:id="rId112"/>
    <hyperlink xmlns:r="http://schemas.openxmlformats.org/officeDocument/2006/relationships" ref="I58" r:id="rId113"/>
    <hyperlink xmlns:r="http://schemas.openxmlformats.org/officeDocument/2006/relationships" ref="K58" r:id="rId114"/>
    <hyperlink xmlns:r="http://schemas.openxmlformats.org/officeDocument/2006/relationships" ref="I59" r:id="rId115"/>
    <hyperlink xmlns:r="http://schemas.openxmlformats.org/officeDocument/2006/relationships" ref="K59" r:id="rId116"/>
    <hyperlink xmlns:r="http://schemas.openxmlformats.org/officeDocument/2006/relationships" ref="I60" r:id="rId117"/>
    <hyperlink xmlns:r="http://schemas.openxmlformats.org/officeDocument/2006/relationships" ref="K60" r:id="rId118"/>
    <hyperlink xmlns:r="http://schemas.openxmlformats.org/officeDocument/2006/relationships" ref="I61" r:id="rId119"/>
    <hyperlink xmlns:r="http://schemas.openxmlformats.org/officeDocument/2006/relationships" ref="K61" r:id="rId120"/>
    <hyperlink xmlns:r="http://schemas.openxmlformats.org/officeDocument/2006/relationships" ref="I62" r:id="rId121"/>
    <hyperlink xmlns:r="http://schemas.openxmlformats.org/officeDocument/2006/relationships" ref="K62" r:id="rId122"/>
    <hyperlink xmlns:r="http://schemas.openxmlformats.org/officeDocument/2006/relationships" ref="I63" r:id="rId123"/>
    <hyperlink xmlns:r="http://schemas.openxmlformats.org/officeDocument/2006/relationships" ref="K63" r:id="rId124"/>
    <hyperlink xmlns:r="http://schemas.openxmlformats.org/officeDocument/2006/relationships" ref="I64" r:id="rId125"/>
    <hyperlink xmlns:r="http://schemas.openxmlformats.org/officeDocument/2006/relationships" ref="K64" r:id="rId126"/>
    <hyperlink xmlns:r="http://schemas.openxmlformats.org/officeDocument/2006/relationships" ref="I65" r:id="rId127"/>
    <hyperlink xmlns:r="http://schemas.openxmlformats.org/officeDocument/2006/relationships" ref="K65" r:id="rId128"/>
    <hyperlink xmlns:r="http://schemas.openxmlformats.org/officeDocument/2006/relationships" ref="I66" r:id="rId129"/>
    <hyperlink xmlns:r="http://schemas.openxmlformats.org/officeDocument/2006/relationships" ref="K66" r:id="rId130"/>
    <hyperlink xmlns:r="http://schemas.openxmlformats.org/officeDocument/2006/relationships" ref="I67" r:id="rId131"/>
    <hyperlink xmlns:r="http://schemas.openxmlformats.org/officeDocument/2006/relationships" ref="K67" r:id="rId132"/>
    <hyperlink xmlns:r="http://schemas.openxmlformats.org/officeDocument/2006/relationships" ref="I68" r:id="rId133"/>
    <hyperlink xmlns:r="http://schemas.openxmlformats.org/officeDocument/2006/relationships" ref="K68" r:id="rId134"/>
    <hyperlink xmlns:r="http://schemas.openxmlformats.org/officeDocument/2006/relationships" ref="I69" r:id="rId135"/>
    <hyperlink xmlns:r="http://schemas.openxmlformats.org/officeDocument/2006/relationships" ref="K69" r:id="rId136"/>
    <hyperlink xmlns:r="http://schemas.openxmlformats.org/officeDocument/2006/relationships" ref="I70" r:id="rId137"/>
    <hyperlink xmlns:r="http://schemas.openxmlformats.org/officeDocument/2006/relationships" ref="K70" r:id="rId138"/>
    <hyperlink xmlns:r="http://schemas.openxmlformats.org/officeDocument/2006/relationships" ref="I71" r:id="rId139"/>
    <hyperlink xmlns:r="http://schemas.openxmlformats.org/officeDocument/2006/relationships" ref="K71" r:id="rId140"/>
    <hyperlink xmlns:r="http://schemas.openxmlformats.org/officeDocument/2006/relationships" ref="I72" r:id="rId141"/>
    <hyperlink xmlns:r="http://schemas.openxmlformats.org/officeDocument/2006/relationships" ref="K72" r:id="rId142"/>
    <hyperlink xmlns:r="http://schemas.openxmlformats.org/officeDocument/2006/relationships" ref="I73" r:id="rId143"/>
    <hyperlink xmlns:r="http://schemas.openxmlformats.org/officeDocument/2006/relationships" ref="K73" r:id="rId144"/>
    <hyperlink xmlns:r="http://schemas.openxmlformats.org/officeDocument/2006/relationships" ref="I74" r:id="rId145"/>
    <hyperlink xmlns:r="http://schemas.openxmlformats.org/officeDocument/2006/relationships" ref="K74" r:id="rId146"/>
    <hyperlink xmlns:r="http://schemas.openxmlformats.org/officeDocument/2006/relationships" ref="I75" r:id="rId147"/>
    <hyperlink xmlns:r="http://schemas.openxmlformats.org/officeDocument/2006/relationships" ref="K75" r:id="rId148"/>
    <hyperlink xmlns:r="http://schemas.openxmlformats.org/officeDocument/2006/relationships" ref="I76" r:id="rId149"/>
    <hyperlink xmlns:r="http://schemas.openxmlformats.org/officeDocument/2006/relationships" ref="K76" r:id="rId150"/>
    <hyperlink xmlns:r="http://schemas.openxmlformats.org/officeDocument/2006/relationships" ref="I77" r:id="rId151"/>
    <hyperlink xmlns:r="http://schemas.openxmlformats.org/officeDocument/2006/relationships" ref="K77" r:id="rId152"/>
    <hyperlink xmlns:r="http://schemas.openxmlformats.org/officeDocument/2006/relationships" ref="I78" r:id="rId153"/>
    <hyperlink xmlns:r="http://schemas.openxmlformats.org/officeDocument/2006/relationships" ref="K78" r:id="rId154"/>
    <hyperlink xmlns:r="http://schemas.openxmlformats.org/officeDocument/2006/relationships" ref="I79" r:id="rId155"/>
    <hyperlink xmlns:r="http://schemas.openxmlformats.org/officeDocument/2006/relationships" ref="K79" r:id="rId156"/>
    <hyperlink xmlns:r="http://schemas.openxmlformats.org/officeDocument/2006/relationships" ref="I80" r:id="rId157"/>
    <hyperlink xmlns:r="http://schemas.openxmlformats.org/officeDocument/2006/relationships" ref="K80" r:id="rId158"/>
    <hyperlink xmlns:r="http://schemas.openxmlformats.org/officeDocument/2006/relationships" ref="I81" r:id="rId159"/>
    <hyperlink xmlns:r="http://schemas.openxmlformats.org/officeDocument/2006/relationships" ref="K81" r:id="rId160"/>
    <hyperlink xmlns:r="http://schemas.openxmlformats.org/officeDocument/2006/relationships" ref="I82" r:id="rId161"/>
    <hyperlink xmlns:r="http://schemas.openxmlformats.org/officeDocument/2006/relationships" ref="K82" r:id="rId162"/>
    <hyperlink xmlns:r="http://schemas.openxmlformats.org/officeDocument/2006/relationships" ref="I83" r:id="rId163"/>
    <hyperlink xmlns:r="http://schemas.openxmlformats.org/officeDocument/2006/relationships" ref="K83" r:id="rId164"/>
    <hyperlink xmlns:r="http://schemas.openxmlformats.org/officeDocument/2006/relationships" ref="I84" r:id="rId165"/>
    <hyperlink xmlns:r="http://schemas.openxmlformats.org/officeDocument/2006/relationships" ref="K84" r:id="rId166"/>
    <hyperlink xmlns:r="http://schemas.openxmlformats.org/officeDocument/2006/relationships" ref="I85" r:id="rId167"/>
    <hyperlink xmlns:r="http://schemas.openxmlformats.org/officeDocument/2006/relationships" ref="K85" r:id="rId168"/>
    <hyperlink xmlns:r="http://schemas.openxmlformats.org/officeDocument/2006/relationships" ref="I86" r:id="rId169"/>
    <hyperlink xmlns:r="http://schemas.openxmlformats.org/officeDocument/2006/relationships" ref="K86" r:id="rId170"/>
    <hyperlink xmlns:r="http://schemas.openxmlformats.org/officeDocument/2006/relationships" ref="I87" r:id="rId171"/>
    <hyperlink xmlns:r="http://schemas.openxmlformats.org/officeDocument/2006/relationships" ref="K87" r:id="rId172"/>
    <hyperlink xmlns:r="http://schemas.openxmlformats.org/officeDocument/2006/relationships" ref="I88" r:id="rId173"/>
    <hyperlink xmlns:r="http://schemas.openxmlformats.org/officeDocument/2006/relationships" ref="K88" r:id="rId174"/>
    <hyperlink xmlns:r="http://schemas.openxmlformats.org/officeDocument/2006/relationships" ref="I89" r:id="rId175"/>
    <hyperlink xmlns:r="http://schemas.openxmlformats.org/officeDocument/2006/relationships" ref="K89" r:id="rId176"/>
    <hyperlink xmlns:r="http://schemas.openxmlformats.org/officeDocument/2006/relationships" ref="I90" r:id="rId177"/>
    <hyperlink xmlns:r="http://schemas.openxmlformats.org/officeDocument/2006/relationships" ref="K90" r:id="rId178"/>
    <hyperlink xmlns:r="http://schemas.openxmlformats.org/officeDocument/2006/relationships" ref="I91" r:id="rId179"/>
    <hyperlink xmlns:r="http://schemas.openxmlformats.org/officeDocument/2006/relationships" ref="K91" r:id="rId180"/>
    <hyperlink xmlns:r="http://schemas.openxmlformats.org/officeDocument/2006/relationships" ref="I92" r:id="rId181"/>
    <hyperlink xmlns:r="http://schemas.openxmlformats.org/officeDocument/2006/relationships" ref="K92" r:id="rId182"/>
    <hyperlink xmlns:r="http://schemas.openxmlformats.org/officeDocument/2006/relationships" ref="I93" r:id="rId183"/>
    <hyperlink xmlns:r="http://schemas.openxmlformats.org/officeDocument/2006/relationships" ref="K93" r:id="rId184"/>
    <hyperlink xmlns:r="http://schemas.openxmlformats.org/officeDocument/2006/relationships" ref="I94" r:id="rId185"/>
    <hyperlink xmlns:r="http://schemas.openxmlformats.org/officeDocument/2006/relationships" ref="K94" r:id="rId186"/>
    <hyperlink xmlns:r="http://schemas.openxmlformats.org/officeDocument/2006/relationships" ref="I95" r:id="rId187"/>
    <hyperlink xmlns:r="http://schemas.openxmlformats.org/officeDocument/2006/relationships" ref="K95" r:id="rId188"/>
    <hyperlink xmlns:r="http://schemas.openxmlformats.org/officeDocument/2006/relationships" ref="I96" r:id="rId189"/>
    <hyperlink xmlns:r="http://schemas.openxmlformats.org/officeDocument/2006/relationships" ref="K96" r:id="rId190"/>
    <hyperlink xmlns:r="http://schemas.openxmlformats.org/officeDocument/2006/relationships" ref="I97" r:id="rId191"/>
    <hyperlink xmlns:r="http://schemas.openxmlformats.org/officeDocument/2006/relationships" ref="K97" r:id="rId192"/>
    <hyperlink xmlns:r="http://schemas.openxmlformats.org/officeDocument/2006/relationships" ref="I98" r:id="rId193"/>
    <hyperlink xmlns:r="http://schemas.openxmlformats.org/officeDocument/2006/relationships" ref="K98" r:id="rId194"/>
    <hyperlink xmlns:r="http://schemas.openxmlformats.org/officeDocument/2006/relationships" ref="I99" r:id="rId195"/>
    <hyperlink xmlns:r="http://schemas.openxmlformats.org/officeDocument/2006/relationships" ref="K99" r:id="rId196"/>
    <hyperlink xmlns:r="http://schemas.openxmlformats.org/officeDocument/2006/relationships" ref="I100" r:id="rId197"/>
    <hyperlink xmlns:r="http://schemas.openxmlformats.org/officeDocument/2006/relationships" ref="K100" r:id="rId198"/>
    <hyperlink xmlns:r="http://schemas.openxmlformats.org/officeDocument/2006/relationships" ref="I101" r:id="rId199"/>
    <hyperlink xmlns:r="http://schemas.openxmlformats.org/officeDocument/2006/relationships" ref="K101" r:id="rId200"/>
    <hyperlink xmlns:r="http://schemas.openxmlformats.org/officeDocument/2006/relationships" ref="I102" r:id="rId201"/>
    <hyperlink xmlns:r="http://schemas.openxmlformats.org/officeDocument/2006/relationships" ref="K102" r:id="rId202"/>
    <hyperlink xmlns:r="http://schemas.openxmlformats.org/officeDocument/2006/relationships" ref="I103" r:id="rId203"/>
    <hyperlink xmlns:r="http://schemas.openxmlformats.org/officeDocument/2006/relationships" ref="K103" r:id="rId204"/>
    <hyperlink xmlns:r="http://schemas.openxmlformats.org/officeDocument/2006/relationships" ref="I104" r:id="rId205"/>
    <hyperlink xmlns:r="http://schemas.openxmlformats.org/officeDocument/2006/relationships" ref="K104" r:id="rId206"/>
    <hyperlink xmlns:r="http://schemas.openxmlformats.org/officeDocument/2006/relationships" ref="I105" r:id="rId207"/>
    <hyperlink xmlns:r="http://schemas.openxmlformats.org/officeDocument/2006/relationships" ref="K105" r:id="rId208"/>
    <hyperlink xmlns:r="http://schemas.openxmlformats.org/officeDocument/2006/relationships" ref="I106" r:id="rId209"/>
    <hyperlink xmlns:r="http://schemas.openxmlformats.org/officeDocument/2006/relationships" ref="K106" r:id="rId210"/>
    <hyperlink xmlns:r="http://schemas.openxmlformats.org/officeDocument/2006/relationships" ref="I107" r:id="rId211"/>
    <hyperlink xmlns:r="http://schemas.openxmlformats.org/officeDocument/2006/relationships" ref="K107" r:id="rId212"/>
    <hyperlink xmlns:r="http://schemas.openxmlformats.org/officeDocument/2006/relationships" ref="I108" r:id="rId213"/>
    <hyperlink xmlns:r="http://schemas.openxmlformats.org/officeDocument/2006/relationships" ref="K108" r:id="rId214"/>
    <hyperlink xmlns:r="http://schemas.openxmlformats.org/officeDocument/2006/relationships" ref="I109" r:id="rId215"/>
    <hyperlink xmlns:r="http://schemas.openxmlformats.org/officeDocument/2006/relationships" ref="K109" r:id="rId216"/>
    <hyperlink xmlns:r="http://schemas.openxmlformats.org/officeDocument/2006/relationships" ref="I110" r:id="rId217"/>
    <hyperlink xmlns:r="http://schemas.openxmlformats.org/officeDocument/2006/relationships" ref="K110" r:id="rId218"/>
    <hyperlink xmlns:r="http://schemas.openxmlformats.org/officeDocument/2006/relationships" ref="I111" r:id="rId219"/>
    <hyperlink xmlns:r="http://schemas.openxmlformats.org/officeDocument/2006/relationships" ref="K111" r:id="rId220"/>
    <hyperlink xmlns:r="http://schemas.openxmlformats.org/officeDocument/2006/relationships" ref="I112" r:id="rId221"/>
    <hyperlink xmlns:r="http://schemas.openxmlformats.org/officeDocument/2006/relationships" ref="K112" r:id="rId222"/>
    <hyperlink xmlns:r="http://schemas.openxmlformats.org/officeDocument/2006/relationships" ref="I113" r:id="rId223"/>
    <hyperlink xmlns:r="http://schemas.openxmlformats.org/officeDocument/2006/relationships" ref="K113" r:id="rId224"/>
    <hyperlink xmlns:r="http://schemas.openxmlformats.org/officeDocument/2006/relationships" ref="I114" r:id="rId225"/>
    <hyperlink xmlns:r="http://schemas.openxmlformats.org/officeDocument/2006/relationships" ref="K114" r:id="rId226"/>
    <hyperlink xmlns:r="http://schemas.openxmlformats.org/officeDocument/2006/relationships" ref="I115" r:id="rId227"/>
    <hyperlink xmlns:r="http://schemas.openxmlformats.org/officeDocument/2006/relationships" ref="K115" r:id="rId228"/>
    <hyperlink xmlns:r="http://schemas.openxmlformats.org/officeDocument/2006/relationships" ref="I116" r:id="rId229"/>
    <hyperlink xmlns:r="http://schemas.openxmlformats.org/officeDocument/2006/relationships" ref="K116" r:id="rId230"/>
    <hyperlink xmlns:r="http://schemas.openxmlformats.org/officeDocument/2006/relationships" ref="I117" r:id="rId231"/>
    <hyperlink xmlns:r="http://schemas.openxmlformats.org/officeDocument/2006/relationships" ref="K117" r:id="rId232"/>
    <hyperlink xmlns:r="http://schemas.openxmlformats.org/officeDocument/2006/relationships" ref="I118" r:id="rId233"/>
    <hyperlink xmlns:r="http://schemas.openxmlformats.org/officeDocument/2006/relationships" ref="K118" r:id="rId234"/>
    <hyperlink xmlns:r="http://schemas.openxmlformats.org/officeDocument/2006/relationships" ref="I119" r:id="rId235"/>
    <hyperlink xmlns:r="http://schemas.openxmlformats.org/officeDocument/2006/relationships" ref="K119" r:id="rId236"/>
    <hyperlink xmlns:r="http://schemas.openxmlformats.org/officeDocument/2006/relationships" ref="I120" r:id="rId237"/>
    <hyperlink xmlns:r="http://schemas.openxmlformats.org/officeDocument/2006/relationships" ref="K120" r:id="rId238"/>
    <hyperlink xmlns:r="http://schemas.openxmlformats.org/officeDocument/2006/relationships" ref="I121" r:id="rId239"/>
    <hyperlink xmlns:r="http://schemas.openxmlformats.org/officeDocument/2006/relationships" ref="K121" r:id="rId240"/>
    <hyperlink xmlns:r="http://schemas.openxmlformats.org/officeDocument/2006/relationships" ref="I122" r:id="rId241"/>
    <hyperlink xmlns:r="http://schemas.openxmlformats.org/officeDocument/2006/relationships" ref="K122" r:id="rId242"/>
    <hyperlink xmlns:r="http://schemas.openxmlformats.org/officeDocument/2006/relationships" ref="I123" r:id="rId243"/>
    <hyperlink xmlns:r="http://schemas.openxmlformats.org/officeDocument/2006/relationships" ref="K123" r:id="rId244"/>
    <hyperlink xmlns:r="http://schemas.openxmlformats.org/officeDocument/2006/relationships" ref="I124" r:id="rId245"/>
    <hyperlink xmlns:r="http://schemas.openxmlformats.org/officeDocument/2006/relationships" ref="K124" r:id="rId246"/>
    <hyperlink xmlns:r="http://schemas.openxmlformats.org/officeDocument/2006/relationships" ref="I125" r:id="rId247"/>
    <hyperlink xmlns:r="http://schemas.openxmlformats.org/officeDocument/2006/relationships" ref="K125" r:id="rId248"/>
    <hyperlink xmlns:r="http://schemas.openxmlformats.org/officeDocument/2006/relationships" ref="I126" r:id="rId249"/>
    <hyperlink xmlns:r="http://schemas.openxmlformats.org/officeDocument/2006/relationships" ref="K126" r:id="rId250"/>
    <hyperlink xmlns:r="http://schemas.openxmlformats.org/officeDocument/2006/relationships" ref="I127" r:id="rId251"/>
    <hyperlink xmlns:r="http://schemas.openxmlformats.org/officeDocument/2006/relationships" ref="K127" r:id="rId252"/>
    <hyperlink xmlns:r="http://schemas.openxmlformats.org/officeDocument/2006/relationships" ref="I128" r:id="rId253"/>
    <hyperlink xmlns:r="http://schemas.openxmlformats.org/officeDocument/2006/relationships" ref="K128" r:id="rId254"/>
    <hyperlink xmlns:r="http://schemas.openxmlformats.org/officeDocument/2006/relationships" ref="I129" r:id="rId255"/>
    <hyperlink xmlns:r="http://schemas.openxmlformats.org/officeDocument/2006/relationships" ref="K129" r:id="rId256"/>
    <hyperlink xmlns:r="http://schemas.openxmlformats.org/officeDocument/2006/relationships" ref="I130" r:id="rId257"/>
    <hyperlink xmlns:r="http://schemas.openxmlformats.org/officeDocument/2006/relationships" ref="K130" r:id="rId258"/>
    <hyperlink xmlns:r="http://schemas.openxmlformats.org/officeDocument/2006/relationships" ref="I131" r:id="rId259"/>
    <hyperlink xmlns:r="http://schemas.openxmlformats.org/officeDocument/2006/relationships" ref="K131" r:id="rId260"/>
    <hyperlink xmlns:r="http://schemas.openxmlformats.org/officeDocument/2006/relationships" ref="I132" r:id="rId261"/>
    <hyperlink xmlns:r="http://schemas.openxmlformats.org/officeDocument/2006/relationships" ref="K132" r:id="rId262"/>
    <hyperlink xmlns:r="http://schemas.openxmlformats.org/officeDocument/2006/relationships" ref="I133" r:id="rId263"/>
    <hyperlink xmlns:r="http://schemas.openxmlformats.org/officeDocument/2006/relationships" ref="K133" r:id="rId264"/>
    <hyperlink xmlns:r="http://schemas.openxmlformats.org/officeDocument/2006/relationships" ref="I134" r:id="rId265"/>
    <hyperlink xmlns:r="http://schemas.openxmlformats.org/officeDocument/2006/relationships" ref="K134" r:id="rId266"/>
    <hyperlink xmlns:r="http://schemas.openxmlformats.org/officeDocument/2006/relationships" ref="I135" r:id="rId267"/>
    <hyperlink xmlns:r="http://schemas.openxmlformats.org/officeDocument/2006/relationships" ref="K135" r:id="rId268"/>
    <hyperlink xmlns:r="http://schemas.openxmlformats.org/officeDocument/2006/relationships" ref="I136" r:id="rId269"/>
    <hyperlink xmlns:r="http://schemas.openxmlformats.org/officeDocument/2006/relationships" ref="K136" r:id="rId270"/>
    <hyperlink xmlns:r="http://schemas.openxmlformats.org/officeDocument/2006/relationships" ref="I137" r:id="rId271"/>
    <hyperlink xmlns:r="http://schemas.openxmlformats.org/officeDocument/2006/relationships" ref="K137" r:id="rId272"/>
    <hyperlink xmlns:r="http://schemas.openxmlformats.org/officeDocument/2006/relationships" ref="I138" r:id="rId273"/>
    <hyperlink xmlns:r="http://schemas.openxmlformats.org/officeDocument/2006/relationships" ref="K138" r:id="rId274"/>
    <hyperlink xmlns:r="http://schemas.openxmlformats.org/officeDocument/2006/relationships" ref="I139" r:id="rId275"/>
    <hyperlink xmlns:r="http://schemas.openxmlformats.org/officeDocument/2006/relationships" ref="K139" r:id="rId276"/>
    <hyperlink xmlns:r="http://schemas.openxmlformats.org/officeDocument/2006/relationships" ref="I140" r:id="rId277"/>
    <hyperlink xmlns:r="http://schemas.openxmlformats.org/officeDocument/2006/relationships" ref="K140" r:id="rId278"/>
    <hyperlink xmlns:r="http://schemas.openxmlformats.org/officeDocument/2006/relationships" ref="I141" r:id="rId279"/>
    <hyperlink xmlns:r="http://schemas.openxmlformats.org/officeDocument/2006/relationships" ref="K141" r:id="rId280"/>
    <hyperlink xmlns:r="http://schemas.openxmlformats.org/officeDocument/2006/relationships" ref="I142" r:id="rId281"/>
    <hyperlink xmlns:r="http://schemas.openxmlformats.org/officeDocument/2006/relationships" ref="K142" r:id="rId282"/>
    <hyperlink xmlns:r="http://schemas.openxmlformats.org/officeDocument/2006/relationships" ref="I143" r:id="rId283"/>
    <hyperlink xmlns:r="http://schemas.openxmlformats.org/officeDocument/2006/relationships" ref="K143" r:id="rId284"/>
    <hyperlink xmlns:r="http://schemas.openxmlformats.org/officeDocument/2006/relationships" ref="I144" r:id="rId285"/>
    <hyperlink xmlns:r="http://schemas.openxmlformats.org/officeDocument/2006/relationships" ref="K144" r:id="rId286"/>
    <hyperlink xmlns:r="http://schemas.openxmlformats.org/officeDocument/2006/relationships" ref="I145" r:id="rId287"/>
    <hyperlink xmlns:r="http://schemas.openxmlformats.org/officeDocument/2006/relationships" ref="K145" r:id="rId288"/>
    <hyperlink xmlns:r="http://schemas.openxmlformats.org/officeDocument/2006/relationships" ref="I146" r:id="rId289"/>
    <hyperlink xmlns:r="http://schemas.openxmlformats.org/officeDocument/2006/relationships" ref="K146" r:id="rId290"/>
    <hyperlink xmlns:r="http://schemas.openxmlformats.org/officeDocument/2006/relationships" ref="I147" r:id="rId291"/>
    <hyperlink xmlns:r="http://schemas.openxmlformats.org/officeDocument/2006/relationships" ref="K147" r:id="rId292"/>
    <hyperlink xmlns:r="http://schemas.openxmlformats.org/officeDocument/2006/relationships" ref="I148" r:id="rId293"/>
    <hyperlink xmlns:r="http://schemas.openxmlformats.org/officeDocument/2006/relationships" ref="K148" r:id="rId294"/>
    <hyperlink xmlns:r="http://schemas.openxmlformats.org/officeDocument/2006/relationships" ref="I149" r:id="rId295"/>
    <hyperlink xmlns:r="http://schemas.openxmlformats.org/officeDocument/2006/relationships" ref="K149" r:id="rId296"/>
    <hyperlink xmlns:r="http://schemas.openxmlformats.org/officeDocument/2006/relationships" ref="I150" r:id="rId297"/>
    <hyperlink xmlns:r="http://schemas.openxmlformats.org/officeDocument/2006/relationships" ref="K150" r:id="rId298"/>
    <hyperlink xmlns:r="http://schemas.openxmlformats.org/officeDocument/2006/relationships" ref="I151" r:id="rId299"/>
    <hyperlink xmlns:r="http://schemas.openxmlformats.org/officeDocument/2006/relationships" ref="K151" r:id="rId300"/>
    <hyperlink xmlns:r="http://schemas.openxmlformats.org/officeDocument/2006/relationships" ref="I152" r:id="rId301"/>
    <hyperlink xmlns:r="http://schemas.openxmlformats.org/officeDocument/2006/relationships" ref="K152" r:id="rId302"/>
    <hyperlink xmlns:r="http://schemas.openxmlformats.org/officeDocument/2006/relationships" ref="I153" r:id="rId303"/>
    <hyperlink xmlns:r="http://schemas.openxmlformats.org/officeDocument/2006/relationships" ref="K153" r:id="rId304"/>
    <hyperlink xmlns:r="http://schemas.openxmlformats.org/officeDocument/2006/relationships" ref="I154" r:id="rId305"/>
    <hyperlink xmlns:r="http://schemas.openxmlformats.org/officeDocument/2006/relationships" ref="K154" r:id="rId306"/>
    <hyperlink xmlns:r="http://schemas.openxmlformats.org/officeDocument/2006/relationships" ref="I155" r:id="rId307"/>
    <hyperlink xmlns:r="http://schemas.openxmlformats.org/officeDocument/2006/relationships" ref="K155" r:id="rId308"/>
    <hyperlink xmlns:r="http://schemas.openxmlformats.org/officeDocument/2006/relationships" ref="I156" r:id="rId309"/>
    <hyperlink xmlns:r="http://schemas.openxmlformats.org/officeDocument/2006/relationships" ref="K156" r:id="rId310"/>
    <hyperlink xmlns:r="http://schemas.openxmlformats.org/officeDocument/2006/relationships" ref="I157" r:id="rId311"/>
    <hyperlink xmlns:r="http://schemas.openxmlformats.org/officeDocument/2006/relationships" ref="K157" r:id="rId312"/>
    <hyperlink xmlns:r="http://schemas.openxmlformats.org/officeDocument/2006/relationships" ref="I158" r:id="rId313"/>
    <hyperlink xmlns:r="http://schemas.openxmlformats.org/officeDocument/2006/relationships" ref="K158" r:id="rId314"/>
    <hyperlink xmlns:r="http://schemas.openxmlformats.org/officeDocument/2006/relationships" ref="I159" r:id="rId315"/>
    <hyperlink xmlns:r="http://schemas.openxmlformats.org/officeDocument/2006/relationships" ref="K159" r:id="rId316"/>
    <hyperlink xmlns:r="http://schemas.openxmlformats.org/officeDocument/2006/relationships" ref="I160" r:id="rId317"/>
    <hyperlink xmlns:r="http://schemas.openxmlformats.org/officeDocument/2006/relationships" ref="K160" r:id="rId318"/>
    <hyperlink xmlns:r="http://schemas.openxmlformats.org/officeDocument/2006/relationships" ref="I161" r:id="rId319"/>
    <hyperlink xmlns:r="http://schemas.openxmlformats.org/officeDocument/2006/relationships" ref="K161" r:id="rId320"/>
    <hyperlink xmlns:r="http://schemas.openxmlformats.org/officeDocument/2006/relationships" ref="I162" r:id="rId321"/>
    <hyperlink xmlns:r="http://schemas.openxmlformats.org/officeDocument/2006/relationships" ref="K162" r:id="rId322"/>
    <hyperlink xmlns:r="http://schemas.openxmlformats.org/officeDocument/2006/relationships" ref="I163" r:id="rId323"/>
    <hyperlink xmlns:r="http://schemas.openxmlformats.org/officeDocument/2006/relationships" ref="K163" r:id="rId324"/>
    <hyperlink xmlns:r="http://schemas.openxmlformats.org/officeDocument/2006/relationships" ref="I164" r:id="rId325"/>
    <hyperlink xmlns:r="http://schemas.openxmlformats.org/officeDocument/2006/relationships" ref="K164" r:id="rId326"/>
    <hyperlink xmlns:r="http://schemas.openxmlformats.org/officeDocument/2006/relationships" ref="I165" r:id="rId327"/>
    <hyperlink xmlns:r="http://schemas.openxmlformats.org/officeDocument/2006/relationships" ref="K165" r:id="rId328"/>
    <hyperlink xmlns:r="http://schemas.openxmlformats.org/officeDocument/2006/relationships" ref="I166" r:id="rId329"/>
    <hyperlink xmlns:r="http://schemas.openxmlformats.org/officeDocument/2006/relationships" ref="K166" r:id="rId330"/>
    <hyperlink xmlns:r="http://schemas.openxmlformats.org/officeDocument/2006/relationships" ref="I167" r:id="rId331"/>
    <hyperlink xmlns:r="http://schemas.openxmlformats.org/officeDocument/2006/relationships" ref="K167" r:id="rId332"/>
    <hyperlink xmlns:r="http://schemas.openxmlformats.org/officeDocument/2006/relationships" ref="I168" r:id="rId333"/>
    <hyperlink xmlns:r="http://schemas.openxmlformats.org/officeDocument/2006/relationships" ref="K168" r:id="rId334"/>
    <hyperlink xmlns:r="http://schemas.openxmlformats.org/officeDocument/2006/relationships" ref="I169" r:id="rId335"/>
    <hyperlink xmlns:r="http://schemas.openxmlformats.org/officeDocument/2006/relationships" ref="K169" r:id="rId336"/>
    <hyperlink xmlns:r="http://schemas.openxmlformats.org/officeDocument/2006/relationships" ref="I170" r:id="rId337"/>
    <hyperlink xmlns:r="http://schemas.openxmlformats.org/officeDocument/2006/relationships" ref="K170" r:id="rId338"/>
    <hyperlink xmlns:r="http://schemas.openxmlformats.org/officeDocument/2006/relationships" ref="I171" r:id="rId339"/>
    <hyperlink xmlns:r="http://schemas.openxmlformats.org/officeDocument/2006/relationships" ref="K171" r:id="rId340"/>
    <hyperlink xmlns:r="http://schemas.openxmlformats.org/officeDocument/2006/relationships" ref="I172" r:id="rId341"/>
    <hyperlink xmlns:r="http://schemas.openxmlformats.org/officeDocument/2006/relationships" ref="K172" r:id="rId342"/>
    <hyperlink xmlns:r="http://schemas.openxmlformats.org/officeDocument/2006/relationships" ref="I173" r:id="rId343"/>
    <hyperlink xmlns:r="http://schemas.openxmlformats.org/officeDocument/2006/relationships" ref="K173" r:id="rId344"/>
    <hyperlink xmlns:r="http://schemas.openxmlformats.org/officeDocument/2006/relationships" ref="I174" r:id="rId345"/>
    <hyperlink xmlns:r="http://schemas.openxmlformats.org/officeDocument/2006/relationships" ref="K174" r:id="rId346"/>
    <hyperlink xmlns:r="http://schemas.openxmlformats.org/officeDocument/2006/relationships" ref="I175" r:id="rId347"/>
    <hyperlink xmlns:r="http://schemas.openxmlformats.org/officeDocument/2006/relationships" ref="K175" r:id="rId348"/>
    <hyperlink xmlns:r="http://schemas.openxmlformats.org/officeDocument/2006/relationships" ref="I176" r:id="rId349"/>
    <hyperlink xmlns:r="http://schemas.openxmlformats.org/officeDocument/2006/relationships" ref="K176" r:id="rId350"/>
    <hyperlink xmlns:r="http://schemas.openxmlformats.org/officeDocument/2006/relationships" ref="I177" r:id="rId351"/>
    <hyperlink xmlns:r="http://schemas.openxmlformats.org/officeDocument/2006/relationships" ref="K177" r:id="rId352"/>
    <hyperlink xmlns:r="http://schemas.openxmlformats.org/officeDocument/2006/relationships" ref="I178" r:id="rId353"/>
    <hyperlink xmlns:r="http://schemas.openxmlformats.org/officeDocument/2006/relationships" ref="K178" r:id="rId354"/>
    <hyperlink xmlns:r="http://schemas.openxmlformats.org/officeDocument/2006/relationships" ref="I179" r:id="rId355"/>
    <hyperlink xmlns:r="http://schemas.openxmlformats.org/officeDocument/2006/relationships" ref="K179" r:id="rId356"/>
    <hyperlink xmlns:r="http://schemas.openxmlformats.org/officeDocument/2006/relationships" ref="I180" r:id="rId357"/>
    <hyperlink xmlns:r="http://schemas.openxmlformats.org/officeDocument/2006/relationships" ref="K180" r:id="rId358"/>
    <hyperlink xmlns:r="http://schemas.openxmlformats.org/officeDocument/2006/relationships" ref="I181" r:id="rId359"/>
    <hyperlink xmlns:r="http://schemas.openxmlformats.org/officeDocument/2006/relationships" ref="K181" r:id="rId360"/>
    <hyperlink xmlns:r="http://schemas.openxmlformats.org/officeDocument/2006/relationships" ref="I182" r:id="rId361"/>
    <hyperlink xmlns:r="http://schemas.openxmlformats.org/officeDocument/2006/relationships" ref="K182" r:id="rId362"/>
    <hyperlink xmlns:r="http://schemas.openxmlformats.org/officeDocument/2006/relationships" ref="I183" r:id="rId363"/>
    <hyperlink xmlns:r="http://schemas.openxmlformats.org/officeDocument/2006/relationships" ref="K183" r:id="rId364"/>
    <hyperlink xmlns:r="http://schemas.openxmlformats.org/officeDocument/2006/relationships" ref="I184" r:id="rId365"/>
    <hyperlink xmlns:r="http://schemas.openxmlformats.org/officeDocument/2006/relationships" ref="K184" r:id="rId366"/>
    <hyperlink xmlns:r="http://schemas.openxmlformats.org/officeDocument/2006/relationships" ref="I185" r:id="rId367"/>
    <hyperlink xmlns:r="http://schemas.openxmlformats.org/officeDocument/2006/relationships" ref="K185" r:id="rId368"/>
    <hyperlink xmlns:r="http://schemas.openxmlformats.org/officeDocument/2006/relationships" ref="I186" r:id="rId369"/>
    <hyperlink xmlns:r="http://schemas.openxmlformats.org/officeDocument/2006/relationships" ref="K186" r:id="rId370"/>
    <hyperlink xmlns:r="http://schemas.openxmlformats.org/officeDocument/2006/relationships" ref="I187" r:id="rId371"/>
    <hyperlink xmlns:r="http://schemas.openxmlformats.org/officeDocument/2006/relationships" ref="K187" r:id="rId372"/>
    <hyperlink xmlns:r="http://schemas.openxmlformats.org/officeDocument/2006/relationships" ref="I188" r:id="rId373"/>
    <hyperlink xmlns:r="http://schemas.openxmlformats.org/officeDocument/2006/relationships" ref="K188" r:id="rId374"/>
    <hyperlink xmlns:r="http://schemas.openxmlformats.org/officeDocument/2006/relationships" ref="I189" r:id="rId375"/>
    <hyperlink xmlns:r="http://schemas.openxmlformats.org/officeDocument/2006/relationships" ref="K189" r:id="rId376"/>
    <hyperlink xmlns:r="http://schemas.openxmlformats.org/officeDocument/2006/relationships" ref="I190" r:id="rId377"/>
    <hyperlink xmlns:r="http://schemas.openxmlformats.org/officeDocument/2006/relationships" ref="K190" r:id="rId378"/>
    <hyperlink xmlns:r="http://schemas.openxmlformats.org/officeDocument/2006/relationships" ref="I191" r:id="rId379"/>
    <hyperlink xmlns:r="http://schemas.openxmlformats.org/officeDocument/2006/relationships" ref="K191" r:id="rId380"/>
    <hyperlink xmlns:r="http://schemas.openxmlformats.org/officeDocument/2006/relationships" ref="I192" r:id="rId381"/>
    <hyperlink xmlns:r="http://schemas.openxmlformats.org/officeDocument/2006/relationships" ref="K192" r:id="rId382"/>
    <hyperlink xmlns:r="http://schemas.openxmlformats.org/officeDocument/2006/relationships" ref="I193" r:id="rId383"/>
    <hyperlink xmlns:r="http://schemas.openxmlformats.org/officeDocument/2006/relationships" ref="K193" r:id="rId384"/>
    <hyperlink xmlns:r="http://schemas.openxmlformats.org/officeDocument/2006/relationships" ref="I194" r:id="rId385"/>
    <hyperlink xmlns:r="http://schemas.openxmlformats.org/officeDocument/2006/relationships" ref="K194" r:id="rId386"/>
    <hyperlink xmlns:r="http://schemas.openxmlformats.org/officeDocument/2006/relationships" ref="I195" r:id="rId387"/>
    <hyperlink xmlns:r="http://schemas.openxmlformats.org/officeDocument/2006/relationships" ref="K195" r:id="rId388"/>
    <hyperlink xmlns:r="http://schemas.openxmlformats.org/officeDocument/2006/relationships" ref="I196" r:id="rId389"/>
    <hyperlink xmlns:r="http://schemas.openxmlformats.org/officeDocument/2006/relationships" ref="K196" r:id="rId390"/>
    <hyperlink xmlns:r="http://schemas.openxmlformats.org/officeDocument/2006/relationships" ref="I197" r:id="rId391"/>
    <hyperlink xmlns:r="http://schemas.openxmlformats.org/officeDocument/2006/relationships" ref="K197" r:id="rId392"/>
    <hyperlink xmlns:r="http://schemas.openxmlformats.org/officeDocument/2006/relationships" ref="I198" r:id="rId393"/>
    <hyperlink xmlns:r="http://schemas.openxmlformats.org/officeDocument/2006/relationships" ref="K198" r:id="rId394"/>
    <hyperlink xmlns:r="http://schemas.openxmlformats.org/officeDocument/2006/relationships" ref="I199" r:id="rId395"/>
    <hyperlink xmlns:r="http://schemas.openxmlformats.org/officeDocument/2006/relationships" ref="K199" r:id="rId396"/>
    <hyperlink xmlns:r="http://schemas.openxmlformats.org/officeDocument/2006/relationships" ref="I200" r:id="rId397"/>
    <hyperlink xmlns:r="http://schemas.openxmlformats.org/officeDocument/2006/relationships" ref="K200" r:id="rId398"/>
    <hyperlink xmlns:r="http://schemas.openxmlformats.org/officeDocument/2006/relationships" ref="I201" r:id="rId399"/>
    <hyperlink xmlns:r="http://schemas.openxmlformats.org/officeDocument/2006/relationships" ref="K201" r:id="rId400"/>
    <hyperlink xmlns:r="http://schemas.openxmlformats.org/officeDocument/2006/relationships" ref="I202" r:id="rId401"/>
    <hyperlink xmlns:r="http://schemas.openxmlformats.org/officeDocument/2006/relationships" ref="K202" r:id="rId402"/>
    <hyperlink xmlns:r="http://schemas.openxmlformats.org/officeDocument/2006/relationships" ref="I203" r:id="rId403"/>
    <hyperlink xmlns:r="http://schemas.openxmlformats.org/officeDocument/2006/relationships" ref="K203" r:id="rId404"/>
    <hyperlink xmlns:r="http://schemas.openxmlformats.org/officeDocument/2006/relationships" ref="I204" r:id="rId405"/>
    <hyperlink xmlns:r="http://schemas.openxmlformats.org/officeDocument/2006/relationships" ref="K204" r:id="rId406"/>
    <hyperlink xmlns:r="http://schemas.openxmlformats.org/officeDocument/2006/relationships" ref="I205" r:id="rId407"/>
    <hyperlink xmlns:r="http://schemas.openxmlformats.org/officeDocument/2006/relationships" ref="K205" r:id="rId408"/>
    <hyperlink xmlns:r="http://schemas.openxmlformats.org/officeDocument/2006/relationships" ref="I206" r:id="rId409"/>
    <hyperlink xmlns:r="http://schemas.openxmlformats.org/officeDocument/2006/relationships" ref="K206" r:id="rId410"/>
    <hyperlink xmlns:r="http://schemas.openxmlformats.org/officeDocument/2006/relationships" ref="I207" r:id="rId411"/>
    <hyperlink xmlns:r="http://schemas.openxmlformats.org/officeDocument/2006/relationships" ref="K207" r:id="rId412"/>
    <hyperlink xmlns:r="http://schemas.openxmlformats.org/officeDocument/2006/relationships" ref="I208" r:id="rId413"/>
    <hyperlink xmlns:r="http://schemas.openxmlformats.org/officeDocument/2006/relationships" ref="K208" r:id="rId414"/>
    <hyperlink xmlns:r="http://schemas.openxmlformats.org/officeDocument/2006/relationships" ref="I209" r:id="rId415"/>
    <hyperlink xmlns:r="http://schemas.openxmlformats.org/officeDocument/2006/relationships" ref="K209" r:id="rId416"/>
    <hyperlink xmlns:r="http://schemas.openxmlformats.org/officeDocument/2006/relationships" ref="I210" r:id="rId417"/>
    <hyperlink xmlns:r="http://schemas.openxmlformats.org/officeDocument/2006/relationships" ref="K210" r:id="rId418"/>
    <hyperlink xmlns:r="http://schemas.openxmlformats.org/officeDocument/2006/relationships" ref="I211" r:id="rId419"/>
    <hyperlink xmlns:r="http://schemas.openxmlformats.org/officeDocument/2006/relationships" ref="K211" r:id="rId420"/>
    <hyperlink xmlns:r="http://schemas.openxmlformats.org/officeDocument/2006/relationships" ref="I212" r:id="rId421"/>
    <hyperlink xmlns:r="http://schemas.openxmlformats.org/officeDocument/2006/relationships" ref="K212" r:id="rId422"/>
    <hyperlink xmlns:r="http://schemas.openxmlformats.org/officeDocument/2006/relationships" ref="I213" r:id="rId423"/>
    <hyperlink xmlns:r="http://schemas.openxmlformats.org/officeDocument/2006/relationships" ref="K213" r:id="rId424"/>
    <hyperlink xmlns:r="http://schemas.openxmlformats.org/officeDocument/2006/relationships" ref="I214" r:id="rId425"/>
    <hyperlink xmlns:r="http://schemas.openxmlformats.org/officeDocument/2006/relationships" ref="K214" r:id="rId426"/>
    <hyperlink xmlns:r="http://schemas.openxmlformats.org/officeDocument/2006/relationships" ref="I215" r:id="rId427"/>
    <hyperlink xmlns:r="http://schemas.openxmlformats.org/officeDocument/2006/relationships" ref="K215" r:id="rId428"/>
    <hyperlink xmlns:r="http://schemas.openxmlformats.org/officeDocument/2006/relationships" ref="I216" r:id="rId429"/>
    <hyperlink xmlns:r="http://schemas.openxmlformats.org/officeDocument/2006/relationships" ref="K216" r:id="rId430"/>
    <hyperlink xmlns:r="http://schemas.openxmlformats.org/officeDocument/2006/relationships" ref="I217" r:id="rId431"/>
    <hyperlink xmlns:r="http://schemas.openxmlformats.org/officeDocument/2006/relationships" ref="K217" r:id="rId432"/>
    <hyperlink xmlns:r="http://schemas.openxmlformats.org/officeDocument/2006/relationships" ref="I218" r:id="rId433"/>
    <hyperlink xmlns:r="http://schemas.openxmlformats.org/officeDocument/2006/relationships" ref="K218" r:id="rId434"/>
    <hyperlink xmlns:r="http://schemas.openxmlformats.org/officeDocument/2006/relationships" ref="I219" r:id="rId435"/>
    <hyperlink xmlns:r="http://schemas.openxmlformats.org/officeDocument/2006/relationships" ref="K219" r:id="rId436"/>
    <hyperlink xmlns:r="http://schemas.openxmlformats.org/officeDocument/2006/relationships" ref="I220" r:id="rId437"/>
    <hyperlink xmlns:r="http://schemas.openxmlformats.org/officeDocument/2006/relationships" ref="K220" r:id="rId438"/>
    <hyperlink xmlns:r="http://schemas.openxmlformats.org/officeDocument/2006/relationships" ref="I221" r:id="rId439"/>
    <hyperlink xmlns:r="http://schemas.openxmlformats.org/officeDocument/2006/relationships" ref="K221" r:id="rId440"/>
    <hyperlink xmlns:r="http://schemas.openxmlformats.org/officeDocument/2006/relationships" ref="I222" r:id="rId441"/>
    <hyperlink xmlns:r="http://schemas.openxmlformats.org/officeDocument/2006/relationships" ref="K222" r:id="rId442"/>
    <hyperlink xmlns:r="http://schemas.openxmlformats.org/officeDocument/2006/relationships" ref="I223" r:id="rId443"/>
    <hyperlink xmlns:r="http://schemas.openxmlformats.org/officeDocument/2006/relationships" ref="K223" r:id="rId444"/>
    <hyperlink xmlns:r="http://schemas.openxmlformats.org/officeDocument/2006/relationships" ref="I224" r:id="rId445"/>
    <hyperlink xmlns:r="http://schemas.openxmlformats.org/officeDocument/2006/relationships" ref="K224" r:id="rId446"/>
    <hyperlink xmlns:r="http://schemas.openxmlformats.org/officeDocument/2006/relationships" ref="I225" r:id="rId447"/>
    <hyperlink xmlns:r="http://schemas.openxmlformats.org/officeDocument/2006/relationships" ref="K225" r:id="rId448"/>
    <hyperlink xmlns:r="http://schemas.openxmlformats.org/officeDocument/2006/relationships" ref="I226" r:id="rId449"/>
    <hyperlink xmlns:r="http://schemas.openxmlformats.org/officeDocument/2006/relationships" ref="K226" r:id="rId450"/>
    <hyperlink xmlns:r="http://schemas.openxmlformats.org/officeDocument/2006/relationships" ref="I227" r:id="rId451"/>
    <hyperlink xmlns:r="http://schemas.openxmlformats.org/officeDocument/2006/relationships" ref="K227" r:id="rId452"/>
    <hyperlink xmlns:r="http://schemas.openxmlformats.org/officeDocument/2006/relationships" ref="I228" r:id="rId453"/>
    <hyperlink xmlns:r="http://schemas.openxmlformats.org/officeDocument/2006/relationships" ref="K228" r:id="rId454"/>
    <hyperlink xmlns:r="http://schemas.openxmlformats.org/officeDocument/2006/relationships" ref="I229" r:id="rId455"/>
    <hyperlink xmlns:r="http://schemas.openxmlformats.org/officeDocument/2006/relationships" ref="K229" r:id="rId456"/>
    <hyperlink xmlns:r="http://schemas.openxmlformats.org/officeDocument/2006/relationships" ref="I230" r:id="rId457"/>
    <hyperlink xmlns:r="http://schemas.openxmlformats.org/officeDocument/2006/relationships" ref="K230" r:id="rId458"/>
    <hyperlink xmlns:r="http://schemas.openxmlformats.org/officeDocument/2006/relationships" ref="I231" r:id="rId459"/>
    <hyperlink xmlns:r="http://schemas.openxmlformats.org/officeDocument/2006/relationships" ref="K231" r:id="rId460"/>
    <hyperlink xmlns:r="http://schemas.openxmlformats.org/officeDocument/2006/relationships" ref="I232" r:id="rId461"/>
    <hyperlink xmlns:r="http://schemas.openxmlformats.org/officeDocument/2006/relationships" ref="K232" r:id="rId462"/>
    <hyperlink xmlns:r="http://schemas.openxmlformats.org/officeDocument/2006/relationships" ref="I233" r:id="rId463"/>
    <hyperlink xmlns:r="http://schemas.openxmlformats.org/officeDocument/2006/relationships" ref="K233" r:id="rId464"/>
    <hyperlink xmlns:r="http://schemas.openxmlformats.org/officeDocument/2006/relationships" ref="I234" r:id="rId465"/>
    <hyperlink xmlns:r="http://schemas.openxmlformats.org/officeDocument/2006/relationships" ref="K234" r:id="rId466"/>
    <hyperlink xmlns:r="http://schemas.openxmlformats.org/officeDocument/2006/relationships" ref="I235" r:id="rId467"/>
    <hyperlink xmlns:r="http://schemas.openxmlformats.org/officeDocument/2006/relationships" ref="K235" r:id="rId468"/>
    <hyperlink xmlns:r="http://schemas.openxmlformats.org/officeDocument/2006/relationships" ref="I236" r:id="rId469"/>
    <hyperlink xmlns:r="http://schemas.openxmlformats.org/officeDocument/2006/relationships" ref="K236" r:id="rId470"/>
    <hyperlink xmlns:r="http://schemas.openxmlformats.org/officeDocument/2006/relationships" ref="I237" r:id="rId471"/>
    <hyperlink xmlns:r="http://schemas.openxmlformats.org/officeDocument/2006/relationships" ref="K237" r:id="rId472"/>
    <hyperlink xmlns:r="http://schemas.openxmlformats.org/officeDocument/2006/relationships" ref="I238" r:id="rId473"/>
    <hyperlink xmlns:r="http://schemas.openxmlformats.org/officeDocument/2006/relationships" ref="K238" r:id="rId474"/>
    <hyperlink xmlns:r="http://schemas.openxmlformats.org/officeDocument/2006/relationships" ref="I239" r:id="rId475"/>
    <hyperlink xmlns:r="http://schemas.openxmlformats.org/officeDocument/2006/relationships" ref="K239" r:id="rId476"/>
    <hyperlink xmlns:r="http://schemas.openxmlformats.org/officeDocument/2006/relationships" ref="I240" r:id="rId477"/>
    <hyperlink xmlns:r="http://schemas.openxmlformats.org/officeDocument/2006/relationships" ref="K240" r:id="rId478"/>
    <hyperlink xmlns:r="http://schemas.openxmlformats.org/officeDocument/2006/relationships" ref="I241" r:id="rId479"/>
    <hyperlink xmlns:r="http://schemas.openxmlformats.org/officeDocument/2006/relationships" ref="K241" r:id="rId480"/>
    <hyperlink xmlns:r="http://schemas.openxmlformats.org/officeDocument/2006/relationships" ref="I242" r:id="rId481"/>
    <hyperlink xmlns:r="http://schemas.openxmlformats.org/officeDocument/2006/relationships" ref="K242" r:id="rId482"/>
    <hyperlink xmlns:r="http://schemas.openxmlformats.org/officeDocument/2006/relationships" ref="I243" r:id="rId483"/>
    <hyperlink xmlns:r="http://schemas.openxmlformats.org/officeDocument/2006/relationships" ref="K243" r:id="rId484"/>
    <hyperlink xmlns:r="http://schemas.openxmlformats.org/officeDocument/2006/relationships" ref="I244" r:id="rId485"/>
    <hyperlink xmlns:r="http://schemas.openxmlformats.org/officeDocument/2006/relationships" ref="K244" r:id="rId486"/>
    <hyperlink xmlns:r="http://schemas.openxmlformats.org/officeDocument/2006/relationships" ref="I245" r:id="rId487"/>
    <hyperlink xmlns:r="http://schemas.openxmlformats.org/officeDocument/2006/relationships" ref="K245" r:id="rId488"/>
    <hyperlink xmlns:r="http://schemas.openxmlformats.org/officeDocument/2006/relationships" ref="I246" r:id="rId489"/>
    <hyperlink xmlns:r="http://schemas.openxmlformats.org/officeDocument/2006/relationships" ref="K246" r:id="rId490"/>
    <hyperlink xmlns:r="http://schemas.openxmlformats.org/officeDocument/2006/relationships" ref="I247" r:id="rId491"/>
    <hyperlink xmlns:r="http://schemas.openxmlformats.org/officeDocument/2006/relationships" ref="K247" r:id="rId492"/>
    <hyperlink xmlns:r="http://schemas.openxmlformats.org/officeDocument/2006/relationships" ref="I248" r:id="rId493"/>
    <hyperlink xmlns:r="http://schemas.openxmlformats.org/officeDocument/2006/relationships" ref="K248" r:id="rId494"/>
    <hyperlink xmlns:r="http://schemas.openxmlformats.org/officeDocument/2006/relationships" ref="I249" r:id="rId495"/>
    <hyperlink xmlns:r="http://schemas.openxmlformats.org/officeDocument/2006/relationships" ref="K249" r:id="rId496"/>
    <hyperlink xmlns:r="http://schemas.openxmlformats.org/officeDocument/2006/relationships" ref="I250" r:id="rId497"/>
    <hyperlink xmlns:r="http://schemas.openxmlformats.org/officeDocument/2006/relationships" ref="K250" r:id="rId498"/>
    <hyperlink xmlns:r="http://schemas.openxmlformats.org/officeDocument/2006/relationships" ref="I251" r:id="rId499"/>
    <hyperlink xmlns:r="http://schemas.openxmlformats.org/officeDocument/2006/relationships" ref="K251" r:id="rId500"/>
    <hyperlink xmlns:r="http://schemas.openxmlformats.org/officeDocument/2006/relationships" ref="I252" r:id="rId501"/>
    <hyperlink xmlns:r="http://schemas.openxmlformats.org/officeDocument/2006/relationships" ref="K252" r:id="rId502"/>
    <hyperlink xmlns:r="http://schemas.openxmlformats.org/officeDocument/2006/relationships" ref="I253" r:id="rId503"/>
    <hyperlink xmlns:r="http://schemas.openxmlformats.org/officeDocument/2006/relationships" ref="K253" r:id="rId504"/>
    <hyperlink xmlns:r="http://schemas.openxmlformats.org/officeDocument/2006/relationships" ref="I254" r:id="rId505"/>
    <hyperlink xmlns:r="http://schemas.openxmlformats.org/officeDocument/2006/relationships" ref="K254" r:id="rId506"/>
    <hyperlink xmlns:r="http://schemas.openxmlformats.org/officeDocument/2006/relationships" ref="I255" r:id="rId507"/>
    <hyperlink xmlns:r="http://schemas.openxmlformats.org/officeDocument/2006/relationships" ref="K255" r:id="rId508"/>
    <hyperlink xmlns:r="http://schemas.openxmlformats.org/officeDocument/2006/relationships" ref="I256" r:id="rId509"/>
    <hyperlink xmlns:r="http://schemas.openxmlformats.org/officeDocument/2006/relationships" ref="K256" r:id="rId510"/>
    <hyperlink xmlns:r="http://schemas.openxmlformats.org/officeDocument/2006/relationships" ref="I257" r:id="rId511"/>
    <hyperlink xmlns:r="http://schemas.openxmlformats.org/officeDocument/2006/relationships" ref="K257" r:id="rId512"/>
    <hyperlink xmlns:r="http://schemas.openxmlformats.org/officeDocument/2006/relationships" ref="I258" r:id="rId513"/>
    <hyperlink xmlns:r="http://schemas.openxmlformats.org/officeDocument/2006/relationships" ref="K258" r:id="rId514"/>
    <hyperlink xmlns:r="http://schemas.openxmlformats.org/officeDocument/2006/relationships" ref="I259" r:id="rId515"/>
    <hyperlink xmlns:r="http://schemas.openxmlformats.org/officeDocument/2006/relationships" ref="K259" r:id="rId516"/>
    <hyperlink xmlns:r="http://schemas.openxmlformats.org/officeDocument/2006/relationships" ref="I260" r:id="rId517"/>
    <hyperlink xmlns:r="http://schemas.openxmlformats.org/officeDocument/2006/relationships" ref="K260" r:id="rId518"/>
    <hyperlink xmlns:r="http://schemas.openxmlformats.org/officeDocument/2006/relationships" ref="I261" r:id="rId519"/>
    <hyperlink xmlns:r="http://schemas.openxmlformats.org/officeDocument/2006/relationships" ref="K261" r:id="rId520"/>
    <hyperlink xmlns:r="http://schemas.openxmlformats.org/officeDocument/2006/relationships" ref="I262" r:id="rId521"/>
    <hyperlink xmlns:r="http://schemas.openxmlformats.org/officeDocument/2006/relationships" ref="K262" r:id="rId522"/>
    <hyperlink xmlns:r="http://schemas.openxmlformats.org/officeDocument/2006/relationships" ref="I263" r:id="rId523"/>
    <hyperlink xmlns:r="http://schemas.openxmlformats.org/officeDocument/2006/relationships" ref="K263" r:id="rId524"/>
    <hyperlink xmlns:r="http://schemas.openxmlformats.org/officeDocument/2006/relationships" ref="I264" r:id="rId525"/>
    <hyperlink xmlns:r="http://schemas.openxmlformats.org/officeDocument/2006/relationships" ref="K264" r:id="rId526"/>
    <hyperlink xmlns:r="http://schemas.openxmlformats.org/officeDocument/2006/relationships" ref="I265" r:id="rId527"/>
    <hyperlink xmlns:r="http://schemas.openxmlformats.org/officeDocument/2006/relationships" ref="K265" r:id="rId528"/>
    <hyperlink xmlns:r="http://schemas.openxmlformats.org/officeDocument/2006/relationships" ref="I266" r:id="rId529"/>
    <hyperlink xmlns:r="http://schemas.openxmlformats.org/officeDocument/2006/relationships" ref="K266" r:id="rId530"/>
    <hyperlink xmlns:r="http://schemas.openxmlformats.org/officeDocument/2006/relationships" ref="I267" r:id="rId531"/>
    <hyperlink xmlns:r="http://schemas.openxmlformats.org/officeDocument/2006/relationships" ref="K267" r:id="rId532"/>
    <hyperlink xmlns:r="http://schemas.openxmlformats.org/officeDocument/2006/relationships" ref="I268" r:id="rId533"/>
    <hyperlink xmlns:r="http://schemas.openxmlformats.org/officeDocument/2006/relationships" ref="K268" r:id="rId534"/>
    <hyperlink xmlns:r="http://schemas.openxmlformats.org/officeDocument/2006/relationships" ref="I269" r:id="rId535"/>
    <hyperlink xmlns:r="http://schemas.openxmlformats.org/officeDocument/2006/relationships" ref="K269" r:id="rId536"/>
    <hyperlink xmlns:r="http://schemas.openxmlformats.org/officeDocument/2006/relationships" ref="I270" r:id="rId537"/>
    <hyperlink xmlns:r="http://schemas.openxmlformats.org/officeDocument/2006/relationships" ref="K270" r:id="rId538"/>
    <hyperlink xmlns:r="http://schemas.openxmlformats.org/officeDocument/2006/relationships" ref="I271" r:id="rId539"/>
    <hyperlink xmlns:r="http://schemas.openxmlformats.org/officeDocument/2006/relationships" ref="K271" r:id="rId540"/>
    <hyperlink xmlns:r="http://schemas.openxmlformats.org/officeDocument/2006/relationships" ref="I272" r:id="rId541"/>
    <hyperlink xmlns:r="http://schemas.openxmlformats.org/officeDocument/2006/relationships" ref="K272" r:id="rId542"/>
    <hyperlink xmlns:r="http://schemas.openxmlformats.org/officeDocument/2006/relationships" ref="I273" r:id="rId543"/>
    <hyperlink xmlns:r="http://schemas.openxmlformats.org/officeDocument/2006/relationships" ref="K273" r:id="rId544"/>
    <hyperlink xmlns:r="http://schemas.openxmlformats.org/officeDocument/2006/relationships" ref="I274" r:id="rId545"/>
    <hyperlink xmlns:r="http://schemas.openxmlformats.org/officeDocument/2006/relationships" ref="K274" r:id="rId546"/>
    <hyperlink xmlns:r="http://schemas.openxmlformats.org/officeDocument/2006/relationships" ref="I275" r:id="rId547"/>
    <hyperlink xmlns:r="http://schemas.openxmlformats.org/officeDocument/2006/relationships" ref="K275" r:id="rId548"/>
    <hyperlink xmlns:r="http://schemas.openxmlformats.org/officeDocument/2006/relationships" ref="I276" r:id="rId549"/>
    <hyperlink xmlns:r="http://schemas.openxmlformats.org/officeDocument/2006/relationships" ref="K276" r:id="rId550"/>
    <hyperlink xmlns:r="http://schemas.openxmlformats.org/officeDocument/2006/relationships" ref="I277" r:id="rId551"/>
    <hyperlink xmlns:r="http://schemas.openxmlformats.org/officeDocument/2006/relationships" ref="K277" r:id="rId552"/>
    <hyperlink xmlns:r="http://schemas.openxmlformats.org/officeDocument/2006/relationships" ref="I278" r:id="rId553"/>
    <hyperlink xmlns:r="http://schemas.openxmlformats.org/officeDocument/2006/relationships" ref="K278" r:id="rId554"/>
    <hyperlink xmlns:r="http://schemas.openxmlformats.org/officeDocument/2006/relationships" ref="I279" r:id="rId555"/>
    <hyperlink xmlns:r="http://schemas.openxmlformats.org/officeDocument/2006/relationships" ref="K279" r:id="rId556"/>
    <hyperlink xmlns:r="http://schemas.openxmlformats.org/officeDocument/2006/relationships" ref="I280" r:id="rId557"/>
    <hyperlink xmlns:r="http://schemas.openxmlformats.org/officeDocument/2006/relationships" ref="K280" r:id="rId558"/>
    <hyperlink xmlns:r="http://schemas.openxmlformats.org/officeDocument/2006/relationships" ref="I281" r:id="rId559"/>
    <hyperlink xmlns:r="http://schemas.openxmlformats.org/officeDocument/2006/relationships" ref="K281" r:id="rId560"/>
    <hyperlink xmlns:r="http://schemas.openxmlformats.org/officeDocument/2006/relationships" ref="I282" r:id="rId561"/>
    <hyperlink xmlns:r="http://schemas.openxmlformats.org/officeDocument/2006/relationships" ref="K282" r:id="rId562"/>
    <hyperlink xmlns:r="http://schemas.openxmlformats.org/officeDocument/2006/relationships" ref="I283" r:id="rId563"/>
    <hyperlink xmlns:r="http://schemas.openxmlformats.org/officeDocument/2006/relationships" ref="K283" r:id="rId564"/>
    <hyperlink xmlns:r="http://schemas.openxmlformats.org/officeDocument/2006/relationships" ref="I284" r:id="rId565"/>
    <hyperlink xmlns:r="http://schemas.openxmlformats.org/officeDocument/2006/relationships" ref="K284" r:id="rId566"/>
    <hyperlink xmlns:r="http://schemas.openxmlformats.org/officeDocument/2006/relationships" ref="I285" r:id="rId567"/>
    <hyperlink xmlns:r="http://schemas.openxmlformats.org/officeDocument/2006/relationships" ref="K285" r:id="rId568"/>
    <hyperlink xmlns:r="http://schemas.openxmlformats.org/officeDocument/2006/relationships" ref="I286" r:id="rId569"/>
    <hyperlink xmlns:r="http://schemas.openxmlformats.org/officeDocument/2006/relationships" ref="K286" r:id="rId570"/>
    <hyperlink xmlns:r="http://schemas.openxmlformats.org/officeDocument/2006/relationships" ref="I287" r:id="rId571"/>
    <hyperlink xmlns:r="http://schemas.openxmlformats.org/officeDocument/2006/relationships" ref="K287" r:id="rId572"/>
    <hyperlink xmlns:r="http://schemas.openxmlformats.org/officeDocument/2006/relationships" ref="I288" r:id="rId573"/>
    <hyperlink xmlns:r="http://schemas.openxmlformats.org/officeDocument/2006/relationships" ref="K288" r:id="rId574"/>
    <hyperlink xmlns:r="http://schemas.openxmlformats.org/officeDocument/2006/relationships" ref="I289" r:id="rId575"/>
    <hyperlink xmlns:r="http://schemas.openxmlformats.org/officeDocument/2006/relationships" ref="K289" r:id="rId576"/>
    <hyperlink xmlns:r="http://schemas.openxmlformats.org/officeDocument/2006/relationships" ref="I290" r:id="rId577"/>
    <hyperlink xmlns:r="http://schemas.openxmlformats.org/officeDocument/2006/relationships" ref="K290" r:id="rId578"/>
    <hyperlink xmlns:r="http://schemas.openxmlformats.org/officeDocument/2006/relationships" ref="I291" r:id="rId579"/>
    <hyperlink xmlns:r="http://schemas.openxmlformats.org/officeDocument/2006/relationships" ref="K291" r:id="rId580"/>
    <hyperlink xmlns:r="http://schemas.openxmlformats.org/officeDocument/2006/relationships" ref="I292" r:id="rId581"/>
    <hyperlink xmlns:r="http://schemas.openxmlformats.org/officeDocument/2006/relationships" ref="K292" r:id="rId582"/>
    <hyperlink xmlns:r="http://schemas.openxmlformats.org/officeDocument/2006/relationships" ref="I293" r:id="rId583"/>
    <hyperlink xmlns:r="http://schemas.openxmlformats.org/officeDocument/2006/relationships" ref="K293" r:id="rId584"/>
    <hyperlink xmlns:r="http://schemas.openxmlformats.org/officeDocument/2006/relationships" ref="I294" r:id="rId585"/>
    <hyperlink xmlns:r="http://schemas.openxmlformats.org/officeDocument/2006/relationships" ref="K294" r:id="rId586"/>
    <hyperlink xmlns:r="http://schemas.openxmlformats.org/officeDocument/2006/relationships" ref="I295" r:id="rId587"/>
    <hyperlink xmlns:r="http://schemas.openxmlformats.org/officeDocument/2006/relationships" ref="K295" r:id="rId588"/>
    <hyperlink xmlns:r="http://schemas.openxmlformats.org/officeDocument/2006/relationships" ref="I296" r:id="rId589"/>
    <hyperlink xmlns:r="http://schemas.openxmlformats.org/officeDocument/2006/relationships" ref="K296" r:id="rId590"/>
    <hyperlink xmlns:r="http://schemas.openxmlformats.org/officeDocument/2006/relationships" ref="I297" r:id="rId591"/>
    <hyperlink xmlns:r="http://schemas.openxmlformats.org/officeDocument/2006/relationships" ref="K297" r:id="rId592"/>
    <hyperlink xmlns:r="http://schemas.openxmlformats.org/officeDocument/2006/relationships" ref="I298" r:id="rId593"/>
    <hyperlink xmlns:r="http://schemas.openxmlformats.org/officeDocument/2006/relationships" ref="K298" r:id="rId594"/>
    <hyperlink xmlns:r="http://schemas.openxmlformats.org/officeDocument/2006/relationships" ref="I299" r:id="rId595"/>
    <hyperlink xmlns:r="http://schemas.openxmlformats.org/officeDocument/2006/relationships" ref="K299" r:id="rId596"/>
    <hyperlink xmlns:r="http://schemas.openxmlformats.org/officeDocument/2006/relationships" ref="I300" r:id="rId597"/>
    <hyperlink xmlns:r="http://schemas.openxmlformats.org/officeDocument/2006/relationships" ref="K300" r:id="rId598"/>
    <hyperlink xmlns:r="http://schemas.openxmlformats.org/officeDocument/2006/relationships" ref="I301" r:id="rId599"/>
    <hyperlink xmlns:r="http://schemas.openxmlformats.org/officeDocument/2006/relationships" ref="K301" r:id="rId600"/>
    <hyperlink xmlns:r="http://schemas.openxmlformats.org/officeDocument/2006/relationships" ref="I302" r:id="rId601"/>
    <hyperlink xmlns:r="http://schemas.openxmlformats.org/officeDocument/2006/relationships" ref="K302" r:id="rId602"/>
    <hyperlink xmlns:r="http://schemas.openxmlformats.org/officeDocument/2006/relationships" ref="I303" r:id="rId603"/>
    <hyperlink xmlns:r="http://schemas.openxmlformats.org/officeDocument/2006/relationships" ref="K303" r:id="rId604"/>
    <hyperlink xmlns:r="http://schemas.openxmlformats.org/officeDocument/2006/relationships" ref="I304" r:id="rId605"/>
    <hyperlink xmlns:r="http://schemas.openxmlformats.org/officeDocument/2006/relationships" ref="K304" r:id="rId606"/>
    <hyperlink xmlns:r="http://schemas.openxmlformats.org/officeDocument/2006/relationships" ref="I305" r:id="rId607"/>
    <hyperlink xmlns:r="http://schemas.openxmlformats.org/officeDocument/2006/relationships" ref="K305" r:id="rId608"/>
    <hyperlink xmlns:r="http://schemas.openxmlformats.org/officeDocument/2006/relationships" ref="I306" r:id="rId609"/>
    <hyperlink xmlns:r="http://schemas.openxmlformats.org/officeDocument/2006/relationships" ref="K306" r:id="rId610"/>
    <hyperlink xmlns:r="http://schemas.openxmlformats.org/officeDocument/2006/relationships" ref="I307" r:id="rId611"/>
    <hyperlink xmlns:r="http://schemas.openxmlformats.org/officeDocument/2006/relationships" ref="K307" r:id="rId612"/>
    <hyperlink xmlns:r="http://schemas.openxmlformats.org/officeDocument/2006/relationships" ref="I308" r:id="rId613"/>
    <hyperlink xmlns:r="http://schemas.openxmlformats.org/officeDocument/2006/relationships" ref="K308" r:id="rId614"/>
    <hyperlink xmlns:r="http://schemas.openxmlformats.org/officeDocument/2006/relationships" ref="I309" r:id="rId615"/>
    <hyperlink xmlns:r="http://schemas.openxmlformats.org/officeDocument/2006/relationships" ref="K309" r:id="rId616"/>
    <hyperlink xmlns:r="http://schemas.openxmlformats.org/officeDocument/2006/relationships" ref="I310" r:id="rId617"/>
    <hyperlink xmlns:r="http://schemas.openxmlformats.org/officeDocument/2006/relationships" ref="K310" r:id="rId618"/>
    <hyperlink xmlns:r="http://schemas.openxmlformats.org/officeDocument/2006/relationships" ref="I311" r:id="rId619"/>
    <hyperlink xmlns:r="http://schemas.openxmlformats.org/officeDocument/2006/relationships" ref="K311" r:id="rId620"/>
    <hyperlink xmlns:r="http://schemas.openxmlformats.org/officeDocument/2006/relationships" ref="I312" r:id="rId621"/>
    <hyperlink xmlns:r="http://schemas.openxmlformats.org/officeDocument/2006/relationships" ref="K312" r:id="rId622"/>
    <hyperlink xmlns:r="http://schemas.openxmlformats.org/officeDocument/2006/relationships" ref="I313" r:id="rId623"/>
    <hyperlink xmlns:r="http://schemas.openxmlformats.org/officeDocument/2006/relationships" ref="K313" r:id="rId624"/>
    <hyperlink xmlns:r="http://schemas.openxmlformats.org/officeDocument/2006/relationships" ref="I314" r:id="rId625"/>
    <hyperlink xmlns:r="http://schemas.openxmlformats.org/officeDocument/2006/relationships" ref="K314" r:id="rId626"/>
    <hyperlink xmlns:r="http://schemas.openxmlformats.org/officeDocument/2006/relationships" ref="I315" r:id="rId627"/>
    <hyperlink xmlns:r="http://schemas.openxmlformats.org/officeDocument/2006/relationships" ref="K315" r:id="rId628"/>
    <hyperlink xmlns:r="http://schemas.openxmlformats.org/officeDocument/2006/relationships" ref="I316" r:id="rId629"/>
    <hyperlink xmlns:r="http://schemas.openxmlformats.org/officeDocument/2006/relationships" ref="K316" r:id="rId630"/>
    <hyperlink xmlns:r="http://schemas.openxmlformats.org/officeDocument/2006/relationships" ref="I317" r:id="rId631"/>
    <hyperlink xmlns:r="http://schemas.openxmlformats.org/officeDocument/2006/relationships" ref="K317" r:id="rId632"/>
    <hyperlink xmlns:r="http://schemas.openxmlformats.org/officeDocument/2006/relationships" ref="I318" r:id="rId633"/>
    <hyperlink xmlns:r="http://schemas.openxmlformats.org/officeDocument/2006/relationships" ref="K318" r:id="rId634"/>
    <hyperlink xmlns:r="http://schemas.openxmlformats.org/officeDocument/2006/relationships" ref="I319" r:id="rId635"/>
    <hyperlink xmlns:r="http://schemas.openxmlformats.org/officeDocument/2006/relationships" ref="K319" r:id="rId636"/>
    <hyperlink xmlns:r="http://schemas.openxmlformats.org/officeDocument/2006/relationships" ref="I320" r:id="rId637"/>
    <hyperlink xmlns:r="http://schemas.openxmlformats.org/officeDocument/2006/relationships" ref="K320" r:id="rId638"/>
    <hyperlink xmlns:r="http://schemas.openxmlformats.org/officeDocument/2006/relationships" ref="I321" r:id="rId639"/>
    <hyperlink xmlns:r="http://schemas.openxmlformats.org/officeDocument/2006/relationships" ref="K321" r:id="rId640"/>
    <hyperlink xmlns:r="http://schemas.openxmlformats.org/officeDocument/2006/relationships" ref="I322" r:id="rId641"/>
    <hyperlink xmlns:r="http://schemas.openxmlformats.org/officeDocument/2006/relationships" ref="K322" r:id="rId642"/>
    <hyperlink xmlns:r="http://schemas.openxmlformats.org/officeDocument/2006/relationships" ref="I323" r:id="rId643"/>
    <hyperlink xmlns:r="http://schemas.openxmlformats.org/officeDocument/2006/relationships" ref="K323" r:id="rId644"/>
    <hyperlink xmlns:r="http://schemas.openxmlformats.org/officeDocument/2006/relationships" ref="I324" r:id="rId645"/>
    <hyperlink xmlns:r="http://schemas.openxmlformats.org/officeDocument/2006/relationships" ref="K324" r:id="rId646"/>
    <hyperlink xmlns:r="http://schemas.openxmlformats.org/officeDocument/2006/relationships" ref="I325" r:id="rId647"/>
    <hyperlink xmlns:r="http://schemas.openxmlformats.org/officeDocument/2006/relationships" ref="K325" r:id="rId648"/>
    <hyperlink xmlns:r="http://schemas.openxmlformats.org/officeDocument/2006/relationships" ref="I326" r:id="rId649"/>
    <hyperlink xmlns:r="http://schemas.openxmlformats.org/officeDocument/2006/relationships" ref="K326" r:id="rId650"/>
    <hyperlink xmlns:r="http://schemas.openxmlformats.org/officeDocument/2006/relationships" ref="I327" r:id="rId651"/>
    <hyperlink xmlns:r="http://schemas.openxmlformats.org/officeDocument/2006/relationships" ref="K327" r:id="rId652"/>
    <hyperlink xmlns:r="http://schemas.openxmlformats.org/officeDocument/2006/relationships" ref="I328" r:id="rId653"/>
    <hyperlink xmlns:r="http://schemas.openxmlformats.org/officeDocument/2006/relationships" ref="K328" r:id="rId654"/>
    <hyperlink xmlns:r="http://schemas.openxmlformats.org/officeDocument/2006/relationships" ref="I329" r:id="rId655"/>
    <hyperlink xmlns:r="http://schemas.openxmlformats.org/officeDocument/2006/relationships" ref="K329" r:id="rId656"/>
    <hyperlink xmlns:r="http://schemas.openxmlformats.org/officeDocument/2006/relationships" ref="I330" r:id="rId657"/>
    <hyperlink xmlns:r="http://schemas.openxmlformats.org/officeDocument/2006/relationships" ref="K330" r:id="rId658"/>
    <hyperlink xmlns:r="http://schemas.openxmlformats.org/officeDocument/2006/relationships" ref="I331" r:id="rId659"/>
    <hyperlink xmlns:r="http://schemas.openxmlformats.org/officeDocument/2006/relationships" ref="K331" r:id="rId660"/>
    <hyperlink xmlns:r="http://schemas.openxmlformats.org/officeDocument/2006/relationships" ref="I332" r:id="rId661"/>
    <hyperlink xmlns:r="http://schemas.openxmlformats.org/officeDocument/2006/relationships" ref="K332" r:id="rId662"/>
    <hyperlink xmlns:r="http://schemas.openxmlformats.org/officeDocument/2006/relationships" ref="I333" r:id="rId663"/>
    <hyperlink xmlns:r="http://schemas.openxmlformats.org/officeDocument/2006/relationships" ref="K333" r:id="rId664"/>
    <hyperlink xmlns:r="http://schemas.openxmlformats.org/officeDocument/2006/relationships" ref="I334" r:id="rId665"/>
    <hyperlink xmlns:r="http://schemas.openxmlformats.org/officeDocument/2006/relationships" ref="K334" r:id="rId666"/>
    <hyperlink xmlns:r="http://schemas.openxmlformats.org/officeDocument/2006/relationships" ref="I335" r:id="rId667"/>
    <hyperlink xmlns:r="http://schemas.openxmlformats.org/officeDocument/2006/relationships" ref="K335" r:id="rId668"/>
    <hyperlink xmlns:r="http://schemas.openxmlformats.org/officeDocument/2006/relationships" ref="I336" r:id="rId669"/>
    <hyperlink xmlns:r="http://schemas.openxmlformats.org/officeDocument/2006/relationships" ref="K336" r:id="rId670"/>
    <hyperlink xmlns:r="http://schemas.openxmlformats.org/officeDocument/2006/relationships" ref="I337" r:id="rId671"/>
    <hyperlink xmlns:r="http://schemas.openxmlformats.org/officeDocument/2006/relationships" ref="K337" r:id="rId672"/>
    <hyperlink xmlns:r="http://schemas.openxmlformats.org/officeDocument/2006/relationships" ref="I338" r:id="rId673"/>
    <hyperlink xmlns:r="http://schemas.openxmlformats.org/officeDocument/2006/relationships" ref="K338" r:id="rId674"/>
    <hyperlink xmlns:r="http://schemas.openxmlformats.org/officeDocument/2006/relationships" ref="I339" r:id="rId675"/>
    <hyperlink xmlns:r="http://schemas.openxmlformats.org/officeDocument/2006/relationships" ref="K339" r:id="rId6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44" customWidth="1" min="4" max="4"/>
    <col width="15" customWidth="1" min="5" max="5"/>
    <col width="50" customWidth="1" min="6" max="6"/>
    <col width="80" customWidth="1" min="7" max="7"/>
    <col width="22" customWidth="1" min="8" max="8"/>
  </cols>
  <sheetData>
    <row r="1" ht="30" customHeight="1">
      <c r="A1" s="17" t="inlineStr">
        <is>
          <t>Name</t>
        </is>
      </c>
      <c r="B1" s="17" t="inlineStr">
        <is>
          <t>Kind</t>
        </is>
      </c>
      <c r="C1" s="17" t="inlineStr">
        <is>
          <t>Status</t>
        </is>
      </c>
      <c r="D1" s="17" t="inlineStr">
        <is>
          <t>Routes quoted (own UI)</t>
        </is>
      </c>
      <c r="E1" s="17" t="inlineStr">
        <is>
          <t>Bridg venue id</t>
        </is>
      </c>
      <c r="F1" s="17" t="inlineStr">
        <is>
          <t>URL / method</t>
        </is>
      </c>
      <c r="G1" s="17" t="inlineStr">
        <is>
          <t>Reason / notes</t>
        </is>
      </c>
      <c r="H1" s="17" t="inlineStr">
        <is>
          <t>Checked</t>
        </is>
      </c>
    </row>
    <row r="2">
      <c r="A2" s="4" t="inlineStr">
        <is>
          <t>Bridg</t>
        </is>
      </c>
      <c r="B2" s="4" t="inlineStr">
        <is>
          <t>subject</t>
        </is>
      </c>
      <c r="C2" s="4" t="inlineStr">
        <is>
          <t>WORKING</t>
        </is>
      </c>
      <c r="D2" s="4" t="inlineStr">
        <is>
          <t>all 6</t>
        </is>
      </c>
      <c r="F2" s="4" t="inlineStr">
        <is>
          <t>https://bridg.now/swap/</t>
        </is>
      </c>
      <c r="G2" s="23" t="inlineStr">
        <is>
          <t>Per-venue live-quote board + best/fastest fee breakdown; no wallet needed</t>
        </is>
      </c>
    </row>
    <row r="3">
      <c r="A3" s="4" t="inlineStr">
        <is>
          <t>Relay</t>
        </is>
      </c>
      <c r="B3" s="4" t="inlineStr">
        <is>
          <t>venue</t>
        </is>
      </c>
      <c r="C3" s="4" t="inlineStr">
        <is>
          <t>WORKING</t>
        </is>
      </c>
      <c r="D3" s="4" t="inlineStr">
        <is>
          <t>all 6</t>
        </is>
      </c>
      <c r="E3" s="4" t="inlineStr">
        <is>
          <t>relay</t>
        </is>
      </c>
      <c r="F3" s="4" t="inlineStr">
        <is>
          <t>https://relay.link</t>
        </is>
      </c>
      <c r="G3" s="23" t="inlineStr"/>
    </row>
    <row r="4">
      <c r="A4" s="4" t="inlineStr">
        <is>
          <t>deBridge</t>
        </is>
      </c>
      <c r="B4" s="4" t="inlineStr">
        <is>
          <t>venue</t>
        </is>
      </c>
      <c r="C4" s="4" t="inlineStr">
        <is>
          <t>WORKING</t>
        </is>
      </c>
      <c r="D4" s="4" t="inlineStr">
        <is>
          <t>all 6</t>
        </is>
      </c>
      <c r="E4" s="4" t="inlineStr">
        <is>
          <t>debridge</t>
        </is>
      </c>
      <c r="F4" s="4" t="inlineStr">
        <is>
          <t>https://app.debridge.finance</t>
        </is>
      </c>
      <c r="G4" s="23" t="inlineStr"/>
    </row>
    <row r="5">
      <c r="A5" s="4" t="inlineStr">
        <is>
          <t>LI.FI (Jumper)</t>
        </is>
      </c>
      <c r="B5" s="4" t="inlineStr">
        <is>
          <t>venue</t>
        </is>
      </c>
      <c r="C5" s="4" t="inlineStr">
        <is>
          <t>WORKING</t>
        </is>
      </c>
      <c r="D5" s="4" t="inlineStr">
        <is>
          <t>all 6</t>
        </is>
      </c>
      <c r="E5" s="4" t="inlineStr">
        <is>
          <t>lifi</t>
        </is>
      </c>
      <c r="F5" s="4" t="inlineStr">
        <is>
          <t>https://jumper.exchange</t>
        </is>
      </c>
      <c r="G5" s="23" t="inlineStr"/>
    </row>
    <row r="6">
      <c r="A6" s="4" t="inlineStr">
        <is>
          <t>Across</t>
        </is>
      </c>
      <c r="B6" s="4" t="inlineStr">
        <is>
          <t>venue</t>
        </is>
      </c>
      <c r="C6" s="4" t="inlineStr">
        <is>
          <t>WORKING</t>
        </is>
      </c>
      <c r="D6" s="4" t="inlineStr">
        <is>
          <t>all 6</t>
        </is>
      </c>
      <c r="E6" s="4" t="inlineStr">
        <is>
          <t>across</t>
        </is>
      </c>
      <c r="F6" s="4" t="inlineStr">
        <is>
          <t>https://app.across.to</t>
        </is>
      </c>
      <c r="G6" s="23" t="inlineStr"/>
    </row>
    <row r="7">
      <c r="A7" s="4" t="inlineStr">
        <is>
          <t>Mayan</t>
        </is>
      </c>
      <c r="B7" s="4" t="inlineStr">
        <is>
          <t>venue</t>
        </is>
      </c>
      <c r="C7" s="4" t="inlineStr">
        <is>
          <t>WORKING</t>
        </is>
      </c>
      <c r="D7" s="4" t="inlineStr">
        <is>
          <t>all 6</t>
        </is>
      </c>
      <c r="E7" s="4" t="inlineStr">
        <is>
          <t>mayan</t>
        </is>
      </c>
      <c r="F7" s="4" t="inlineStr">
        <is>
          <t>https://swap.mayan.finance</t>
        </is>
      </c>
      <c r="G7" s="23" t="inlineStr"/>
    </row>
    <row r="8">
      <c r="A8" s="4" t="inlineStr">
        <is>
          <t>Allbridge Core</t>
        </is>
      </c>
      <c r="B8" s="4" t="inlineStr">
        <is>
          <t>venue</t>
        </is>
      </c>
      <c r="C8" s="4" t="inlineStr">
        <is>
          <t>PARTIAL</t>
        </is>
      </c>
      <c r="D8" s="4" t="inlineStr">
        <is>
          <t>SOL → ETH, ETH → SOL, SOL → Base, Base → SOL</t>
        </is>
      </c>
      <c r="E8" s="4" t="inlineStr">
        <is>
          <t>allbridge-core</t>
        </is>
      </c>
      <c r="F8" s="4" t="inlineStr"/>
      <c r="G8" s="23" t="inlineStr"/>
    </row>
    <row r="9">
      <c r="A9" s="4" t="inlineStr">
        <is>
          <t>CCTP (via Portal)</t>
        </is>
      </c>
      <c r="B9" s="4" t="inlineStr">
        <is>
          <t>venue</t>
        </is>
      </c>
      <c r="C9" s="4" t="inlineStr">
        <is>
          <t>PARTIAL</t>
        </is>
      </c>
      <c r="D9" s="4" t="inlineStr">
        <is>
          <t>SOL → ETH, ETH → SOL, SOL → Base, Base → SOL</t>
        </is>
      </c>
      <c r="E9" s="4" t="inlineStr">
        <is>
          <t>cctp</t>
        </is>
      </c>
      <c r="F9" s="4" t="inlineStr"/>
      <c r="G9" s="23" t="inlineStr"/>
    </row>
    <row r="10">
      <c r="A10" s="4" t="inlineStr">
        <is>
          <t>Husher</t>
        </is>
      </c>
      <c r="B10" s="4" t="inlineStr">
        <is>
          <t>venue</t>
        </is>
      </c>
      <c r="C10" s="4" t="inlineStr">
        <is>
          <t>WORKING</t>
        </is>
      </c>
      <c r="D10" s="4" t="inlineStr">
        <is>
          <t>all 6</t>
        </is>
      </c>
      <c r="E10" s="4" t="inlineStr">
        <is>
          <t>husher</t>
        </is>
      </c>
      <c r="F10" s="4" t="inlineStr"/>
      <c r="G10" s="23" t="inlineStr"/>
    </row>
    <row r="11">
      <c r="A11" s="4" t="inlineStr">
        <is>
          <t>Layerswap</t>
        </is>
      </c>
      <c r="B11" s="4" t="inlineStr">
        <is>
          <t>venue</t>
        </is>
      </c>
      <c r="C11" s="4" t="inlineStr">
        <is>
          <t>WORKING</t>
        </is>
      </c>
      <c r="D11" s="4" t="inlineStr">
        <is>
          <t>all 6</t>
        </is>
      </c>
      <c r="E11" s="4" t="inlineStr">
        <is>
          <t>layerswap</t>
        </is>
      </c>
      <c r="F11" s="4" t="inlineStr"/>
      <c r="G11" s="23" t="inlineStr"/>
    </row>
    <row r="12">
      <c r="A12" s="4" t="inlineStr">
        <is>
          <t>Meson</t>
        </is>
      </c>
      <c r="B12" s="4" t="inlineStr">
        <is>
          <t>venue</t>
        </is>
      </c>
      <c r="C12" s="4" t="inlineStr">
        <is>
          <t>WORKING</t>
        </is>
      </c>
      <c r="D12" s="4" t="inlineStr">
        <is>
          <t>all 6</t>
        </is>
      </c>
      <c r="E12" s="4" t="inlineStr">
        <is>
          <t>meson</t>
        </is>
      </c>
      <c r="F12" s="4" t="inlineStr"/>
      <c r="G12" s="23" t="inlineStr"/>
    </row>
    <row r="13">
      <c r="A13" s="4" t="inlineStr">
        <is>
          <t>SimpleSwap</t>
        </is>
      </c>
      <c r="B13" s="4" t="inlineStr">
        <is>
          <t>venue</t>
        </is>
      </c>
      <c r="C13" s="4" t="inlineStr">
        <is>
          <t>WORKING</t>
        </is>
      </c>
      <c r="D13" s="4" t="inlineStr">
        <is>
          <t>all 6</t>
        </is>
      </c>
      <c r="E13" s="4" t="inlineStr">
        <is>
          <t>simpleswap</t>
        </is>
      </c>
      <c r="F13" s="4" t="inlineStr"/>
      <c r="G13" s="23" t="inlineStr"/>
    </row>
    <row r="14">
      <c r="A14" s="4" t="inlineStr">
        <is>
          <t>Skip Go</t>
        </is>
      </c>
      <c r="B14" s="4" t="inlineStr">
        <is>
          <t>venue</t>
        </is>
      </c>
      <c r="C14" s="4" t="inlineStr">
        <is>
          <t>PARTIAL</t>
        </is>
      </c>
      <c r="D14" s="4" t="inlineStr">
        <is>
          <t>SOL → ETH, ETH → SOL, SOL → Base, Base → SOL</t>
        </is>
      </c>
      <c r="E14" s="4" t="inlineStr">
        <is>
          <t>skip-go</t>
        </is>
      </c>
      <c r="F14" s="4" t="inlineStr"/>
      <c r="G14" s="23" t="inlineStr"/>
    </row>
    <row r="15">
      <c r="A15" s="4" t="inlineStr">
        <is>
          <t>Symbiosis</t>
        </is>
      </c>
      <c r="B15" s="4" t="inlineStr">
        <is>
          <t>venue</t>
        </is>
      </c>
      <c r="C15" s="4" t="inlineStr">
        <is>
          <t>PARTIAL</t>
        </is>
      </c>
      <c r="D15" s="4" t="inlineStr">
        <is>
          <t>SOL → ETH, ETH → SOL, BSC → SOL, Base → SOL</t>
        </is>
      </c>
      <c r="E15" s="4" t="inlineStr">
        <is>
          <t>symbiosis</t>
        </is>
      </c>
      <c r="F15" s="4" t="inlineStr"/>
      <c r="G15" s="23" t="inlineStr"/>
    </row>
    <row r="16">
      <c r="A16" s="4" t="inlineStr">
        <is>
          <t>Axiom</t>
        </is>
      </c>
      <c r="B16" s="4" t="inlineStr">
        <is>
          <t>platform</t>
        </is>
      </c>
      <c r="C16" s="4" t="inlineStr">
        <is>
          <t>BLOCKED</t>
        </is>
      </c>
      <c r="D16" s="4" t="inlineStr">
        <is>
          <t>none</t>
        </is>
      </c>
      <c r="E16" s="4" t="n"/>
      <c r="F16" s="4" t="inlineStr">
        <is>
          <t>https://axiom.trade/</t>
        </is>
      </c>
      <c r="G16" s="23" t="inlineStr">
        <is>
          <t>bot protection + login required: axiom.trade serves a Cloudflare bot-verification page (HTTP 403) to a fresh browser; its official docs list no bridge/cross-chain transfer feature (only in-wallet Convert/swap and a Hyperliquid perps deposit), and any wallet features need an Axiom account.</t>
        </is>
      </c>
      <c r="H16" s="4" t="inlineStr">
        <is>
          <t>2026-09-23T13:32:00Z</t>
        </is>
      </c>
    </row>
    <row r="17">
      <c r="A17" s="4" t="inlineStr">
        <is>
          <t>Eco</t>
        </is>
      </c>
      <c r="B17" s="4" t="inlineStr">
        <is>
          <t>venue</t>
        </is>
      </c>
      <c r="C17" s="4" t="inlineStr">
        <is>
          <t>BLOCKED</t>
        </is>
      </c>
      <c r="D17" s="4" t="inlineStr">
        <is>
          <t>none</t>
        </is>
      </c>
      <c r="E17" s="4" t="inlineStr">
        <is>
          <t>eco</t>
        </is>
      </c>
      <c r="F17" s="4" t="inlineStr">
        <is>
          <t>https://portal.eco.com/</t>
        </is>
      </c>
      <c r="G17" s="23" t="inlineStr">
        <is>
          <t>Eco Portal (portal.eco.com, Eco's official transfer UI) does not offer Solana or BNB Chain as origin or destination (chains: Arbitrum, Base, Celo, Ethereum, Ink, Optimism, Plasma, Polygon, Sonic, Unichain), so no SOL&lt;-&gt;ETH/BSC/Base USDC route can be quoted there. The UI itself quotes without a wallet for supported chains (e.g. Base-&gt;Ethereum 100 USDC -&gt; 100 USDC).</t>
        </is>
      </c>
      <c r="H17" s="4" t="inlineStr">
        <is>
          <t>2026-09-23T09:27:00Z</t>
        </is>
      </c>
    </row>
    <row r="18">
      <c r="A18" s="4" t="inlineStr">
        <is>
          <t>FOMO</t>
        </is>
      </c>
      <c r="B18" s="4" t="inlineStr">
        <is>
          <t>platform</t>
        </is>
      </c>
      <c r="C18" s="4" t="inlineStr">
        <is>
          <t>BLOCKED</t>
        </is>
      </c>
      <c r="D18" s="4" t="inlineStr">
        <is>
          <t>none</t>
        </is>
      </c>
      <c r="E18" s="4" t="n"/>
      <c r="F18" s="4" t="inlineStr">
        <is>
          <t>https://fomo.family/</t>
        </is>
      </c>
      <c r="G18" s="23" t="inlineStr">
        <is>
          <t>no bridge feature + login required: fomo.family abstracts chains behind a single USD balance (Solana/Base/BNB/Monad, 'no bridges needed'); no cross-chain USDC transfer quote exists, and deposit/withdraw/trade all require creating an account. Ethereum mainnet not supported.</t>
        </is>
      </c>
      <c r="H18" s="4" t="inlineStr">
        <is>
          <t>2026-09-23T13:32:00Z</t>
        </is>
      </c>
    </row>
    <row r="19">
      <c r="A19" s="4" t="inlineStr">
        <is>
          <t>GMGN</t>
        </is>
      </c>
      <c r="B19" s="4" t="inlineStr">
        <is>
          <t>platform</t>
        </is>
      </c>
      <c r="C19" s="4" t="inlineStr">
        <is>
          <t>BLOCKED</t>
        </is>
      </c>
      <c r="D19" s="4" t="inlineStr">
        <is>
          <t>none</t>
        </is>
      </c>
      <c r="E19" s="4" t="n"/>
      <c r="F19" s="4" t="inlineStr">
        <is>
          <t>https://gmgn.ai/</t>
        </is>
      </c>
      <c r="G19" s="23" t="inlineStr">
        <is>
          <t>bot protection: gmgn.ai blocks a fresh browser with a Cloudflare 'you have been blocked' page (HTTP 403); official docs list no cross-chain bridge feature (only same-chain token swaps, which need a connected wallet/login).</t>
        </is>
      </c>
      <c r="H19" s="4" t="inlineStr">
        <is>
          <t>2026-09-23T13:32:00Z</t>
        </is>
      </c>
    </row>
    <row r="20">
      <c r="A20" s="4" t="inlineStr">
        <is>
          <t>NEAR Intents</t>
        </is>
      </c>
      <c r="B20" s="4" t="inlineStr">
        <is>
          <t>venue</t>
        </is>
      </c>
      <c r="C20" s="4" t="inlineStr">
        <is>
          <t>BLOCKED</t>
        </is>
      </c>
      <c r="D20" s="4" t="inlineStr">
        <is>
          <t>none</t>
        </is>
      </c>
      <c r="E20" s="4" t="inlineStr">
        <is>
          <t>near-intents</t>
        </is>
      </c>
      <c r="F20" s="4" t="inlineStr">
        <is>
          <t>https://near.com/swap</t>
        </is>
      </c>
      <c r="G20" s="23" t="inlineStr">
        <is>
          <t>Official NEAR Intents app (app.near-intents.org) is decommissioned and just points to near.com; near.com's swap requires signing in / creating an account (passkey or wallet). The public landing-page demo swap has no chain selector (one unified USDC = Ethereum USDC), so no SOL&lt;-&gt;EVM USDC route can be quoted.</t>
        </is>
      </c>
      <c r="H20" s="4" t="inlineStr">
        <is>
          <t>2026-09-23T09:27:00Z</t>
        </is>
      </c>
    </row>
    <row r="21">
      <c r="A21" s="4" t="inlineStr">
        <is>
          <t>Pump.fun</t>
        </is>
      </c>
      <c r="B21" s="4" t="inlineStr">
        <is>
          <t>platform</t>
        </is>
      </c>
      <c r="C21" s="4" t="inlineStr">
        <is>
          <t>BLOCKED</t>
        </is>
      </c>
      <c r="D21" s="4" t="inlineStr">
        <is>
          <t>none</t>
        </is>
      </c>
      <c r="E21" s="4" t="n"/>
      <c r="F21" s="4" t="inlineStr">
        <is>
          <t>https://pump.fun/</t>
        </is>
      </c>
      <c r="G21" s="23" t="inlineStr">
        <is>
          <t>Solana-only + login required: no general bridge; the only cross-chain feature is a MoonPay 'Cross Chain Deposit' into the user's own Pump.fun (Solana) account, which needs sign-in (and accepting the ToS modal). SOL-&gt;EVM directions are not offered at all.</t>
        </is>
      </c>
      <c r="H21" s="4" t="inlineStr">
        <is>
          <t>2026-09-23T13:32:00Z</t>
        </is>
      </c>
    </row>
    <row r="22">
      <c r="A22" s="4" t="inlineStr">
        <is>
          <t>Rhino.fi</t>
        </is>
      </c>
      <c r="B22" s="4" t="inlineStr">
        <is>
          <t>venue</t>
        </is>
      </c>
      <c r="C22" s="4" t="inlineStr">
        <is>
          <t>BLOCKED</t>
        </is>
      </c>
      <c r="D22" s="4" t="inlineStr">
        <is>
          <t>none</t>
        </is>
      </c>
      <c r="E22" s="4" t="inlineStr">
        <is>
          <t>rhino</t>
        </is>
      </c>
      <c r="F22" s="4" t="inlineStr">
        <is>
          <t>https://app.rhino.fi/bridge?token=USDC&amp;chainIn=SOLANA&amp;chainOut=ETHEREUM</t>
        </is>
      </c>
      <c r="G22" s="23" t="inlineStr">
        <is>
          <t>No public web UI: app.rhino.fi redirects to rhino.fi/b2c-app-deprecation (retail app deprecated Aug 2026; B2B/Console only, requires an account)</t>
        </is>
      </c>
      <c r="H22" s="4" t="inlineStr">
        <is>
          <t>2026-09-23T09:22:44Z</t>
        </is>
      </c>
    </row>
  </sheetData>
  <conditionalFormatting sqref="C2:C22">
    <cfRule type="cellIs" priority="1" operator="equal" dxfId="2">
      <formula>"BLOCKED"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6" customWidth="1" min="4" max="4"/>
    <col width="9" customWidth="1" min="5" max="5"/>
    <col width="12" customWidth="1" min="6" max="6"/>
    <col width="25" customWidth="1" min="7" max="7"/>
    <col width="25" customWidth="1" min="8" max="8"/>
    <col width="25" customWidth="1" min="9" max="9"/>
    <col width="11" customWidth="1" min="10" max="10"/>
    <col width="13" customWidth="1" min="11" max="11"/>
    <col width="11" customWidth="1" min="12" max="12"/>
    <col width="10" customWidth="1" min="13" max="13"/>
    <col width="60" customWidth="1" min="14" max="14"/>
    <col width="50" customWidth="1" min="15" max="15"/>
  </cols>
  <sheetData>
    <row r="1" ht="30" customHeight="1">
      <c r="A1" s="17" t="inlineStr">
        <is>
          <t>Run ID</t>
        </is>
      </c>
      <c r="B1" s="17" t="inlineStr">
        <is>
          <t>Route</t>
        </is>
      </c>
      <c r="C1" s="17" t="inlineStr">
        <is>
          <t>Sample</t>
        </is>
      </c>
      <c r="D1" s="17" t="inlineStr">
        <is>
          <t>Site</t>
        </is>
      </c>
      <c r="E1" s="17" t="inlineStr">
        <is>
          <t>Kind</t>
        </is>
      </c>
      <c r="F1" s="17" t="inlineStr">
        <is>
          <t>Status</t>
        </is>
      </c>
      <c r="G1" s="17" t="inlineStr">
        <is>
          <t>requestStart (UTC)</t>
        </is>
      </c>
      <c r="H1" s="17" t="inlineStr">
        <is>
          <t>quoteVisible (UTC)</t>
        </is>
      </c>
      <c r="I1" s="17" t="inlineStr">
        <is>
          <t>screenshotAt (UTC)</t>
        </is>
      </c>
      <c r="J1" s="17" t="inlineStr">
        <is>
          <t>Δ vs Bridg (s)</t>
        </is>
      </c>
      <c r="K1" s="17" t="inlineStr">
        <is>
          <t>Out (USDC)</t>
        </is>
      </c>
      <c r="L1" s="17" t="inlineStr">
        <is>
          <t>Fee on top</t>
        </is>
      </c>
      <c r="M1" s="17" t="inlineStr">
        <is>
          <t>Fee token</t>
        </is>
      </c>
      <c r="N1" s="17" t="inlineStr">
        <is>
          <t>Detail</t>
        </is>
      </c>
      <c r="O1" s="17" t="inlineStr">
        <is>
          <t>Page URL</t>
        </is>
      </c>
    </row>
    <row r="2">
      <c r="A2" s="4" t="inlineStr">
        <is>
          <t>b7ce094d17c1</t>
        </is>
      </c>
      <c r="B2" s="4" t="inlineStr">
        <is>
          <t>SOL-&gt;ETH</t>
        </is>
      </c>
      <c r="C2" s="4" t="n">
        <v>1</v>
      </c>
      <c r="D2" s="4" t="inlineStr">
        <is>
          <t>Bridg</t>
        </is>
      </c>
      <c r="E2" s="4" t="inlineStr">
        <is>
          <t>bridg</t>
        </is>
      </c>
      <c r="F2" s="4" t="inlineStr">
        <is>
          <t>OK</t>
        </is>
      </c>
      <c r="G2" s="4" t="inlineStr">
        <is>
          <t>2026-09-23T08:49:32.082Z</t>
        </is>
      </c>
      <c r="H2" s="4" t="inlineStr">
        <is>
          <t>2026-09-23T08:49:32.975Z</t>
        </is>
      </c>
      <c r="I2" s="4" t="inlineStr">
        <is>
          <t>2026-09-23T08:49:35.119Z</t>
        </is>
      </c>
      <c r="J2" s="20" t="n"/>
      <c r="K2" s="18" t="n">
        <v>99.940005</v>
      </c>
      <c r="L2" s="20" t="n"/>
      <c r="M2" s="4" t="n"/>
      <c r="N2" s="4" t="inlineStr">
        <is>
          <t>best via Across; 16 venues priced; fees [['Across fee', 0.009996], ['Bridg fee', 0.05]]</t>
        </is>
      </c>
      <c r="O2" s="4" t="inlineStr">
        <is>
          <t>https://bridg.now/swap/</t>
        </is>
      </c>
    </row>
    <row r="3">
      <c r="A3" s="4" t="inlineStr">
        <is>
          <t>b7ce094d17c1</t>
        </is>
      </c>
      <c r="B3" s="4" t="inlineStr">
        <is>
          <t>SOL-&gt;ETH</t>
        </is>
      </c>
      <c r="C3" s="4" t="n">
        <v>1</v>
      </c>
      <c r="D3" s="4" t="inlineStr">
        <is>
          <t>Relay</t>
        </is>
      </c>
      <c r="E3" s="4" t="inlineStr">
        <is>
          <t>venue</t>
        </is>
      </c>
      <c r="F3" s="4" t="inlineStr">
        <is>
          <t>OK</t>
        </is>
      </c>
      <c r="G3" s="4" t="inlineStr">
        <is>
          <t>2026-09-23T08:49:32.082Z</t>
        </is>
      </c>
      <c r="H3" s="4" t="inlineStr">
        <is>
          <t>2026-09-23T08:49:33.507Z</t>
        </is>
      </c>
      <c r="I3" s="4" t="inlineStr">
        <is>
          <t>2026-09-23T08:49:35.969Z</t>
        </is>
      </c>
      <c r="J3" s="20" t="n">
        <v>0.532</v>
      </c>
      <c r="K3" s="18" t="n">
        <v>99.786475</v>
      </c>
      <c r="L3" s="20" t="n"/>
      <c r="M3" s="4" t="n"/>
      <c r="N3" s="4" t="inlineStr">
        <is>
          <t>rate=0.9978</t>
        </is>
      </c>
      <c r="O3" s="4" t="inlineStr">
        <is>
          <t>https://relay.link/bridge/ethereum?fromChainId=792703809&amp;fromCurrency=EPjFWdd5AufqSSqeM2qN1xzybapC8G4wEGGkZwyTDt1v&amp;toCurrency=0xa0b86991c6218b36c1d19d4a2e9eb0ce3606eb48</t>
        </is>
      </c>
    </row>
    <row r="4">
      <c r="A4" s="4" t="inlineStr">
        <is>
          <t>b7ce094d17c1</t>
        </is>
      </c>
      <c r="B4" s="4" t="inlineStr">
        <is>
          <t>SOL-&gt;ETH</t>
        </is>
      </c>
      <c r="C4" s="4" t="n">
        <v>1</v>
      </c>
      <c r="D4" s="4" t="inlineStr">
        <is>
          <t>Across</t>
        </is>
      </c>
      <c r="E4" s="4" t="inlineStr">
        <is>
          <t>venue</t>
        </is>
      </c>
      <c r="F4" s="4" t="inlineStr">
        <is>
          <t>OK</t>
        </is>
      </c>
      <c r="G4" s="4" t="inlineStr">
        <is>
          <t>2026-09-23T08:49:32.082Z</t>
        </is>
      </c>
      <c r="H4" s="4" t="inlineStr">
        <is>
          <t>2026-09-23T08:49:33.273Z</t>
        </is>
      </c>
      <c r="I4" s="4" t="inlineStr">
        <is>
          <t>2026-09-23T08:49:35.396Z</t>
        </is>
      </c>
      <c r="J4" s="20" t="n">
        <v>0.298</v>
      </c>
      <c r="K4" s="18" t="n">
        <v>99.98999999999999</v>
      </c>
      <c r="L4" s="20" t="n"/>
      <c r="M4" s="4" t="n"/>
      <c r="N4" s="4" t="inlineStr"/>
      <c r="O4" s="4" t="inlineStr">
        <is>
          <t>https://across.to/?from=solana&amp;to=ethereum&amp;inputToken=USDC&amp;outputToken=USDC</t>
        </is>
      </c>
    </row>
    <row r="5">
      <c r="A5" s="4" t="inlineStr">
        <is>
          <t>b7ce094d17c1</t>
        </is>
      </c>
      <c r="B5" s="4" t="inlineStr">
        <is>
          <t>SOL-&gt;ETH</t>
        </is>
      </c>
      <c r="C5" s="4" t="n">
        <v>1</v>
      </c>
      <c r="D5" s="4" t="inlineStr">
        <is>
          <t>Mayan</t>
        </is>
      </c>
      <c r="E5" s="4" t="inlineStr">
        <is>
          <t>venue</t>
        </is>
      </c>
      <c r="F5" s="4" t="inlineStr">
        <is>
          <t>OK</t>
        </is>
      </c>
      <c r="G5" s="4" t="inlineStr">
        <is>
          <t>2026-09-23T08:49:32.081Z</t>
        </is>
      </c>
      <c r="H5" s="4" t="inlineStr">
        <is>
          <t>2026-09-23T08:49:33.230Z</t>
        </is>
      </c>
      <c r="I5" s="4" t="inlineStr">
        <is>
          <t>2026-09-23T08:49:35.352Z</t>
        </is>
      </c>
      <c r="J5" s="20" t="n">
        <v>0.255</v>
      </c>
      <c r="K5" s="18" t="n">
        <v>99.0274</v>
      </c>
      <c r="L5" s="20" t="n"/>
      <c r="M5" s="4" t="n"/>
      <c r="N5" s="4" t="inlineStr">
        <is>
          <t>mode=Swift v2; eta=3s; display_decimals=4</t>
        </is>
      </c>
      <c r="O5" s="4" t="inlineStr">
        <is>
          <t>https://swap.mayan.finance/</t>
        </is>
      </c>
    </row>
    <row r="6">
      <c r="A6" s="4" t="inlineStr">
        <is>
          <t>b7ce094d17c1</t>
        </is>
      </c>
      <c r="B6" s="4" t="inlineStr">
        <is>
          <t>SOL-&gt;ETH</t>
        </is>
      </c>
      <c r="C6" s="4" t="n">
        <v>1</v>
      </c>
      <c r="D6" s="4" t="inlineStr">
        <is>
          <t>LI.FI (Jumper)</t>
        </is>
      </c>
      <c r="E6" s="4" t="inlineStr">
        <is>
          <t>venue</t>
        </is>
      </c>
      <c r="F6" s="4" t="inlineStr">
        <is>
          <t>OK</t>
        </is>
      </c>
      <c r="G6" s="4" t="inlineStr">
        <is>
          <t>2026-09-23T08:49:32.083Z</t>
        </is>
      </c>
      <c r="H6" s="4" t="inlineStr">
        <is>
          <t>2026-09-23T08:49:35.557Z</t>
        </is>
      </c>
      <c r="I6" s="4" t="inlineStr">
        <is>
          <t>2026-09-23T08:49:37.781Z</t>
        </is>
      </c>
      <c r="J6" s="20" t="n">
        <v>2.582</v>
      </c>
      <c r="K6" s="18" t="n">
        <v>99.786475</v>
      </c>
      <c r="L6" s="20" t="n"/>
      <c r="M6" s="4" t="n"/>
      <c r="N6" s="4" t="inlineStr">
        <is>
          <t>best_return_venue=Relay; max_out=99.99</t>
        </is>
      </c>
      <c r="O6" s="4" t="inlineStr">
        <is>
          <t>https://jumper.xyz/?fromChain=1151111081099710&amp;fromToken=EPjFWdd5AufqSSqeM2qN1xzybapC8G4wEGGkZwyTDt1v&amp;toChain=1&amp;toToken=0xa0b86991c6218b36c1d19d4a2e9eb0ce3606eb48</t>
        </is>
      </c>
    </row>
    <row r="7">
      <c r="A7" s="4" t="inlineStr">
        <is>
          <t>b7ce094d17c1</t>
        </is>
      </c>
      <c r="B7" s="4" t="inlineStr">
        <is>
          <t>SOL-&gt;ETH</t>
        </is>
      </c>
      <c r="C7" s="4" t="n">
        <v>1</v>
      </c>
      <c r="D7" s="4" t="inlineStr">
        <is>
          <t>deBridge</t>
        </is>
      </c>
      <c r="E7" s="4" t="inlineStr">
        <is>
          <t>venue</t>
        </is>
      </c>
      <c r="F7" s="4" t="inlineStr">
        <is>
          <t>OK</t>
        </is>
      </c>
      <c r="G7" s="4" t="inlineStr">
        <is>
          <t>2026-09-23T08:49:32.082Z</t>
        </is>
      </c>
      <c r="H7" s="4" t="inlineStr">
        <is>
          <t>2026-09-23T08:49:33.527Z</t>
        </is>
      </c>
      <c r="I7" s="4" t="inlineStr">
        <is>
          <t>2026-09-23T08:49:35.969Z</t>
        </is>
      </c>
      <c r="J7" s="20" t="n">
        <v>0.552</v>
      </c>
      <c r="K7" s="18" t="n">
        <v>99.920018</v>
      </c>
      <c r="L7" s="20" t="n">
        <v>1.2928</v>
      </c>
      <c r="M7" s="4" t="inlineStr">
        <is>
          <t>USDC</t>
        </is>
      </c>
      <c r="N7" s="4" t="inlineStr">
        <is>
          <t>fixed_fee_on_top=1.2928; fixed_fee_token=USDC</t>
        </is>
      </c>
      <c r="O7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">
      <c r="A8" s="4" t="inlineStr">
        <is>
          <t>bd650a4c2241</t>
        </is>
      </c>
      <c r="B8" s="4" t="inlineStr">
        <is>
          <t>ETH-&gt;SOL</t>
        </is>
      </c>
      <c r="C8" s="4" t="n">
        <v>1</v>
      </c>
      <c r="D8" s="4" t="inlineStr">
        <is>
          <t>Bridg</t>
        </is>
      </c>
      <c r="E8" s="4" t="inlineStr">
        <is>
          <t>bridg</t>
        </is>
      </c>
      <c r="F8" s="4" t="inlineStr">
        <is>
          <t>OK</t>
        </is>
      </c>
      <c r="G8" s="4" t="inlineStr">
        <is>
          <t>2026-09-23T08:49:56.913Z</t>
        </is>
      </c>
      <c r="H8" s="4" t="inlineStr">
        <is>
          <t>2026-09-23T08:49:57.799Z</t>
        </is>
      </c>
      <c r="I8" s="4" t="inlineStr">
        <is>
          <t>2026-09-23T08:50:01.456Z</t>
        </is>
      </c>
      <c r="J8" s="20" t="n"/>
      <c r="K8" s="18" t="n">
        <v>99.85005</v>
      </c>
      <c r="L8" s="20" t="n"/>
      <c r="M8" s="4" t="n"/>
      <c r="N8" s="4" t="inlineStr">
        <is>
          <t>best via Allbridge Core; 15 venues priced; fees [['Allbridge Core fee', 0.099951], ['Bridg fee', 0.05]]</t>
        </is>
      </c>
      <c r="O8" s="4" t="inlineStr">
        <is>
          <t>https://bridg.now/swap/</t>
        </is>
      </c>
    </row>
    <row r="9">
      <c r="A9" s="4" t="inlineStr">
        <is>
          <t>bd650a4c2241</t>
        </is>
      </c>
      <c r="B9" s="4" t="inlineStr">
        <is>
          <t>ETH-&gt;SOL</t>
        </is>
      </c>
      <c r="C9" s="4" t="n">
        <v>1</v>
      </c>
      <c r="D9" s="4" t="inlineStr">
        <is>
          <t>Relay</t>
        </is>
      </c>
      <c r="E9" s="4" t="inlineStr">
        <is>
          <t>venue</t>
        </is>
      </c>
      <c r="F9" s="4" t="inlineStr">
        <is>
          <t>OK</t>
        </is>
      </c>
      <c r="G9" s="4" t="inlineStr">
        <is>
          <t>2026-09-23T08:49:56.914Z</t>
        </is>
      </c>
      <c r="H9" s="4" t="inlineStr">
        <is>
          <t>2026-09-23T08:49:58.351Z</t>
        </is>
      </c>
      <c r="I9" s="4" t="inlineStr">
        <is>
          <t>2026-09-23T08:50:00.542Z</t>
        </is>
      </c>
      <c r="J9" s="20" t="n">
        <v>0.552</v>
      </c>
      <c r="K9" s="18" t="n">
        <v>99.945561</v>
      </c>
      <c r="L9" s="20" t="n"/>
      <c r="M9" s="4" t="n"/>
      <c r="N9" s="4" t="inlineStr">
        <is>
          <t>rate=0.9994</t>
        </is>
      </c>
      <c r="O9" s="4" t="inlineStr">
        <is>
          <t>https://relay.link/bridge/solana?fromChainId=1&amp;fromCurrency=0xa0b86991c6218b36c1d19d4a2e9eb0ce3606eb48&amp;toCurrency=EPjFWdd5AufqSSqeM2qN1xzybapC8G4wEGGkZwyTDt1v</t>
        </is>
      </c>
    </row>
    <row r="10">
      <c r="A10" s="4" t="inlineStr">
        <is>
          <t>bd650a4c2241</t>
        </is>
      </c>
      <c r="B10" s="4" t="inlineStr">
        <is>
          <t>ETH-&gt;SOL</t>
        </is>
      </c>
      <c r="C10" s="4" t="n">
        <v>1</v>
      </c>
      <c r="D10" s="4" t="inlineStr">
        <is>
          <t>Across</t>
        </is>
      </c>
      <c r="E10" s="4" t="inlineStr">
        <is>
          <t>venue</t>
        </is>
      </c>
      <c r="F10" s="4" t="inlineStr">
        <is>
          <t>OK</t>
        </is>
      </c>
      <c r="G10" s="4" t="inlineStr">
        <is>
          <t>2026-09-23T08:49:56.914Z</t>
        </is>
      </c>
      <c r="H10" s="4" t="inlineStr">
        <is>
          <t>2026-09-23T08:49:57.874Z</t>
        </is>
      </c>
      <c r="I10" s="4" t="inlineStr">
        <is>
          <t>2026-09-23T08:50:00.000Z</t>
        </is>
      </c>
      <c r="J10" s="20" t="n">
        <v>0.075</v>
      </c>
      <c r="K10" s="18" t="n">
        <v>99.98999999999999</v>
      </c>
      <c r="L10" s="20" t="n"/>
      <c r="M10" s="4" t="n"/>
      <c r="N10" s="4" t="inlineStr"/>
      <c r="O10" s="4" t="inlineStr">
        <is>
          <t>https://across.to/?from=ethereum&amp;to=solana&amp;inputToken=USDC&amp;outputToken=USDC</t>
        </is>
      </c>
    </row>
    <row r="11">
      <c r="A11" s="4" t="inlineStr">
        <is>
          <t>bd650a4c2241</t>
        </is>
      </c>
      <c r="B11" s="4" t="inlineStr">
        <is>
          <t>ETH-&gt;SOL</t>
        </is>
      </c>
      <c r="C11" s="4" t="n">
        <v>1</v>
      </c>
      <c r="D11" s="4" t="inlineStr">
        <is>
          <t>Mayan</t>
        </is>
      </c>
      <c r="E11" s="4" t="inlineStr">
        <is>
          <t>venue</t>
        </is>
      </c>
      <c r="F11" s="4" t="inlineStr">
        <is>
          <t>OK</t>
        </is>
      </c>
      <c r="G11" s="4" t="inlineStr">
        <is>
          <t>2026-09-23T08:49:56.913Z</t>
        </is>
      </c>
      <c r="H11" s="4" t="inlineStr">
        <is>
          <t>2026-09-23T08:49:58.050Z</t>
        </is>
      </c>
      <c r="I11" s="4" t="inlineStr">
        <is>
          <t>2026-09-23T08:50:00.175Z</t>
        </is>
      </c>
      <c r="J11" s="20" t="n">
        <v>0.251</v>
      </c>
      <c r="K11" s="18" t="n">
        <v>99.51900000000001</v>
      </c>
      <c r="L11" s="20" t="n"/>
      <c r="M11" s="4" t="n"/>
      <c r="N11" s="4" t="inlineStr">
        <is>
          <t>mode=Swift v2; eta=3s; display_decimals=3</t>
        </is>
      </c>
      <c r="O11" s="4" t="inlineStr">
        <is>
          <t>https://swap.mayan.finance/</t>
        </is>
      </c>
    </row>
    <row r="12">
      <c r="A12" s="4" t="inlineStr">
        <is>
          <t>bd650a4c2241</t>
        </is>
      </c>
      <c r="B12" s="4" t="inlineStr">
        <is>
          <t>ETH-&gt;SOL</t>
        </is>
      </c>
      <c r="C12" s="4" t="n">
        <v>1</v>
      </c>
      <c r="D12" s="4" t="inlineStr">
        <is>
          <t>LI.FI (Jumper)</t>
        </is>
      </c>
      <c r="E12" s="4" t="inlineStr">
        <is>
          <t>venue</t>
        </is>
      </c>
      <c r="F12" s="4" t="inlineStr">
        <is>
          <t>OK</t>
        </is>
      </c>
      <c r="G12" s="4" t="inlineStr">
        <is>
          <t>2026-09-23T08:49:56.915Z</t>
        </is>
      </c>
      <c r="H12" s="4" t="inlineStr">
        <is>
          <t>2026-09-23T08:49:59.708Z</t>
        </is>
      </c>
      <c r="I12" s="4" t="inlineStr">
        <is>
          <t>2026-09-23T08:50:01.723Z</t>
        </is>
      </c>
      <c r="J12" s="20" t="n">
        <v>1.909</v>
      </c>
      <c r="K12" s="18" t="n">
        <v>99.945561</v>
      </c>
      <c r="L12" s="20" t="n"/>
      <c r="M12" s="4" t="n"/>
      <c r="N12" s="4" t="inlineStr">
        <is>
          <t>best_return_venue=Relay; max_out=100.0</t>
        </is>
      </c>
      <c r="O12" s="4" t="inlineStr">
        <is>
          <t>https://jumper.xyz/?fromChain=1&amp;fromToken=0xa0b86991c6218b36c1d19d4a2e9eb0ce3606eb48&amp;toChain=1151111081099710&amp;toToken=EPjFWdd5AufqSSqeM2qN1xzybapC8G4wEGGkZwyTDt1v</t>
        </is>
      </c>
    </row>
    <row r="13">
      <c r="A13" s="4" t="inlineStr">
        <is>
          <t>bd650a4c2241</t>
        </is>
      </c>
      <c r="B13" s="4" t="inlineStr">
        <is>
          <t>ETH-&gt;SOL</t>
        </is>
      </c>
      <c r="C13" s="4" t="n">
        <v>1</v>
      </c>
      <c r="D13" s="4" t="inlineStr">
        <is>
          <t>deBridge</t>
        </is>
      </c>
      <c r="E13" s="4" t="inlineStr">
        <is>
          <t>venue</t>
        </is>
      </c>
      <c r="F13" s="4" t="inlineStr">
        <is>
          <t>OK</t>
        </is>
      </c>
      <c r="G13" s="4" t="inlineStr">
        <is>
          <t>2026-09-23T08:49:56.914Z</t>
        </is>
      </c>
      <c r="H13" s="4" t="inlineStr">
        <is>
          <t>2026-09-23T08:49:58.359Z</t>
        </is>
      </c>
      <c r="I13" s="4" t="inlineStr">
        <is>
          <t>2026-09-23T08:50:00.541Z</t>
        </is>
      </c>
      <c r="J13" s="20" t="n">
        <v>0.5600000000000001</v>
      </c>
      <c r="K13" s="18" t="n">
        <v>99.920018</v>
      </c>
      <c r="L13" s="20" t="n">
        <v>1.1553</v>
      </c>
      <c r="M13" s="4" t="inlineStr">
        <is>
          <t>USDC</t>
        </is>
      </c>
      <c r="N13" s="4" t="inlineStr">
        <is>
          <t>fixed_fee_on_top=1.1553; fixed_fee_token=USDC</t>
        </is>
      </c>
      <c r="O13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4">
      <c r="A14" s="4" t="inlineStr">
        <is>
          <t>e4dfc2fcbd99</t>
        </is>
      </c>
      <c r="B14" s="4" t="inlineStr">
        <is>
          <t>SOL-&gt;BSC</t>
        </is>
      </c>
      <c r="C14" s="4" t="n">
        <v>1</v>
      </c>
      <c r="D14" s="4" t="inlineStr">
        <is>
          <t>Bridg</t>
        </is>
      </c>
      <c r="E14" s="4" t="inlineStr">
        <is>
          <t>bridg</t>
        </is>
      </c>
      <c r="F14" s="4" t="inlineStr">
        <is>
          <t>OK</t>
        </is>
      </c>
      <c r="G14" s="4" t="inlineStr">
        <is>
          <t>2026-09-23T08:50:23.397Z</t>
        </is>
      </c>
      <c r="H14" s="4" t="inlineStr">
        <is>
          <t>2026-09-23T08:50:24.284Z</t>
        </is>
      </c>
      <c r="I14" s="4" t="inlineStr">
        <is>
          <t>2026-09-23T08:50:27.839Z</t>
        </is>
      </c>
      <c r="J14" s="20" t="n"/>
      <c r="K14" s="18" t="n">
        <v>99.87003900000001</v>
      </c>
      <c r="L14" s="20" t="n"/>
      <c r="M14" s="4" t="n"/>
      <c r="N14" s="4" t="inlineStr">
        <is>
          <t>best via Rhino; 9 venues priced; fees [['Rhino fee', 0.079961], ['Bridg fee', 0.05]]</t>
        </is>
      </c>
      <c r="O14" s="4" t="inlineStr">
        <is>
          <t>https://bridg.now/swap/</t>
        </is>
      </c>
    </row>
    <row r="15">
      <c r="A15" s="4" t="inlineStr">
        <is>
          <t>e4dfc2fcbd99</t>
        </is>
      </c>
      <c r="B15" s="4" t="inlineStr">
        <is>
          <t>SOL-&gt;BSC</t>
        </is>
      </c>
      <c r="C15" s="4" t="n">
        <v>1</v>
      </c>
      <c r="D15" s="4" t="inlineStr">
        <is>
          <t>Relay</t>
        </is>
      </c>
      <c r="E15" s="4" t="inlineStr">
        <is>
          <t>venue</t>
        </is>
      </c>
      <c r="F15" s="4" t="inlineStr">
        <is>
          <t>OK</t>
        </is>
      </c>
      <c r="G15" s="4" t="inlineStr">
        <is>
          <t>2026-09-23T08:50:23.397Z</t>
        </is>
      </c>
      <c r="H15" s="4" t="inlineStr">
        <is>
          <t>2026-09-23T08:50:24.821Z</t>
        </is>
      </c>
      <c r="I15" s="4" t="inlineStr">
        <is>
          <t>2026-09-23T08:50:27.230Z</t>
        </is>
      </c>
      <c r="J15" s="20" t="n">
        <v>0.537</v>
      </c>
      <c r="K15" s="18" t="n">
        <v>99.64353699999999</v>
      </c>
      <c r="L15" s="20" t="n"/>
      <c r="M15" s="4" t="n"/>
      <c r="N15" s="4" t="inlineStr">
        <is>
          <t>rate=0.9964</t>
        </is>
      </c>
      <c r="O15" s="4" t="inlineStr">
        <is>
          <t>https://relay.link/bridge/bsc?fromChainId=792703809&amp;fromCurrency=EPjFWdd5AufqSSqeM2qN1xzybapC8G4wEGGkZwyTDt1v&amp;toCurrency=0x8ac76a51cc950d9822d68b83fe1ad97b32cd580d</t>
        </is>
      </c>
    </row>
    <row r="16">
      <c r="A16" s="4" t="inlineStr">
        <is>
          <t>e4dfc2fcbd99</t>
        </is>
      </c>
      <c r="B16" s="4" t="inlineStr">
        <is>
          <t>SOL-&gt;BSC</t>
        </is>
      </c>
      <c r="C16" s="4" t="n">
        <v>1</v>
      </c>
      <c r="D16" s="4" t="inlineStr">
        <is>
          <t>Across</t>
        </is>
      </c>
      <c r="E16" s="4" t="inlineStr">
        <is>
          <t>venue</t>
        </is>
      </c>
      <c r="F16" s="4" t="inlineStr">
        <is>
          <t>OK</t>
        </is>
      </c>
      <c r="G16" s="4" t="inlineStr">
        <is>
          <t>2026-09-23T08:50:23.397Z</t>
        </is>
      </c>
      <c r="H16" s="4" t="inlineStr">
        <is>
          <t>2026-09-23T08:50:24.595Z</t>
        </is>
      </c>
      <c r="I16" s="4" t="inlineStr">
        <is>
          <t>2026-09-23T08:50:26.716Z</t>
        </is>
      </c>
      <c r="J16" s="20" t="n">
        <v>0.311</v>
      </c>
      <c r="K16" s="18" t="n">
        <v>99.982012</v>
      </c>
      <c r="L16" s="20" t="n"/>
      <c r="M16" s="4" t="n"/>
      <c r="N16" s="4" t="inlineStr"/>
      <c r="O16" s="4" t="inlineStr">
        <is>
          <t>https://across.to/?from=solana&amp;to=bsc&amp;inputToken=USDC&amp;outputToken=USDC</t>
        </is>
      </c>
    </row>
    <row r="17">
      <c r="A17" s="4" t="inlineStr">
        <is>
          <t>e4dfc2fcbd99</t>
        </is>
      </c>
      <c r="B17" s="4" t="inlineStr">
        <is>
          <t>SOL-&gt;BSC</t>
        </is>
      </c>
      <c r="C17" s="4" t="n">
        <v>1</v>
      </c>
      <c r="D17" s="4" t="inlineStr">
        <is>
          <t>Mayan</t>
        </is>
      </c>
      <c r="E17" s="4" t="inlineStr">
        <is>
          <t>venue</t>
        </is>
      </c>
      <c r="F17" s="4" t="inlineStr">
        <is>
          <t>OK</t>
        </is>
      </c>
      <c r="G17" s="4" t="inlineStr">
        <is>
          <t>2026-09-23T08:50:23.396Z</t>
        </is>
      </c>
      <c r="H17" s="4" t="inlineStr">
        <is>
          <t>2026-09-23T08:50:24.523Z</t>
        </is>
      </c>
      <c r="I17" s="4" t="inlineStr">
        <is>
          <t>2026-09-23T08:50:26.639Z</t>
        </is>
      </c>
      <c r="J17" s="20" t="n">
        <v>0.239</v>
      </c>
      <c r="K17" s="18" t="n">
        <v>99.93000000000001</v>
      </c>
      <c r="L17" s="20" t="n"/>
      <c r="M17" s="4" t="n"/>
      <c r="N17" s="4" t="inlineStr">
        <is>
          <t>mode=Swift v2; eta=3s; display_decimals=2</t>
        </is>
      </c>
      <c r="O17" s="4" t="inlineStr">
        <is>
          <t>https://swap.mayan.finance/</t>
        </is>
      </c>
    </row>
    <row r="18">
      <c r="A18" s="4" t="inlineStr">
        <is>
          <t>e4dfc2fcbd99</t>
        </is>
      </c>
      <c r="B18" s="4" t="inlineStr">
        <is>
          <t>SOL-&gt;BSC</t>
        </is>
      </c>
      <c r="C18" s="4" t="n">
        <v>1</v>
      </c>
      <c r="D18" s="4" t="inlineStr">
        <is>
          <t>LI.FI (Jumper)</t>
        </is>
      </c>
      <c r="E18" s="4" t="inlineStr">
        <is>
          <t>venue</t>
        </is>
      </c>
      <c r="F18" s="4" t="inlineStr">
        <is>
          <t>OK</t>
        </is>
      </c>
      <c r="G18" s="4" t="inlineStr">
        <is>
          <t>2026-09-23T08:50:23.398Z</t>
        </is>
      </c>
      <c r="H18" s="4" t="inlineStr">
        <is>
          <t>2026-09-23T08:50:25.004Z</t>
        </is>
      </c>
      <c r="I18" s="4" t="inlineStr">
        <is>
          <t>2026-09-23T08:50:27.205Z</t>
        </is>
      </c>
      <c r="J18" s="20" t="n">
        <v>0.72</v>
      </c>
      <c r="K18" s="18" t="n">
        <v>99.930539</v>
      </c>
      <c r="L18" s="20" t="n"/>
      <c r="M18" s="4" t="n"/>
      <c r="N18" s="4" t="inlineStr">
        <is>
          <t>best_return_venue=Mayan (Swift); max_out=99.930539</t>
        </is>
      </c>
      <c r="O18" s="4" t="inlineStr">
        <is>
          <t>https://jumper.xyz/?fromChain=1151111081099710&amp;fromToken=EPjFWdd5AufqSSqeM2qN1xzybapC8G4wEGGkZwyTDt1v&amp;toChain=56&amp;toToken=0x8ac76a51cc950d9822d68b83fe1ad97b32cd580d</t>
        </is>
      </c>
    </row>
    <row r="19">
      <c r="A19" s="4" t="inlineStr">
        <is>
          <t>e4dfc2fcbd99</t>
        </is>
      </c>
      <c r="B19" s="4" t="inlineStr">
        <is>
          <t>SOL-&gt;BSC</t>
        </is>
      </c>
      <c r="C19" s="4" t="n">
        <v>1</v>
      </c>
      <c r="D19" s="4" t="inlineStr">
        <is>
          <t>deBridge</t>
        </is>
      </c>
      <c r="E19" s="4" t="inlineStr">
        <is>
          <t>venue</t>
        </is>
      </c>
      <c r="F19" s="4" t="inlineStr">
        <is>
          <t>OK</t>
        </is>
      </c>
      <c r="G19" s="4" t="inlineStr">
        <is>
          <t>2026-09-23T08:50:23.397Z</t>
        </is>
      </c>
      <c r="H19" s="4" t="inlineStr">
        <is>
          <t>2026-09-23T08:50:24.838Z</t>
        </is>
      </c>
      <c r="I19" s="4" t="inlineStr">
        <is>
          <t>2026-09-23T08:50:27.232Z</t>
        </is>
      </c>
      <c r="J19" s="20" t="n">
        <v>0.554</v>
      </c>
      <c r="K19" s="18" t="n">
        <v>99.920016</v>
      </c>
      <c r="L19" s="20" t="n">
        <v>1.2767</v>
      </c>
      <c r="M19" s="4" t="inlineStr">
        <is>
          <t>USDC</t>
        </is>
      </c>
      <c r="N19" s="4" t="inlineStr">
        <is>
          <t>fixed_fee_on_top=1.2767; fixed_fee_token=USDC</t>
        </is>
      </c>
      <c r="O19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0">
      <c r="A20" s="4" t="inlineStr">
        <is>
          <t>584cd6137d7c</t>
        </is>
      </c>
      <c r="B20" s="4" t="inlineStr">
        <is>
          <t>BSC-&gt;SOL</t>
        </is>
      </c>
      <c r="C20" s="4" t="n">
        <v>1</v>
      </c>
      <c r="D20" s="4" t="inlineStr">
        <is>
          <t>Bridg</t>
        </is>
      </c>
      <c r="E20" s="4" t="inlineStr">
        <is>
          <t>bridg</t>
        </is>
      </c>
      <c r="F20" s="4" t="inlineStr">
        <is>
          <t>OK</t>
        </is>
      </c>
      <c r="G20" s="4" t="inlineStr">
        <is>
          <t>2026-09-23T08:50:48.664Z</t>
        </is>
      </c>
      <c r="H20" s="4" t="inlineStr">
        <is>
          <t>2026-09-23T08:50:49.540Z</t>
        </is>
      </c>
      <c r="I20" s="4" t="inlineStr">
        <is>
          <t>2026-09-23T08:50:52.898Z</t>
        </is>
      </c>
      <c r="J20" s="20" t="n"/>
      <c r="K20" s="18" t="n">
        <v>99.63180199999999</v>
      </c>
      <c r="L20" s="20" t="n"/>
      <c r="M20" s="4" t="n"/>
      <c r="N20" s="4" t="inlineStr">
        <is>
          <t>best via Mayan; 10 venues priced; fees [['Mayan fee', 0.318199], ['Bridg fee', 0.05]]</t>
        </is>
      </c>
      <c r="O20" s="4" t="inlineStr">
        <is>
          <t>https://bridg.now/swap/</t>
        </is>
      </c>
    </row>
    <row r="21">
      <c r="A21" s="4" t="inlineStr">
        <is>
          <t>584cd6137d7c</t>
        </is>
      </c>
      <c r="B21" s="4" t="inlineStr">
        <is>
          <t>BSC-&gt;SOL</t>
        </is>
      </c>
      <c r="C21" s="4" t="n">
        <v>1</v>
      </c>
      <c r="D21" s="4" t="inlineStr">
        <is>
          <t>Relay</t>
        </is>
      </c>
      <c r="E21" s="4" t="inlineStr">
        <is>
          <t>venue</t>
        </is>
      </c>
      <c r="F21" s="4" t="inlineStr">
        <is>
          <t>OK</t>
        </is>
      </c>
      <c r="G21" s="4" t="inlineStr">
        <is>
          <t>2026-09-23T08:50:48.665Z</t>
        </is>
      </c>
      <c r="H21" s="4" t="inlineStr">
        <is>
          <t>2026-09-23T08:50:50.331Z</t>
        </is>
      </c>
      <c r="I21" s="4" t="inlineStr">
        <is>
          <t>2026-09-23T08:50:52.465Z</t>
        </is>
      </c>
      <c r="J21" s="20" t="n">
        <v>0.791</v>
      </c>
      <c r="K21" s="18" t="n">
        <v>99.885578</v>
      </c>
      <c r="L21" s="20" t="n"/>
      <c r="M21" s="4" t="n"/>
      <c r="N21" s="4" t="inlineStr">
        <is>
          <t>rate=0.9988</t>
        </is>
      </c>
      <c r="O21" s="4" t="inlineStr">
        <is>
          <t>https://relay.link/bridge/solana?fromChainId=56&amp;fromCurrency=0x8ac76a51cc950d9822d68b83fe1ad97b32cd580d&amp;toCurrency=EPjFWdd5AufqSSqeM2qN1xzybapC8G4wEGGkZwyTDt1v</t>
        </is>
      </c>
    </row>
    <row r="22">
      <c r="A22" s="4" t="inlineStr">
        <is>
          <t>584cd6137d7c</t>
        </is>
      </c>
      <c r="B22" s="4" t="inlineStr">
        <is>
          <t>BSC-&gt;SOL</t>
        </is>
      </c>
      <c r="C22" s="4" t="n">
        <v>1</v>
      </c>
      <c r="D22" s="4" t="inlineStr">
        <is>
          <t>Across</t>
        </is>
      </c>
      <c r="E22" s="4" t="inlineStr">
        <is>
          <t>venue</t>
        </is>
      </c>
      <c r="F22" s="4" t="inlineStr">
        <is>
          <t>ENTER_FAILED</t>
        </is>
      </c>
      <c r="G22" s="4" t="inlineStr">
        <is>
          <t>2026-09-23T08:50:48.665Z</t>
        </is>
      </c>
      <c r="H22" s="4" t="n"/>
      <c r="I22" s="4" t="n"/>
      <c r="J22" s="20" t="n"/>
      <c r="K22" s="18" t="n"/>
      <c r="L22" s="20" t="n"/>
      <c r="M22" s="4" t="n"/>
      <c r="N22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22" s="4" t="inlineStr">
        <is>
          <t>https://across.to/?from=bsc&amp;to=solana&amp;inputToken=USDC&amp;outputToken=USDC</t>
        </is>
      </c>
    </row>
    <row r="23">
      <c r="A23" s="4" t="inlineStr">
        <is>
          <t>584cd6137d7c</t>
        </is>
      </c>
      <c r="B23" s="4" t="inlineStr">
        <is>
          <t>BSC-&gt;SOL</t>
        </is>
      </c>
      <c r="C23" s="4" t="n">
        <v>1</v>
      </c>
      <c r="D23" s="4" t="inlineStr">
        <is>
          <t>Mayan</t>
        </is>
      </c>
      <c r="E23" s="4" t="inlineStr">
        <is>
          <t>venue</t>
        </is>
      </c>
      <c r="F23" s="4" t="inlineStr">
        <is>
          <t>OK</t>
        </is>
      </c>
      <c r="G23" s="4" t="inlineStr">
        <is>
          <t>2026-09-23T08:50:48.664Z</t>
        </is>
      </c>
      <c r="H23" s="4" t="inlineStr">
        <is>
          <t>2026-09-23T08:50:49.787Z</t>
        </is>
      </c>
      <c r="I23" s="4" t="inlineStr">
        <is>
          <t>2026-09-23T08:50:51.909Z</t>
        </is>
      </c>
      <c r="J23" s="20" t="n">
        <v>0.247</v>
      </c>
      <c r="K23" s="18" t="n">
        <v>99.681</v>
      </c>
      <c r="L23" s="20" t="n"/>
      <c r="M23" s="4" t="n"/>
      <c r="N23" s="4" t="inlineStr">
        <is>
          <t>mode=Swift v2; eta=3s; display_decimals=3</t>
        </is>
      </c>
      <c r="O23" s="4" t="inlineStr">
        <is>
          <t>https://swap.mayan.finance/</t>
        </is>
      </c>
    </row>
    <row r="24">
      <c r="A24" s="4" t="inlineStr">
        <is>
          <t>584cd6137d7c</t>
        </is>
      </c>
      <c r="B24" s="4" t="inlineStr">
        <is>
          <t>BSC-&gt;SOL</t>
        </is>
      </c>
      <c r="C24" s="4" t="n">
        <v>1</v>
      </c>
      <c r="D24" s="4" t="inlineStr">
        <is>
          <t>LI.FI (Jumper)</t>
        </is>
      </c>
      <c r="E24" s="4" t="inlineStr">
        <is>
          <t>venue</t>
        </is>
      </c>
      <c r="F24" s="4" t="inlineStr">
        <is>
          <t>OK</t>
        </is>
      </c>
      <c r="G24" s="4" t="inlineStr">
        <is>
          <t>2026-09-23T08:50:48.665Z</t>
        </is>
      </c>
      <c r="H24" s="4" t="inlineStr">
        <is>
          <t>2026-09-23T08:50:51.161Z</t>
        </is>
      </c>
      <c r="I24" s="4" t="inlineStr">
        <is>
          <t>2026-09-23T08:50:53.336Z</t>
        </is>
      </c>
      <c r="J24" s="20" t="n">
        <v>1.621</v>
      </c>
      <c r="K24" s="18" t="n">
        <v>99.885578</v>
      </c>
      <c r="L24" s="20" t="n"/>
      <c r="M24" s="4" t="n"/>
      <c r="N24" s="4" t="inlineStr">
        <is>
          <t>best_return_venue=Relay; max_out=99.885578</t>
        </is>
      </c>
      <c r="O24" s="4" t="inlineStr">
        <is>
          <t>https://jumper.xyz/?fromChain=56&amp;fromToken=0x8ac76a51cc950d9822d68b83fe1ad97b32cd580d&amp;toChain=1151111081099710&amp;toToken=EPjFWdd5AufqSSqeM2qN1xzybapC8G4wEGGkZwyTDt1v</t>
        </is>
      </c>
    </row>
    <row r="25">
      <c r="A25" s="4" t="inlineStr">
        <is>
          <t>584cd6137d7c</t>
        </is>
      </c>
      <c r="B25" s="4" t="inlineStr">
        <is>
          <t>BSC-&gt;SOL</t>
        </is>
      </c>
      <c r="C25" s="4" t="n">
        <v>1</v>
      </c>
      <c r="D25" s="4" t="inlineStr">
        <is>
          <t>deBridge</t>
        </is>
      </c>
      <c r="E25" s="4" t="inlineStr">
        <is>
          <t>venue</t>
        </is>
      </c>
      <c r="F25" s="4" t="inlineStr">
        <is>
          <t>OK</t>
        </is>
      </c>
      <c r="G25" s="4" t="inlineStr">
        <is>
          <t>2026-09-23T08:50:48.665Z</t>
        </is>
      </c>
      <c r="H25" s="4" t="inlineStr">
        <is>
          <t>2026-09-23T08:50:50.121Z</t>
        </is>
      </c>
      <c r="I25" s="4" t="inlineStr">
        <is>
          <t>2026-09-23T08:50:52.259Z</t>
        </is>
      </c>
      <c r="J25" s="20" t="n">
        <v>0.581</v>
      </c>
      <c r="K25" s="18" t="n">
        <v>99.920017</v>
      </c>
      <c r="L25" s="20" t="n">
        <v>1.0464</v>
      </c>
      <c r="M25" s="4" t="inlineStr">
        <is>
          <t>USDC</t>
        </is>
      </c>
      <c r="N25" s="4" t="inlineStr">
        <is>
          <t>fixed_fee_on_top=1.0464; fixed_fee_token=USDC</t>
        </is>
      </c>
      <c r="O25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6">
      <c r="A26" s="4" t="inlineStr">
        <is>
          <t>86519fe6d6be</t>
        </is>
      </c>
      <c r="B26" s="4" t="inlineStr">
        <is>
          <t>SOL-&gt;Base</t>
        </is>
      </c>
      <c r="C26" s="4" t="n">
        <v>1</v>
      </c>
      <c r="D26" s="4" t="inlineStr">
        <is>
          <t>Bridg</t>
        </is>
      </c>
      <c r="E26" s="4" t="inlineStr">
        <is>
          <t>bridg</t>
        </is>
      </c>
      <c r="F26" s="4" t="inlineStr">
        <is>
          <t>OK</t>
        </is>
      </c>
      <c r="G26" s="4" t="inlineStr">
        <is>
          <t>2026-09-23T08:51:38.250Z</t>
        </is>
      </c>
      <c r="H26" s="4" t="inlineStr">
        <is>
          <t>2026-09-23T08:51:39.677Z</t>
        </is>
      </c>
      <c r="I26" s="4" t="inlineStr">
        <is>
          <t>2026-09-23T08:51:42.148Z</t>
        </is>
      </c>
      <c r="J26" s="20" t="n"/>
      <c r="K26" s="18" t="n">
        <v>99.94717</v>
      </c>
      <c r="L26" s="20" t="n"/>
      <c r="M26" s="4" t="n"/>
      <c r="N26" s="4" t="inlineStr">
        <is>
          <t>best via Skip Go; 15 venues priced; fees [['Skip Go fee', 0.002831], ['Bridg fee', 0.05]]</t>
        </is>
      </c>
      <c r="O26" s="4" t="inlineStr">
        <is>
          <t>https://bridg.now/swap/</t>
        </is>
      </c>
    </row>
    <row r="27">
      <c r="A27" s="4" t="inlineStr">
        <is>
          <t>86519fe6d6be</t>
        </is>
      </c>
      <c r="B27" s="4" t="inlineStr">
        <is>
          <t>SOL-&gt;Base</t>
        </is>
      </c>
      <c r="C27" s="4" t="n">
        <v>1</v>
      </c>
      <c r="D27" s="4" t="inlineStr">
        <is>
          <t>Relay</t>
        </is>
      </c>
      <c r="E27" s="4" t="inlineStr">
        <is>
          <t>venue</t>
        </is>
      </c>
      <c r="F27" s="4" t="inlineStr">
        <is>
          <t>OK</t>
        </is>
      </c>
      <c r="G27" s="4" t="inlineStr">
        <is>
          <t>2026-09-23T08:51:38.251Z</t>
        </is>
      </c>
      <c r="H27" s="4" t="inlineStr">
        <is>
          <t>2026-09-23T08:51:39.944Z</t>
        </is>
      </c>
      <c r="I27" s="4" t="inlineStr">
        <is>
          <t>2026-09-23T08:51:42.130Z</t>
        </is>
      </c>
      <c r="J27" s="20" t="n">
        <v>0.267</v>
      </c>
      <c r="K27" s="18" t="n">
        <v>99.95219899999999</v>
      </c>
      <c r="L27" s="20" t="n"/>
      <c r="M27" s="4" t="n"/>
      <c r="N27" s="4" t="inlineStr">
        <is>
          <t>rate=0.9995</t>
        </is>
      </c>
      <c r="O27" s="4" t="inlineStr">
        <is>
          <t>https://relay.link/bridge/base?fromChainId=792703809&amp;fromCurrency=EPjFWdd5AufqSSqeM2qN1xzybapC8G4wEGGkZwyTDt1v&amp;toCurrency=0x833589fcd6edb6e08f4c7c32d4f71b54bda02913</t>
        </is>
      </c>
    </row>
    <row r="28">
      <c r="A28" s="4" t="inlineStr">
        <is>
          <t>86519fe6d6be</t>
        </is>
      </c>
      <c r="B28" s="4" t="inlineStr">
        <is>
          <t>SOL-&gt;Base</t>
        </is>
      </c>
      <c r="C28" s="4" t="n">
        <v>1</v>
      </c>
      <c r="D28" s="4" t="inlineStr">
        <is>
          <t>Across</t>
        </is>
      </c>
      <c r="E28" s="4" t="inlineStr">
        <is>
          <t>venue</t>
        </is>
      </c>
      <c r="F28" s="4" t="inlineStr">
        <is>
          <t>OK</t>
        </is>
      </c>
      <c r="G28" s="4" t="inlineStr">
        <is>
          <t>2026-09-23T08:51:38.250Z</t>
        </is>
      </c>
      <c r="H28" s="4" t="inlineStr">
        <is>
          <t>2026-09-23T08:51:39.184Z</t>
        </is>
      </c>
      <c r="I28" s="4" t="inlineStr">
        <is>
          <t>2026-09-23T08:51:41.305Z</t>
        </is>
      </c>
      <c r="J28" s="20" t="n">
        <v>0.493</v>
      </c>
      <c r="K28" s="18" t="n">
        <v>99.98999999999999</v>
      </c>
      <c r="L28" s="20" t="n"/>
      <c r="M28" s="4" t="n"/>
      <c r="N28" s="4" t="inlineStr"/>
      <c r="O28" s="4" t="inlineStr">
        <is>
          <t>https://across.to/?from=solana&amp;to=base&amp;inputToken=USDC&amp;outputToken=USDC</t>
        </is>
      </c>
    </row>
    <row r="29">
      <c r="A29" s="4" t="inlineStr">
        <is>
          <t>86519fe6d6be</t>
        </is>
      </c>
      <c r="B29" s="4" t="inlineStr">
        <is>
          <t>SOL-&gt;Base</t>
        </is>
      </c>
      <c r="C29" s="4" t="n">
        <v>1</v>
      </c>
      <c r="D29" s="4" t="inlineStr">
        <is>
          <t>Mayan</t>
        </is>
      </c>
      <c r="E29" s="4" t="inlineStr">
        <is>
          <t>venue</t>
        </is>
      </c>
      <c r="F29" s="4" t="inlineStr">
        <is>
          <t>OK</t>
        </is>
      </c>
      <c r="G29" s="4" t="inlineStr">
        <is>
          <t>2026-09-23T08:51:38.250Z</t>
        </is>
      </c>
      <c r="H29" s="4" t="inlineStr">
        <is>
          <t>2026-09-23T08:51:39.381Z</t>
        </is>
      </c>
      <c r="I29" s="4" t="inlineStr">
        <is>
          <t>2026-09-23T08:51:41.504Z</t>
        </is>
      </c>
      <c r="J29" s="20" t="n">
        <v>0.296</v>
      </c>
      <c r="K29" s="18" t="n">
        <v>99.92700000000001</v>
      </c>
      <c r="L29" s="20" t="n"/>
      <c r="M29" s="4" t="n"/>
      <c r="N29" s="4" t="inlineStr">
        <is>
          <t>mode=Swift v2; eta=3s; display_decimals=3</t>
        </is>
      </c>
      <c r="O29" s="4" t="inlineStr">
        <is>
          <t>https://swap.mayan.finance/</t>
        </is>
      </c>
    </row>
    <row r="30">
      <c r="A30" s="4" t="inlineStr">
        <is>
          <t>86519fe6d6be</t>
        </is>
      </c>
      <c r="B30" s="4" t="inlineStr">
        <is>
          <t>SOL-&gt;Base</t>
        </is>
      </c>
      <c r="C30" s="4" t="n">
        <v>1</v>
      </c>
      <c r="D30" s="4" t="inlineStr">
        <is>
          <t>LI.FI (Jumper)</t>
        </is>
      </c>
      <c r="E30" s="4" t="inlineStr">
        <is>
          <t>venue</t>
        </is>
      </c>
      <c r="F30" s="4" t="inlineStr">
        <is>
          <t>OK</t>
        </is>
      </c>
      <c r="G30" s="4" t="inlineStr">
        <is>
          <t>2026-09-23T08:51:38.251Z</t>
        </is>
      </c>
      <c r="H30" s="4" t="inlineStr">
        <is>
          <t>2026-09-23T08:51:40.230Z</t>
        </is>
      </c>
      <c r="I30" s="4" t="inlineStr">
        <is>
          <t>2026-09-23T08:51:42.416Z</t>
        </is>
      </c>
      <c r="J30" s="20" t="n">
        <v>0.553</v>
      </c>
      <c r="K30" s="18" t="n">
        <v>100</v>
      </c>
      <c r="L30" s="20" t="n"/>
      <c r="M30" s="4" t="n"/>
      <c r="N30" s="4" t="inlineStr">
        <is>
          <t>best_return_venue=Eco; max_out=100.0</t>
        </is>
      </c>
      <c r="O3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1">
      <c r="A31" s="4" t="inlineStr">
        <is>
          <t>86519fe6d6be</t>
        </is>
      </c>
      <c r="B31" s="4" t="inlineStr">
        <is>
          <t>SOL-&gt;Base</t>
        </is>
      </c>
      <c r="C31" s="4" t="n">
        <v>1</v>
      </c>
      <c r="D31" s="4" t="inlineStr">
        <is>
          <t>deBridge</t>
        </is>
      </c>
      <c r="E31" s="4" t="inlineStr">
        <is>
          <t>venue</t>
        </is>
      </c>
      <c r="F31" s="4" t="inlineStr">
        <is>
          <t>OK</t>
        </is>
      </c>
      <c r="G31" s="4" t="inlineStr">
        <is>
          <t>2026-09-23T08:51:38.251Z</t>
        </is>
      </c>
      <c r="H31" s="4" t="inlineStr">
        <is>
          <t>2026-09-23T08:51:39.690Z</t>
        </is>
      </c>
      <c r="I31" s="4" t="inlineStr">
        <is>
          <t>2026-09-23T08:51:41.807Z</t>
        </is>
      </c>
      <c r="J31" s="20" t="n">
        <v>0.013</v>
      </c>
      <c r="K31" s="18" t="n">
        <v>99.920018</v>
      </c>
      <c r="L31" s="20" t="n">
        <v>1.073</v>
      </c>
      <c r="M31" s="4" t="inlineStr">
        <is>
          <t>USDC</t>
        </is>
      </c>
      <c r="N31" s="4" t="inlineStr">
        <is>
          <t>fixed_fee_on_top=1.073; fixed_fee_token=USDC</t>
        </is>
      </c>
      <c r="O31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">
      <c r="A32" s="4" t="inlineStr">
        <is>
          <t>a58011136e78</t>
        </is>
      </c>
      <c r="B32" s="4" t="inlineStr">
        <is>
          <t>Base-&gt;SOL</t>
        </is>
      </c>
      <c r="C32" s="4" t="n">
        <v>1</v>
      </c>
      <c r="D32" s="4" t="inlineStr">
        <is>
          <t>Bridg</t>
        </is>
      </c>
      <c r="E32" s="4" t="inlineStr">
        <is>
          <t>bridg</t>
        </is>
      </c>
      <c r="F32" s="4" t="inlineStr">
        <is>
          <t>OK</t>
        </is>
      </c>
      <c r="G32" s="4" t="inlineStr">
        <is>
          <t>2026-09-23T08:52:04.716Z</t>
        </is>
      </c>
      <c r="H32" s="4" t="inlineStr">
        <is>
          <t>2026-09-23T08:52:05.401Z</t>
        </is>
      </c>
      <c r="I32" s="4" t="inlineStr">
        <is>
          <t>2026-09-23T08:52:07.544Z</t>
        </is>
      </c>
      <c r="J32" s="20" t="n"/>
      <c r="K32" s="18" t="n">
        <v>99.85005</v>
      </c>
      <c r="L32" s="20" t="n"/>
      <c r="M32" s="4" t="n"/>
      <c r="N32" s="4" t="inlineStr">
        <is>
          <t>best via Allbridge Core; 15 venues priced; fees [['Allbridge Core fee', 0.099951], ['Bridg fee', 0.05]]</t>
        </is>
      </c>
      <c r="O32" s="4" t="inlineStr">
        <is>
          <t>https://bridg.now/swap/</t>
        </is>
      </c>
    </row>
    <row r="33">
      <c r="A33" s="4" t="inlineStr">
        <is>
          <t>a58011136e78</t>
        </is>
      </c>
      <c r="B33" s="4" t="inlineStr">
        <is>
          <t>Base-&gt;SOL</t>
        </is>
      </c>
      <c r="C33" s="4" t="n">
        <v>1</v>
      </c>
      <c r="D33" s="4" t="inlineStr">
        <is>
          <t>Relay</t>
        </is>
      </c>
      <c r="E33" s="4" t="inlineStr">
        <is>
          <t>venue</t>
        </is>
      </c>
      <c r="F33" s="4" t="inlineStr">
        <is>
          <t>OK</t>
        </is>
      </c>
      <c r="G33" s="4" t="inlineStr">
        <is>
          <t>2026-09-23T08:52:04.716Z</t>
        </is>
      </c>
      <c r="H33" s="4" t="inlineStr">
        <is>
          <t>2026-09-23T08:52:06.450Z</t>
        </is>
      </c>
      <c r="I33" s="4" t="inlineStr">
        <is>
          <t>2026-09-23T08:52:08.700Z</t>
        </is>
      </c>
      <c r="J33" s="20" t="n">
        <v>1.049</v>
      </c>
      <c r="K33" s="18" t="n">
        <v>99.945577</v>
      </c>
      <c r="L33" s="20" t="n"/>
      <c r="M33" s="4" t="n"/>
      <c r="N33" s="4" t="inlineStr">
        <is>
          <t>rate=0.9994</t>
        </is>
      </c>
      <c r="O33" s="4" t="inlineStr">
        <is>
          <t>https://relay.link/bridge/solana?fromChainId=8453&amp;fromCurrency=0x833589fcd6edb6e08f4c7c32d4f71b54bda02913&amp;toCurrency=EPjFWdd5AufqSSqeM2qN1xzybapC8G4wEGGkZwyTDt1v</t>
        </is>
      </c>
    </row>
    <row r="34">
      <c r="A34" s="4" t="inlineStr">
        <is>
          <t>a58011136e78</t>
        </is>
      </c>
      <c r="B34" s="4" t="inlineStr">
        <is>
          <t>Base-&gt;SOL</t>
        </is>
      </c>
      <c r="C34" s="4" t="n">
        <v>1</v>
      </c>
      <c r="D34" s="4" t="inlineStr">
        <is>
          <t>Across</t>
        </is>
      </c>
      <c r="E34" s="4" t="inlineStr">
        <is>
          <t>venue</t>
        </is>
      </c>
      <c r="F34" s="4" t="inlineStr">
        <is>
          <t>OK</t>
        </is>
      </c>
      <c r="G34" s="4" t="inlineStr">
        <is>
          <t>2026-09-23T08:52:04.716Z</t>
        </is>
      </c>
      <c r="H34" s="4" t="inlineStr">
        <is>
          <t>2026-09-23T08:52:05.675Z</t>
        </is>
      </c>
      <c r="I34" s="4" t="inlineStr">
        <is>
          <t>2026-09-23T08:52:07.797Z</t>
        </is>
      </c>
      <c r="J34" s="20" t="n">
        <v>0.274</v>
      </c>
      <c r="K34" s="18" t="n">
        <v>99.98699999999999</v>
      </c>
      <c r="L34" s="20" t="n"/>
      <c r="M34" s="4" t="n"/>
      <c r="N34" s="4" t="inlineStr"/>
      <c r="O34" s="4" t="inlineStr">
        <is>
          <t>https://across.to/?from=base&amp;to=solana&amp;inputToken=USDC&amp;outputToken=USDC</t>
        </is>
      </c>
    </row>
    <row r="35">
      <c r="A35" s="4" t="inlineStr">
        <is>
          <t>a58011136e78</t>
        </is>
      </c>
      <c r="B35" s="4" t="inlineStr">
        <is>
          <t>Base-&gt;SOL</t>
        </is>
      </c>
      <c r="C35" s="4" t="n">
        <v>1</v>
      </c>
      <c r="D35" s="4" t="inlineStr">
        <is>
          <t>Mayan</t>
        </is>
      </c>
      <c r="E35" s="4" t="inlineStr">
        <is>
          <t>venue</t>
        </is>
      </c>
      <c r="F35" s="4" t="inlineStr">
        <is>
          <t>OK</t>
        </is>
      </c>
      <c r="G35" s="4" t="inlineStr">
        <is>
          <t>2026-09-23T08:52:04.716Z</t>
        </is>
      </c>
      <c r="H35" s="4" t="inlineStr">
        <is>
          <t>2026-09-23T08:52:05.845Z</t>
        </is>
      </c>
      <c r="I35" s="4" t="inlineStr">
        <is>
          <t>2026-09-23T08:52:07.979Z</t>
        </is>
      </c>
      <c r="J35" s="20" t="n">
        <v>0.444</v>
      </c>
      <c r="K35" s="18" t="n">
        <v>99.681</v>
      </c>
      <c r="L35" s="20" t="n"/>
      <c r="M35" s="4" t="n"/>
      <c r="N35" s="4" t="inlineStr">
        <is>
          <t>mode=Swift v2; eta=3s; display_decimals=3</t>
        </is>
      </c>
      <c r="O35" s="4" t="inlineStr">
        <is>
          <t>https://swap.mayan.finance/</t>
        </is>
      </c>
    </row>
    <row r="36">
      <c r="A36" s="4" t="inlineStr">
        <is>
          <t>a58011136e78</t>
        </is>
      </c>
      <c r="B36" s="4" t="inlineStr">
        <is>
          <t>Base-&gt;SOL</t>
        </is>
      </c>
      <c r="C36" s="4" t="n">
        <v>1</v>
      </c>
      <c r="D36" s="4" t="inlineStr">
        <is>
          <t>LI.FI (Jumper)</t>
        </is>
      </c>
      <c r="E36" s="4" t="inlineStr">
        <is>
          <t>venue</t>
        </is>
      </c>
      <c r="F36" s="4" t="inlineStr">
        <is>
          <t>OK</t>
        </is>
      </c>
      <c r="G36" s="4" t="inlineStr">
        <is>
          <t>2026-09-23T08:52:04.717Z</t>
        </is>
      </c>
      <c r="H36" s="4" t="inlineStr">
        <is>
          <t>2026-09-23T08:52:06.457Z</t>
        </is>
      </c>
      <c r="I36" s="4" t="inlineStr">
        <is>
          <t>2026-09-23T08:52:08.677Z</t>
        </is>
      </c>
      <c r="J36" s="20" t="n">
        <v>1.056</v>
      </c>
      <c r="K36" s="18" t="n">
        <v>100</v>
      </c>
      <c r="L36" s="20" t="n"/>
      <c r="M36" s="4" t="n"/>
      <c r="N36" s="4" t="inlineStr">
        <is>
          <t>best_return_venue=Polymer (Standard); max_out=100.0</t>
        </is>
      </c>
      <c r="O36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7">
      <c r="A37" s="4" t="inlineStr">
        <is>
          <t>a58011136e78</t>
        </is>
      </c>
      <c r="B37" s="4" t="inlineStr">
        <is>
          <t>Base-&gt;SOL</t>
        </is>
      </c>
      <c r="C37" s="4" t="n">
        <v>1</v>
      </c>
      <c r="D37" s="4" t="inlineStr">
        <is>
          <t>deBridge</t>
        </is>
      </c>
      <c r="E37" s="4" t="inlineStr">
        <is>
          <t>venue</t>
        </is>
      </c>
      <c r="F37" s="4" t="inlineStr">
        <is>
          <t>OK</t>
        </is>
      </c>
      <c r="G37" s="4" t="inlineStr">
        <is>
          <t>2026-09-23T08:52:04.717Z</t>
        </is>
      </c>
      <c r="H37" s="4" t="inlineStr">
        <is>
          <t>2026-09-23T08:52:05.937Z</t>
        </is>
      </c>
      <c r="I37" s="4" t="inlineStr">
        <is>
          <t>2026-09-23T08:52:08.395Z</t>
        </is>
      </c>
      <c r="J37" s="20" t="n">
        <v>0.536</v>
      </c>
      <c r="K37" s="18" t="n">
        <v>99.920018</v>
      </c>
      <c r="L37" s="20" t="n">
        <v>1.0406</v>
      </c>
      <c r="M37" s="4" t="inlineStr">
        <is>
          <t>USDC</t>
        </is>
      </c>
      <c r="N37" s="4" t="inlineStr">
        <is>
          <t>fixed_fee_on_top=1.0406; fixed_fee_token=USDC</t>
        </is>
      </c>
      <c r="O37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8">
      <c r="A38" s="4" t="inlineStr">
        <is>
          <t>c42e70db0240</t>
        </is>
      </c>
      <c r="B38" s="4" t="inlineStr">
        <is>
          <t>SOL-&gt;ETH</t>
        </is>
      </c>
      <c r="C38" s="4" t="n">
        <v>2</v>
      </c>
      <c r="D38" s="4" t="inlineStr">
        <is>
          <t>Bridg</t>
        </is>
      </c>
      <c r="E38" s="4" t="inlineStr">
        <is>
          <t>bridg</t>
        </is>
      </c>
      <c r="F38" s="4" t="inlineStr">
        <is>
          <t>OK</t>
        </is>
      </c>
      <c r="G38" s="4" t="inlineStr">
        <is>
          <t>2026-09-23T08:52:29.654Z</t>
        </is>
      </c>
      <c r="H38" s="4" t="inlineStr">
        <is>
          <t>2026-09-23T08:52:30.364Z</t>
        </is>
      </c>
      <c r="I38" s="4" t="inlineStr">
        <is>
          <t>2026-09-23T08:52:33.815Z</t>
        </is>
      </c>
      <c r="J38" s="20" t="n"/>
      <c r="K38" s="18" t="n">
        <v>99.89001</v>
      </c>
      <c r="L38" s="20" t="n"/>
      <c r="M38" s="4" t="n"/>
      <c r="N38" s="4" t="inlineStr">
        <is>
          <t>best via Across; 16 venues priced; fees [['Across fee', 0.009991], ['Bridg fee', 0.1]]</t>
        </is>
      </c>
      <c r="O38" s="4" t="inlineStr">
        <is>
          <t>https://bridg.now/swap/</t>
        </is>
      </c>
    </row>
    <row r="39">
      <c r="A39" s="4" t="inlineStr">
        <is>
          <t>c42e70db0240</t>
        </is>
      </c>
      <c r="B39" s="4" t="inlineStr">
        <is>
          <t>SOL-&gt;ETH</t>
        </is>
      </c>
      <c r="C39" s="4" t="n">
        <v>2</v>
      </c>
      <c r="D39" s="4" t="inlineStr">
        <is>
          <t>Relay</t>
        </is>
      </c>
      <c r="E39" s="4" t="inlineStr">
        <is>
          <t>venue</t>
        </is>
      </c>
      <c r="F39" s="4" t="inlineStr">
        <is>
          <t>OK</t>
        </is>
      </c>
      <c r="G39" s="4" t="inlineStr">
        <is>
          <t>2026-09-23T08:52:29.654Z</t>
        </is>
      </c>
      <c r="H39" s="4" t="inlineStr">
        <is>
          <t>2026-09-23T08:52:31.626Z</t>
        </is>
      </c>
      <c r="I39" s="4" t="inlineStr">
        <is>
          <t>2026-09-23T08:52:33.814Z</t>
        </is>
      </c>
      <c r="J39" s="20" t="n">
        <v>1.262</v>
      </c>
      <c r="K39" s="18" t="n">
        <v>99.725416</v>
      </c>
      <c r="L39" s="20" t="n"/>
      <c r="M39" s="4" t="n"/>
      <c r="N39" s="4" t="inlineStr">
        <is>
          <t>rate=0.9972</t>
        </is>
      </c>
      <c r="O39" s="4" t="inlineStr">
        <is>
          <t>https://relay.link/bridge/ethereum?fromChainId=792703809&amp;fromCurrency=EPjFWdd5AufqSSqeM2qN1xzybapC8G4wEGGkZwyTDt1v&amp;toCurrency=0xa0b86991c6218b36c1d19d4a2e9eb0ce3606eb48</t>
        </is>
      </c>
    </row>
    <row r="40">
      <c r="A40" s="4" t="inlineStr">
        <is>
          <t>c42e70db0240</t>
        </is>
      </c>
      <c r="B40" s="4" t="inlineStr">
        <is>
          <t>SOL-&gt;ETH</t>
        </is>
      </c>
      <c r="C40" s="4" t="n">
        <v>2</v>
      </c>
      <c r="D40" s="4" t="inlineStr">
        <is>
          <t>Across</t>
        </is>
      </c>
      <c r="E40" s="4" t="inlineStr">
        <is>
          <t>venue</t>
        </is>
      </c>
      <c r="F40" s="4" t="inlineStr">
        <is>
          <t>OK</t>
        </is>
      </c>
      <c r="G40" s="4" t="inlineStr">
        <is>
          <t>2026-09-23T08:52:29.653Z</t>
        </is>
      </c>
      <c r="H40" s="4" t="inlineStr">
        <is>
          <t>2026-09-23T08:52:30.873Z</t>
        </is>
      </c>
      <c r="I40" s="4" t="inlineStr">
        <is>
          <t>2026-09-23T08:52:32.994Z</t>
        </is>
      </c>
      <c r="J40" s="20" t="n">
        <v>0.509</v>
      </c>
      <c r="K40" s="18" t="n">
        <v>99.98999999999999</v>
      </c>
      <c r="L40" s="20" t="n"/>
      <c r="M40" s="4" t="n"/>
      <c r="N40" s="4" t="inlineStr"/>
      <c r="O40" s="4" t="inlineStr">
        <is>
          <t>https://across.to/?from=solana&amp;to=ethereum&amp;inputToken=USDC&amp;outputToken=USDC</t>
        </is>
      </c>
    </row>
    <row r="41">
      <c r="A41" s="4" t="inlineStr">
        <is>
          <t>c42e70db0240</t>
        </is>
      </c>
      <c r="B41" s="4" t="inlineStr">
        <is>
          <t>SOL-&gt;ETH</t>
        </is>
      </c>
      <c r="C41" s="4" t="n">
        <v>2</v>
      </c>
      <c r="D41" s="4" t="inlineStr">
        <is>
          <t>Mayan</t>
        </is>
      </c>
      <c r="E41" s="4" t="inlineStr">
        <is>
          <t>venue</t>
        </is>
      </c>
      <c r="F41" s="4" t="inlineStr">
        <is>
          <t>OK</t>
        </is>
      </c>
      <c r="G41" s="4" t="inlineStr">
        <is>
          <t>2026-09-23T08:52:29.653Z</t>
        </is>
      </c>
      <c r="H41" s="4" t="inlineStr">
        <is>
          <t>2026-09-23T08:52:30.837Z</t>
        </is>
      </c>
      <c r="I41" s="4" t="inlineStr">
        <is>
          <t>2026-09-23T08:52:32.954Z</t>
        </is>
      </c>
      <c r="J41" s="20" t="n">
        <v>0.473</v>
      </c>
      <c r="K41" s="18" t="n">
        <v>99.0044</v>
      </c>
      <c r="L41" s="20" t="n"/>
      <c r="M41" s="4" t="n"/>
      <c r="N41" s="4" t="inlineStr">
        <is>
          <t>mode=Swift v2; eta=3s; display_decimals=4</t>
        </is>
      </c>
      <c r="O41" s="4" t="inlineStr">
        <is>
          <t>https://swap.mayan.finance/</t>
        </is>
      </c>
    </row>
    <row r="42">
      <c r="A42" s="4" t="inlineStr">
        <is>
          <t>c42e70db0240</t>
        </is>
      </c>
      <c r="B42" s="4" t="inlineStr">
        <is>
          <t>SOL-&gt;ETH</t>
        </is>
      </c>
      <c r="C42" s="4" t="n">
        <v>2</v>
      </c>
      <c r="D42" s="4" t="inlineStr">
        <is>
          <t>LI.FI (Jumper)</t>
        </is>
      </c>
      <c r="E42" s="4" t="inlineStr">
        <is>
          <t>venue</t>
        </is>
      </c>
      <c r="F42" s="4" t="inlineStr">
        <is>
          <t>OK</t>
        </is>
      </c>
      <c r="G42" s="4" t="inlineStr">
        <is>
          <t>2026-09-23T08:52:29.654Z</t>
        </is>
      </c>
      <c r="H42" s="4" t="inlineStr">
        <is>
          <t>2026-09-23T08:52:33.905Z</t>
        </is>
      </c>
      <c r="I42" s="4" t="inlineStr">
        <is>
          <t>2026-09-23T08:52:36.034Z</t>
        </is>
      </c>
      <c r="J42" s="20" t="n">
        <v>3.541</v>
      </c>
      <c r="K42" s="18" t="n">
        <v>99.73308299999999</v>
      </c>
      <c r="L42" s="20" t="n"/>
      <c r="M42" s="4" t="n"/>
      <c r="N42" s="4" t="inlineStr">
        <is>
          <t>best_return_venue=Layerswap; max_out=99.99</t>
        </is>
      </c>
      <c r="O42" s="4" t="inlineStr">
        <is>
          <t>https://jumper.xyz/?fromChain=1151111081099710&amp;fromToken=EPjFWdd5AufqSSqeM2qN1xzybapC8G4wEGGkZwyTDt1v&amp;toChain=1&amp;toToken=0xa0b86991c6218b36c1d19d4a2e9eb0ce3606eb48</t>
        </is>
      </c>
    </row>
    <row r="43">
      <c r="A43" s="4" t="inlineStr">
        <is>
          <t>c42e70db0240</t>
        </is>
      </c>
      <c r="B43" s="4" t="inlineStr">
        <is>
          <t>SOL-&gt;ETH</t>
        </is>
      </c>
      <c r="C43" s="4" t="n">
        <v>2</v>
      </c>
      <c r="D43" s="4" t="inlineStr">
        <is>
          <t>deBridge</t>
        </is>
      </c>
      <c r="E43" s="4" t="inlineStr">
        <is>
          <t>venue</t>
        </is>
      </c>
      <c r="F43" s="4" t="inlineStr">
        <is>
          <t>OK</t>
        </is>
      </c>
      <c r="G43" s="4" t="inlineStr">
        <is>
          <t>2026-09-23T08:52:29.654Z</t>
        </is>
      </c>
      <c r="H43" s="4" t="inlineStr">
        <is>
          <t>2026-09-23T08:52:31.126Z</t>
        </is>
      </c>
      <c r="I43" s="4" t="inlineStr">
        <is>
          <t>2026-09-23T08:52:33.508Z</t>
        </is>
      </c>
      <c r="J43" s="20" t="n">
        <v>0.762</v>
      </c>
      <c r="K43" s="18" t="n">
        <v>99.920018</v>
      </c>
      <c r="L43" s="20" t="n">
        <v>1.3389</v>
      </c>
      <c r="M43" s="4" t="inlineStr">
        <is>
          <t>USDC</t>
        </is>
      </c>
      <c r="N43" s="4" t="inlineStr">
        <is>
          <t>fixed_fee_on_top=1.3389; fixed_fee_token=USDC</t>
        </is>
      </c>
      <c r="O43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44">
      <c r="A44" s="4" t="inlineStr">
        <is>
          <t>7432625c9b34</t>
        </is>
      </c>
      <c r="B44" s="4" t="inlineStr">
        <is>
          <t>ETH-&gt;SOL</t>
        </is>
      </c>
      <c r="C44" s="4" t="n">
        <v>2</v>
      </c>
      <c r="D44" s="4" t="inlineStr">
        <is>
          <t>Bridg</t>
        </is>
      </c>
      <c r="E44" s="4" t="inlineStr">
        <is>
          <t>bridg</t>
        </is>
      </c>
      <c r="F44" s="4" t="inlineStr">
        <is>
          <t>OK</t>
        </is>
      </c>
      <c r="G44" s="4" t="inlineStr">
        <is>
          <t>2026-09-23T08:52:55.333Z</t>
        </is>
      </c>
      <c r="H44" s="4" t="inlineStr">
        <is>
          <t>2026-09-23T08:52:56.258Z</t>
        </is>
      </c>
      <c r="I44" s="4" t="inlineStr">
        <is>
          <t>2026-09-23T08:52:59.668Z</t>
        </is>
      </c>
      <c r="J44" s="20" t="n"/>
      <c r="K44" s="18" t="n">
        <v>99.85005</v>
      </c>
      <c r="L44" s="20" t="n"/>
      <c r="M44" s="4" t="n"/>
      <c r="N44" s="4" t="inlineStr">
        <is>
          <t>best via Allbridge Core; 15 venues priced; fees [['Allbridge Core fee', 0.099951], ['Bridg fee', 0.05]]</t>
        </is>
      </c>
      <c r="O44" s="4" t="inlineStr">
        <is>
          <t>https://bridg.now/swap/</t>
        </is>
      </c>
    </row>
    <row r="45">
      <c r="A45" s="4" t="inlineStr">
        <is>
          <t>7432625c9b34</t>
        </is>
      </c>
      <c r="B45" s="4" t="inlineStr">
        <is>
          <t>ETH-&gt;SOL</t>
        </is>
      </c>
      <c r="C45" s="4" t="n">
        <v>2</v>
      </c>
      <c r="D45" s="4" t="inlineStr">
        <is>
          <t>Relay</t>
        </is>
      </c>
      <c r="E45" s="4" t="inlineStr">
        <is>
          <t>venue</t>
        </is>
      </c>
      <c r="F45" s="4" t="inlineStr">
        <is>
          <t>OK</t>
        </is>
      </c>
      <c r="G45" s="4" t="inlineStr">
        <is>
          <t>2026-09-23T08:52:55.333Z</t>
        </is>
      </c>
      <c r="H45" s="4" t="inlineStr">
        <is>
          <t>2026-09-23T08:52:57.053Z</t>
        </is>
      </c>
      <c r="I45" s="4" t="inlineStr">
        <is>
          <t>2026-09-23T08:52:59.361Z</t>
        </is>
      </c>
      <c r="J45" s="20" t="n">
        <v>0.795</v>
      </c>
      <c r="K45" s="18" t="n">
        <v>99.945582</v>
      </c>
      <c r="L45" s="20" t="n"/>
      <c r="M45" s="4" t="n"/>
      <c r="N45" s="4" t="inlineStr">
        <is>
          <t>rate=0.9994</t>
        </is>
      </c>
      <c r="O45" s="4" t="inlineStr">
        <is>
          <t>https://relay.link/bridge/solana?fromChainId=1&amp;fromCurrency=0xa0b86991c6218b36c1d19d4a2e9eb0ce3606eb48&amp;toCurrency=EPjFWdd5AufqSSqeM2qN1xzybapC8G4wEGGkZwyTDt1v</t>
        </is>
      </c>
    </row>
    <row r="46">
      <c r="A46" s="4" t="inlineStr">
        <is>
          <t>7432625c9b34</t>
        </is>
      </c>
      <c r="B46" s="4" t="inlineStr">
        <is>
          <t>ETH-&gt;SOL</t>
        </is>
      </c>
      <c r="C46" s="4" t="n">
        <v>2</v>
      </c>
      <c r="D46" s="4" t="inlineStr">
        <is>
          <t>Across</t>
        </is>
      </c>
      <c r="E46" s="4" t="inlineStr">
        <is>
          <t>venue</t>
        </is>
      </c>
      <c r="F46" s="4" t="inlineStr">
        <is>
          <t>OK</t>
        </is>
      </c>
      <c r="G46" s="4" t="inlineStr">
        <is>
          <t>2026-09-23T08:52:55.333Z</t>
        </is>
      </c>
      <c r="H46" s="4" t="inlineStr">
        <is>
          <t>2026-09-23T08:52:56.320Z</t>
        </is>
      </c>
      <c r="I46" s="4" t="inlineStr">
        <is>
          <t>2026-09-23T08:52:58.443Z</t>
        </is>
      </c>
      <c r="J46" s="20" t="n">
        <v>0.062</v>
      </c>
      <c r="K46" s="18" t="n">
        <v>99.98999999999999</v>
      </c>
      <c r="L46" s="20" t="n"/>
      <c r="M46" s="4" t="n"/>
      <c r="N46" s="4" t="inlineStr"/>
      <c r="O46" s="4" t="inlineStr">
        <is>
          <t>https://across.to/?from=ethereum&amp;to=solana&amp;inputToken=USDC&amp;outputToken=USDC</t>
        </is>
      </c>
    </row>
    <row r="47">
      <c r="A47" s="4" t="inlineStr">
        <is>
          <t>7432625c9b34</t>
        </is>
      </c>
      <c r="B47" s="4" t="inlineStr">
        <is>
          <t>ETH-&gt;SOL</t>
        </is>
      </c>
      <c r="C47" s="4" t="n">
        <v>2</v>
      </c>
      <c r="D47" s="4" t="inlineStr">
        <is>
          <t>Mayan</t>
        </is>
      </c>
      <c r="E47" s="4" t="inlineStr">
        <is>
          <t>venue</t>
        </is>
      </c>
      <c r="F47" s="4" t="inlineStr">
        <is>
          <t>OK</t>
        </is>
      </c>
      <c r="G47" s="4" t="inlineStr">
        <is>
          <t>2026-09-23T08:52:55.332Z</t>
        </is>
      </c>
      <c r="H47" s="4" t="inlineStr">
        <is>
          <t>2026-09-23T08:52:56.509Z</t>
        </is>
      </c>
      <c r="I47" s="4" t="inlineStr">
        <is>
          <t>2026-09-23T08:52:58.631Z</t>
        </is>
      </c>
      <c r="J47" s="20" t="n">
        <v>0.251</v>
      </c>
      <c r="K47" s="18" t="n">
        <v>99.47880000000001</v>
      </c>
      <c r="L47" s="20" t="n"/>
      <c r="M47" s="4" t="n"/>
      <c r="N47" s="4" t="inlineStr">
        <is>
          <t>mode=Swift v2; eta=3s; display_decimals=4</t>
        </is>
      </c>
      <c r="O47" s="4" t="inlineStr">
        <is>
          <t>https://swap.mayan.finance/</t>
        </is>
      </c>
    </row>
    <row r="48">
      <c r="A48" s="4" t="inlineStr">
        <is>
          <t>7432625c9b34</t>
        </is>
      </c>
      <c r="B48" s="4" t="inlineStr">
        <is>
          <t>ETH-&gt;SOL</t>
        </is>
      </c>
      <c r="C48" s="4" t="n">
        <v>2</v>
      </c>
      <c r="D48" s="4" t="inlineStr">
        <is>
          <t>LI.FI (Jumper)</t>
        </is>
      </c>
      <c r="E48" s="4" t="inlineStr">
        <is>
          <t>venue</t>
        </is>
      </c>
      <c r="F48" s="4" t="inlineStr">
        <is>
          <t>OK</t>
        </is>
      </c>
      <c r="G48" s="4" t="inlineStr">
        <is>
          <t>2026-09-23T08:52:55.333Z</t>
        </is>
      </c>
      <c r="H48" s="4" t="inlineStr">
        <is>
          <t>2026-09-23T08:52:57.988Z</t>
        </is>
      </c>
      <c r="I48" s="4" t="inlineStr">
        <is>
          <t>2026-09-23T08:53:00.240Z</t>
        </is>
      </c>
      <c r="J48" s="20" t="n">
        <v>1.73</v>
      </c>
      <c r="K48" s="18" t="n">
        <v>99.945582</v>
      </c>
      <c r="L48" s="20" t="n"/>
      <c r="M48" s="4" t="n"/>
      <c r="N48" s="4" t="inlineStr">
        <is>
          <t>best_return_venue=Relay; max_out=100.0</t>
        </is>
      </c>
      <c r="O48" s="4" t="inlineStr">
        <is>
          <t>https://jumper.xyz/?fromChain=1&amp;fromToken=0xa0b86991c6218b36c1d19d4a2e9eb0ce3606eb48&amp;toChain=1151111081099710&amp;toToken=EPjFWdd5AufqSSqeM2qN1xzybapC8G4wEGGkZwyTDt1v</t>
        </is>
      </c>
    </row>
    <row r="49">
      <c r="A49" s="4" t="inlineStr">
        <is>
          <t>7432625c9b34</t>
        </is>
      </c>
      <c r="B49" s="4" t="inlineStr">
        <is>
          <t>ETH-&gt;SOL</t>
        </is>
      </c>
      <c r="C49" s="4" t="n">
        <v>2</v>
      </c>
      <c r="D49" s="4" t="inlineStr">
        <is>
          <t>deBridge</t>
        </is>
      </c>
      <c r="E49" s="4" t="inlineStr">
        <is>
          <t>venue</t>
        </is>
      </c>
      <c r="F49" s="4" t="inlineStr">
        <is>
          <t>OK</t>
        </is>
      </c>
      <c r="G49" s="4" t="inlineStr">
        <is>
          <t>2026-09-23T08:52:55.333Z</t>
        </is>
      </c>
      <c r="H49" s="4" t="inlineStr">
        <is>
          <t>2026-09-23T08:52:56.812Z</t>
        </is>
      </c>
      <c r="I49" s="4" t="inlineStr">
        <is>
          <t>2026-09-23T08:52:59.055Z</t>
        </is>
      </c>
      <c r="J49" s="20" t="n">
        <v>0.554</v>
      </c>
      <c r="K49" s="18" t="n">
        <v>99.920018</v>
      </c>
      <c r="L49" s="20" t="n">
        <v>1.1758</v>
      </c>
      <c r="M49" s="4" t="inlineStr">
        <is>
          <t>USDC</t>
        </is>
      </c>
      <c r="N49" s="4" t="inlineStr">
        <is>
          <t>fixed_fee_on_top=1.1758; fixed_fee_token=USDC</t>
        </is>
      </c>
      <c r="O4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50">
      <c r="A50" s="4" t="inlineStr">
        <is>
          <t>13c4af66186d</t>
        </is>
      </c>
      <c r="B50" s="4" t="inlineStr">
        <is>
          <t>SOL-&gt;BSC</t>
        </is>
      </c>
      <c r="C50" s="4" t="n">
        <v>2</v>
      </c>
      <c r="D50" s="4" t="inlineStr">
        <is>
          <t>Bridg</t>
        </is>
      </c>
      <c r="E50" s="4" t="inlineStr">
        <is>
          <t>bridg</t>
        </is>
      </c>
      <c r="F50" s="4" t="inlineStr">
        <is>
          <t>OK</t>
        </is>
      </c>
      <c r="G50" s="4" t="inlineStr">
        <is>
          <t>2026-09-23T08:53:20.473Z</t>
        </is>
      </c>
      <c r="H50" s="4" t="inlineStr">
        <is>
          <t>2026-09-23T08:53:21.359Z</t>
        </is>
      </c>
      <c r="I50" s="4" t="inlineStr">
        <is>
          <t>2026-09-23T08:53:24.922Z</t>
        </is>
      </c>
      <c r="J50" s="20" t="n"/>
      <c r="K50" s="18" t="n">
        <v>99.82007900000001</v>
      </c>
      <c r="L50" s="20" t="n"/>
      <c r="M50" s="4" t="n"/>
      <c r="N50" s="4" t="inlineStr">
        <is>
          <t>best via Rhino; 9 venues priced; fees [['Rhino fee', 0.079921], ['Bridg fee', 0.1]]</t>
        </is>
      </c>
      <c r="O50" s="4" t="inlineStr">
        <is>
          <t>https://bridg.now/swap/</t>
        </is>
      </c>
    </row>
    <row r="51">
      <c r="A51" s="4" t="inlineStr">
        <is>
          <t>13c4af66186d</t>
        </is>
      </c>
      <c r="B51" s="4" t="inlineStr">
        <is>
          <t>SOL-&gt;BSC</t>
        </is>
      </c>
      <c r="C51" s="4" t="n">
        <v>2</v>
      </c>
      <c r="D51" s="4" t="inlineStr">
        <is>
          <t>Relay</t>
        </is>
      </c>
      <c r="E51" s="4" t="inlineStr">
        <is>
          <t>venue</t>
        </is>
      </c>
      <c r="F51" s="4" t="inlineStr">
        <is>
          <t>OK</t>
        </is>
      </c>
      <c r="G51" s="4" t="inlineStr">
        <is>
          <t>2026-09-23T08:53:20.473Z</t>
        </is>
      </c>
      <c r="H51" s="4" t="inlineStr">
        <is>
          <t>2026-09-23T08:53:22.166Z</t>
        </is>
      </c>
      <c r="I51" s="4" t="inlineStr">
        <is>
          <t>2026-09-23T08:53:24.312Z</t>
        </is>
      </c>
      <c r="J51" s="20" t="n">
        <v>0.8070000000000001</v>
      </c>
      <c r="K51" s="18" t="n">
        <v>99.650424</v>
      </c>
      <c r="L51" s="20" t="n"/>
      <c r="M51" s="4" t="n"/>
      <c r="N51" s="4" t="inlineStr">
        <is>
          <t>rate=0.9965</t>
        </is>
      </c>
      <c r="O51" s="4" t="inlineStr">
        <is>
          <t>https://relay.link/bridge/bsc?fromChainId=792703809&amp;fromCurrency=EPjFWdd5AufqSSqeM2qN1xzybapC8G4wEGGkZwyTDt1v&amp;toCurrency=0x8ac76a51cc950d9822d68b83fe1ad97b32cd580d</t>
        </is>
      </c>
    </row>
    <row r="52">
      <c r="A52" s="4" t="inlineStr">
        <is>
          <t>13c4af66186d</t>
        </is>
      </c>
      <c r="B52" s="4" t="inlineStr">
        <is>
          <t>SOL-&gt;BSC</t>
        </is>
      </c>
      <c r="C52" s="4" t="n">
        <v>2</v>
      </c>
      <c r="D52" s="4" t="inlineStr">
        <is>
          <t>Across</t>
        </is>
      </c>
      <c r="E52" s="4" t="inlineStr">
        <is>
          <t>venue</t>
        </is>
      </c>
      <c r="F52" s="4" t="inlineStr">
        <is>
          <t>OK</t>
        </is>
      </c>
      <c r="G52" s="4" t="inlineStr">
        <is>
          <t>2026-09-23T08:53:20.473Z</t>
        </is>
      </c>
      <c r="H52" s="4" t="inlineStr">
        <is>
          <t>2026-09-23T08:53:21.664Z</t>
        </is>
      </c>
      <c r="I52" s="4" t="inlineStr">
        <is>
          <t>2026-09-23T08:53:23.787Z</t>
        </is>
      </c>
      <c r="J52" s="20" t="n">
        <v>0.305</v>
      </c>
      <c r="K52" s="18" t="n">
        <v>99.982057</v>
      </c>
      <c r="L52" s="20" t="n"/>
      <c r="M52" s="4" t="n"/>
      <c r="N52" s="4" t="inlineStr"/>
      <c r="O52" s="4" t="inlineStr">
        <is>
          <t>https://across.to/?from=solana&amp;to=bsc&amp;inputToken=USDC&amp;outputToken=USDC</t>
        </is>
      </c>
    </row>
    <row r="53">
      <c r="A53" s="4" t="inlineStr">
        <is>
          <t>13c4af66186d</t>
        </is>
      </c>
      <c r="B53" s="4" t="inlineStr">
        <is>
          <t>SOL-&gt;BSC</t>
        </is>
      </c>
      <c r="C53" s="4" t="n">
        <v>2</v>
      </c>
      <c r="D53" s="4" t="inlineStr">
        <is>
          <t>Mayan</t>
        </is>
      </c>
      <c r="E53" s="4" t="inlineStr">
        <is>
          <t>venue</t>
        </is>
      </c>
      <c r="F53" s="4" t="inlineStr">
        <is>
          <t>OK</t>
        </is>
      </c>
      <c r="G53" s="4" t="inlineStr">
        <is>
          <t>2026-09-23T08:53:20.472Z</t>
        </is>
      </c>
      <c r="H53" s="4" t="inlineStr">
        <is>
          <t>2026-09-23T08:53:21.609Z</t>
        </is>
      </c>
      <c r="I53" s="4" t="inlineStr">
        <is>
          <t>2026-09-23T08:53:23.733Z</t>
        </is>
      </c>
      <c r="J53" s="20" t="n">
        <v>0.25</v>
      </c>
      <c r="K53" s="18" t="n">
        <v>99.93000000000001</v>
      </c>
      <c r="L53" s="20" t="n"/>
      <c r="M53" s="4" t="n"/>
      <c r="N53" s="4" t="inlineStr">
        <is>
          <t>mode=Swift v2; eta=3s; display_decimals=2</t>
        </is>
      </c>
      <c r="O53" s="4" t="inlineStr">
        <is>
          <t>https://swap.mayan.finance/</t>
        </is>
      </c>
    </row>
    <row r="54">
      <c r="A54" s="4" t="inlineStr">
        <is>
          <t>13c4af66186d</t>
        </is>
      </c>
      <c r="B54" s="4" t="inlineStr">
        <is>
          <t>SOL-&gt;BSC</t>
        </is>
      </c>
      <c r="C54" s="4" t="n">
        <v>2</v>
      </c>
      <c r="D54" s="4" t="inlineStr">
        <is>
          <t>LI.FI (Jumper)</t>
        </is>
      </c>
      <c r="E54" s="4" t="inlineStr">
        <is>
          <t>venue</t>
        </is>
      </c>
      <c r="F54" s="4" t="inlineStr">
        <is>
          <t>OK</t>
        </is>
      </c>
      <c r="G54" s="4" t="inlineStr">
        <is>
          <t>2026-09-23T08:53:20.473Z</t>
        </is>
      </c>
      <c r="H54" s="4" t="inlineStr">
        <is>
          <t>2026-09-23T08:53:23.016Z</t>
        </is>
      </c>
      <c r="I54" s="4" t="inlineStr">
        <is>
          <t>2026-09-23T08:53:25.199Z</t>
        </is>
      </c>
      <c r="J54" s="20" t="n">
        <v>1.657</v>
      </c>
      <c r="K54" s="18" t="n">
        <v>99.930539</v>
      </c>
      <c r="L54" s="20" t="n"/>
      <c r="M54" s="4" t="n"/>
      <c r="N54" s="4" t="inlineStr">
        <is>
          <t>best_return_venue=Mayan (Swift); max_out=99.930539</t>
        </is>
      </c>
      <c r="O54" s="4" t="inlineStr">
        <is>
          <t>https://jumper.xyz/?fromChain=1151111081099710&amp;fromToken=EPjFWdd5AufqSSqeM2qN1xzybapC8G4wEGGkZwyTDt1v&amp;toChain=56&amp;toToken=0x8ac76a51cc950d9822d68b83fe1ad97b32cd580d</t>
        </is>
      </c>
    </row>
    <row r="55">
      <c r="A55" s="4" t="inlineStr">
        <is>
          <t>13c4af66186d</t>
        </is>
      </c>
      <c r="B55" s="4" t="inlineStr">
        <is>
          <t>SOL-&gt;BSC</t>
        </is>
      </c>
      <c r="C55" s="4" t="n">
        <v>2</v>
      </c>
      <c r="D55" s="4" t="inlineStr">
        <is>
          <t>deBridge</t>
        </is>
      </c>
      <c r="E55" s="4" t="inlineStr">
        <is>
          <t>venue</t>
        </is>
      </c>
      <c r="F55" s="4" t="inlineStr">
        <is>
          <t>OK</t>
        </is>
      </c>
      <c r="G55" s="4" t="inlineStr">
        <is>
          <t>2026-09-23T08:53:20.473Z</t>
        </is>
      </c>
      <c r="H55" s="4" t="inlineStr">
        <is>
          <t>2026-09-23T08:53:21.914Z</t>
        </is>
      </c>
      <c r="I55" s="4" t="inlineStr">
        <is>
          <t>2026-09-23T08:53:24.312Z</t>
        </is>
      </c>
      <c r="J55" s="20" t="n">
        <v>0.555</v>
      </c>
      <c r="K55" s="18" t="n">
        <v>99.92001500000001</v>
      </c>
      <c r="L55" s="20" t="n">
        <v>1.2723</v>
      </c>
      <c r="M55" s="4" t="inlineStr">
        <is>
          <t>USDC</t>
        </is>
      </c>
      <c r="N55" s="4" t="inlineStr">
        <is>
          <t>fixed_fee_on_top=1.2723; fixed_fee_token=USDC</t>
        </is>
      </c>
      <c r="O55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56">
      <c r="A56" s="4" t="inlineStr">
        <is>
          <t>2c8268a75d7e</t>
        </is>
      </c>
      <c r="B56" s="4" t="inlineStr">
        <is>
          <t>BSC-&gt;SOL</t>
        </is>
      </c>
      <c r="C56" s="4" t="n">
        <v>2</v>
      </c>
      <c r="D56" s="4" t="inlineStr">
        <is>
          <t>Bridg</t>
        </is>
      </c>
      <c r="E56" s="4" t="inlineStr">
        <is>
          <t>bridg</t>
        </is>
      </c>
      <c r="F56" s="4" t="inlineStr">
        <is>
          <t>OK</t>
        </is>
      </c>
      <c r="G56" s="4" t="inlineStr">
        <is>
          <t>2026-09-23T08:53:45.875Z</t>
        </is>
      </c>
      <c r="H56" s="4" t="inlineStr">
        <is>
          <t>2026-09-23T08:53:46.761Z</t>
        </is>
      </c>
      <c r="I56" s="4" t="inlineStr">
        <is>
          <t>2026-09-23T08:53:50.721Z</t>
        </is>
      </c>
      <c r="J56" s="20" t="n"/>
      <c r="K56" s="18" t="n">
        <v>99.630098</v>
      </c>
      <c r="L56" s="20" t="n"/>
      <c r="M56" s="4" t="n"/>
      <c r="N56" s="4" t="inlineStr">
        <is>
          <t>best via Relay; 10 venues priced; fees [['Relay fee', 0.319903], ['Bridg fee', 0.05]]</t>
        </is>
      </c>
      <c r="O56" s="4" t="inlineStr">
        <is>
          <t>https://bridg.now/swap/</t>
        </is>
      </c>
    </row>
    <row r="57">
      <c r="A57" s="4" t="inlineStr">
        <is>
          <t>2c8268a75d7e</t>
        </is>
      </c>
      <c r="B57" s="4" t="inlineStr">
        <is>
          <t>BSC-&gt;SOL</t>
        </is>
      </c>
      <c r="C57" s="4" t="n">
        <v>2</v>
      </c>
      <c r="D57" s="4" t="inlineStr">
        <is>
          <t>Relay</t>
        </is>
      </c>
      <c r="E57" s="4" t="inlineStr">
        <is>
          <t>venue</t>
        </is>
      </c>
      <c r="F57" s="4" t="inlineStr">
        <is>
          <t>OK</t>
        </is>
      </c>
      <c r="G57" s="4" t="inlineStr">
        <is>
          <t>2026-09-23T08:53:45.875Z</t>
        </is>
      </c>
      <c r="H57" s="4" t="inlineStr">
        <is>
          <t>2026-09-23T08:53:47.528Z</t>
        </is>
      </c>
      <c r="I57" s="4" t="inlineStr">
        <is>
          <t>2026-09-23T08:53:49.662Z</t>
        </is>
      </c>
      <c r="J57" s="20" t="n">
        <v>0.767</v>
      </c>
      <c r="K57" s="18" t="n">
        <v>99.885577</v>
      </c>
      <c r="L57" s="20" t="n"/>
      <c r="M57" s="4" t="n"/>
      <c r="N57" s="4" t="inlineStr">
        <is>
          <t>rate=0.9988</t>
        </is>
      </c>
      <c r="O57" s="4" t="inlineStr">
        <is>
          <t>https://relay.link/bridge/solana?fromChainId=56&amp;fromCurrency=0x8ac76a51cc950d9822d68b83fe1ad97b32cd580d&amp;toCurrency=EPjFWdd5AufqSSqeM2qN1xzybapC8G4wEGGkZwyTDt1v</t>
        </is>
      </c>
    </row>
    <row r="58">
      <c r="A58" s="4" t="inlineStr">
        <is>
          <t>2c8268a75d7e</t>
        </is>
      </c>
      <c r="B58" s="4" t="inlineStr">
        <is>
          <t>BSC-&gt;SOL</t>
        </is>
      </c>
      <c r="C58" s="4" t="n">
        <v>2</v>
      </c>
      <c r="D58" s="4" t="inlineStr">
        <is>
          <t>Across</t>
        </is>
      </c>
      <c r="E58" s="4" t="inlineStr">
        <is>
          <t>venue</t>
        </is>
      </c>
      <c r="F58" s="4" t="inlineStr">
        <is>
          <t>ENTER_FAILED</t>
        </is>
      </c>
      <c r="G58" s="4" t="inlineStr">
        <is>
          <t>2026-09-23T08:53:45.875Z</t>
        </is>
      </c>
      <c r="H58" s="4" t="n"/>
      <c r="I58" s="4" t="n"/>
      <c r="J58" s="20" t="n"/>
      <c r="K58" s="18" t="n"/>
      <c r="L58" s="20" t="n"/>
      <c r="M58" s="4" t="n"/>
      <c r="N58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58" s="4" t="inlineStr">
        <is>
          <t>https://across.to/?from=bsc&amp;to=solana&amp;inputToken=USDC&amp;outputToken=USDC</t>
        </is>
      </c>
    </row>
    <row r="59">
      <c r="A59" s="4" t="inlineStr">
        <is>
          <t>2c8268a75d7e</t>
        </is>
      </c>
      <c r="B59" s="4" t="inlineStr">
        <is>
          <t>BSC-&gt;SOL</t>
        </is>
      </c>
      <c r="C59" s="4" t="n">
        <v>2</v>
      </c>
      <c r="D59" s="4" t="inlineStr">
        <is>
          <t>Mayan</t>
        </is>
      </c>
      <c r="E59" s="4" t="inlineStr">
        <is>
          <t>venue</t>
        </is>
      </c>
      <c r="F59" s="4" t="inlineStr">
        <is>
          <t>OK</t>
        </is>
      </c>
      <c r="G59" s="4" t="inlineStr">
        <is>
          <t>2026-09-23T08:53:45.875Z</t>
        </is>
      </c>
      <c r="H59" s="4" t="inlineStr">
        <is>
          <t>2026-09-23T08:53:47.003Z</t>
        </is>
      </c>
      <c r="I59" s="4" t="inlineStr">
        <is>
          <t>2026-09-23T08:53:49.125Z</t>
        </is>
      </c>
      <c r="J59" s="20" t="n">
        <v>0.242</v>
      </c>
      <c r="K59" s="18" t="n">
        <v>99.681</v>
      </c>
      <c r="L59" s="20" t="n"/>
      <c r="M59" s="4" t="n"/>
      <c r="N59" s="4" t="inlineStr">
        <is>
          <t>mode=Swift v2; eta=3s; display_decimals=3</t>
        </is>
      </c>
      <c r="O59" s="4" t="inlineStr">
        <is>
          <t>https://swap.mayan.finance/</t>
        </is>
      </c>
    </row>
    <row r="60">
      <c r="A60" s="4" t="inlineStr">
        <is>
          <t>2c8268a75d7e</t>
        </is>
      </c>
      <c r="B60" s="4" t="inlineStr">
        <is>
          <t>BSC-&gt;SOL</t>
        </is>
      </c>
      <c r="C60" s="4" t="n">
        <v>2</v>
      </c>
      <c r="D60" s="4" t="inlineStr">
        <is>
          <t>LI.FI (Jumper)</t>
        </is>
      </c>
      <c r="E60" s="4" t="inlineStr">
        <is>
          <t>venue</t>
        </is>
      </c>
      <c r="F60" s="4" t="inlineStr">
        <is>
          <t>OK</t>
        </is>
      </c>
      <c r="G60" s="4" t="inlineStr">
        <is>
          <t>2026-09-23T08:53:45.876Z</t>
        </is>
      </c>
      <c r="H60" s="4" t="inlineStr">
        <is>
          <t>2026-09-23T08:53:48.173Z</t>
        </is>
      </c>
      <c r="I60" s="4" t="inlineStr">
        <is>
          <t>2026-09-23T08:53:50.309Z</t>
        </is>
      </c>
      <c r="J60" s="20" t="n">
        <v>1.412</v>
      </c>
      <c r="K60" s="18" t="n">
        <v>120.36486</v>
      </c>
      <c r="L60" s="20" t="n"/>
      <c r="M60" s="4" t="n"/>
      <c r="N60" s="4" t="inlineStr">
        <is>
          <t>best_return_venue=Mayan (Swift); max_out=120.36486</t>
        </is>
      </c>
      <c r="O60" s="4" t="inlineStr">
        <is>
          <t>https://jumper.xyz/?fromChain=56&amp;fromToken=0x8ac76a51cc950d9822d68b83fe1ad97b32cd580d&amp;toChain=1151111081099710&amp;toToken=EPjFWdd5AufqSSqeM2qN1xzybapC8G4wEGGkZwyTDt1v</t>
        </is>
      </c>
    </row>
    <row r="61">
      <c r="A61" s="4" t="inlineStr">
        <is>
          <t>2c8268a75d7e</t>
        </is>
      </c>
      <c r="B61" s="4" t="inlineStr">
        <is>
          <t>BSC-&gt;SOL</t>
        </is>
      </c>
      <c r="C61" s="4" t="n">
        <v>2</v>
      </c>
      <c r="D61" s="4" t="inlineStr">
        <is>
          <t>deBridge</t>
        </is>
      </c>
      <c r="E61" s="4" t="inlineStr">
        <is>
          <t>venue</t>
        </is>
      </c>
      <c r="F61" s="4" t="inlineStr">
        <is>
          <t>OK</t>
        </is>
      </c>
      <c r="G61" s="4" t="inlineStr">
        <is>
          <t>2026-09-23T08:53:45.875Z</t>
        </is>
      </c>
      <c r="H61" s="4" t="inlineStr">
        <is>
          <t>2026-09-23T08:53:47.549Z</t>
        </is>
      </c>
      <c r="I61" s="4" t="inlineStr">
        <is>
          <t>2026-09-23T08:53:49.680Z</t>
        </is>
      </c>
      <c r="J61" s="20" t="n">
        <v>0.788</v>
      </c>
      <c r="K61" s="18" t="n">
        <v>99.920017</v>
      </c>
      <c r="L61" s="20" t="n">
        <v>1.0427</v>
      </c>
      <c r="M61" s="4" t="inlineStr">
        <is>
          <t>USDC</t>
        </is>
      </c>
      <c r="N61" s="4" t="inlineStr">
        <is>
          <t>fixed_fee_on_top=1.0427; fixed_fee_token=USDC</t>
        </is>
      </c>
      <c r="O61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62">
      <c r="A62" s="4" t="inlineStr">
        <is>
          <t>c16c27349222</t>
        </is>
      </c>
      <c r="B62" s="4" t="inlineStr">
        <is>
          <t>SOL-&gt;Base</t>
        </is>
      </c>
      <c r="C62" s="4" t="n">
        <v>2</v>
      </c>
      <c r="D62" s="4" t="inlineStr">
        <is>
          <t>Bridg</t>
        </is>
      </c>
      <c r="E62" s="4" t="inlineStr">
        <is>
          <t>bridg</t>
        </is>
      </c>
      <c r="F62" s="4" t="inlineStr">
        <is>
          <t>OK</t>
        </is>
      </c>
      <c r="G62" s="4" t="inlineStr">
        <is>
          <t>2026-09-23T08:54:35.005Z</t>
        </is>
      </c>
      <c r="H62" s="4" t="inlineStr">
        <is>
          <t>2026-09-23T08:54:35.905Z</t>
        </is>
      </c>
      <c r="I62" s="4" t="inlineStr">
        <is>
          <t>2026-09-23T08:54:39.555Z</t>
        </is>
      </c>
      <c r="J62" s="20" t="n"/>
      <c r="K62" s="18" t="n">
        <v>99.94717</v>
      </c>
      <c r="L62" s="20" t="n"/>
      <c r="M62" s="4" t="n"/>
      <c r="N62" s="4" t="inlineStr">
        <is>
          <t>best via Skip Go; 15 venues priced; fees [['Skip Go fee', 0.002831], ['Bridg fee', 0.05]]</t>
        </is>
      </c>
      <c r="O62" s="4" t="inlineStr">
        <is>
          <t>https://bridg.now/swap/</t>
        </is>
      </c>
    </row>
    <row r="63">
      <c r="A63" s="4" t="inlineStr">
        <is>
          <t>c16c27349222</t>
        </is>
      </c>
      <c r="B63" s="4" t="inlineStr">
        <is>
          <t>SOL-&gt;Base</t>
        </is>
      </c>
      <c r="C63" s="4" t="n">
        <v>2</v>
      </c>
      <c r="D63" s="4" t="inlineStr">
        <is>
          <t>Relay</t>
        </is>
      </c>
      <c r="E63" s="4" t="inlineStr">
        <is>
          <t>venue</t>
        </is>
      </c>
      <c r="F63" s="4" t="inlineStr">
        <is>
          <t>OK</t>
        </is>
      </c>
      <c r="G63" s="4" t="inlineStr">
        <is>
          <t>2026-09-23T08:54:35.005Z</t>
        </is>
      </c>
      <c r="H63" s="4" t="inlineStr">
        <is>
          <t>2026-09-23T08:54:36.442Z</t>
        </is>
      </c>
      <c r="I63" s="4" t="inlineStr">
        <is>
          <t>2026-09-23T08:54:38.640Z</t>
        </is>
      </c>
      <c r="J63" s="20" t="n">
        <v>0.537</v>
      </c>
      <c r="K63" s="18" t="n">
        <v>99.952681</v>
      </c>
      <c r="L63" s="20" t="n"/>
      <c r="M63" s="4" t="n"/>
      <c r="N63" s="4" t="inlineStr">
        <is>
          <t>rate=0.9995</t>
        </is>
      </c>
      <c r="O63" s="4" t="inlineStr">
        <is>
          <t>https://relay.link/bridge/base?fromChainId=792703809&amp;fromCurrency=EPjFWdd5AufqSSqeM2qN1xzybapC8G4wEGGkZwyTDt1v&amp;toCurrency=0x833589fcd6edb6e08f4c7c32d4f71b54bda02913</t>
        </is>
      </c>
    </row>
    <row r="64">
      <c r="A64" s="4" t="inlineStr">
        <is>
          <t>c16c27349222</t>
        </is>
      </c>
      <c r="B64" s="4" t="inlineStr">
        <is>
          <t>SOL-&gt;Base</t>
        </is>
      </c>
      <c r="C64" s="4" t="n">
        <v>2</v>
      </c>
      <c r="D64" s="4" t="inlineStr">
        <is>
          <t>Across</t>
        </is>
      </c>
      <c r="E64" s="4" t="inlineStr">
        <is>
          <t>venue</t>
        </is>
      </c>
      <c r="F64" s="4" t="inlineStr">
        <is>
          <t>OK</t>
        </is>
      </c>
      <c r="G64" s="4" t="inlineStr">
        <is>
          <t>2026-09-23T08:54:35.005Z</t>
        </is>
      </c>
      <c r="H64" s="4" t="inlineStr">
        <is>
          <t>2026-09-23T08:54:35.938Z</t>
        </is>
      </c>
      <c r="I64" s="4" t="inlineStr">
        <is>
          <t>2026-09-23T08:54:38.063Z</t>
        </is>
      </c>
      <c r="J64" s="20" t="n">
        <v>0.033</v>
      </c>
      <c r="K64" s="18" t="n">
        <v>99.98999999999999</v>
      </c>
      <c r="L64" s="20" t="n"/>
      <c r="M64" s="4" t="n"/>
      <c r="N64" s="4" t="inlineStr"/>
      <c r="O64" s="4" t="inlineStr">
        <is>
          <t>https://across.to/?from=solana&amp;to=base&amp;inputToken=USDC&amp;outputToken=USDC</t>
        </is>
      </c>
    </row>
    <row r="65">
      <c r="A65" s="4" t="inlineStr">
        <is>
          <t>c16c27349222</t>
        </is>
      </c>
      <c r="B65" s="4" t="inlineStr">
        <is>
          <t>SOL-&gt;Base</t>
        </is>
      </c>
      <c r="C65" s="4" t="n">
        <v>2</v>
      </c>
      <c r="D65" s="4" t="inlineStr">
        <is>
          <t>Mayan</t>
        </is>
      </c>
      <c r="E65" s="4" t="inlineStr">
        <is>
          <t>venue</t>
        </is>
      </c>
      <c r="F65" s="4" t="inlineStr">
        <is>
          <t>OK</t>
        </is>
      </c>
      <c r="G65" s="4" t="inlineStr">
        <is>
          <t>2026-09-23T08:54:35.004Z</t>
        </is>
      </c>
      <c r="H65" s="4" t="inlineStr">
        <is>
          <t>2026-09-23T08:54:36.157Z</t>
        </is>
      </c>
      <c r="I65" s="4" t="inlineStr">
        <is>
          <t>2026-09-23T08:54:38.278Z</t>
        </is>
      </c>
      <c r="J65" s="20" t="n">
        <v>0.252</v>
      </c>
      <c r="K65" s="18" t="n">
        <v>99.92700000000001</v>
      </c>
      <c r="L65" s="20" t="n"/>
      <c r="M65" s="4" t="n"/>
      <c r="N65" s="4" t="inlineStr">
        <is>
          <t>mode=Swift v2; eta=3s; display_decimals=3</t>
        </is>
      </c>
      <c r="O65" s="4" t="inlineStr">
        <is>
          <t>https://swap.mayan.finance/</t>
        </is>
      </c>
    </row>
    <row r="66">
      <c r="A66" s="4" t="inlineStr">
        <is>
          <t>c16c27349222</t>
        </is>
      </c>
      <c r="B66" s="4" t="inlineStr">
        <is>
          <t>SOL-&gt;Base</t>
        </is>
      </c>
      <c r="C66" s="4" t="n">
        <v>2</v>
      </c>
      <c r="D66" s="4" t="inlineStr">
        <is>
          <t>LI.FI (Jumper)</t>
        </is>
      </c>
      <c r="E66" s="4" t="inlineStr">
        <is>
          <t>venue</t>
        </is>
      </c>
      <c r="F66" s="4" t="inlineStr">
        <is>
          <t>OK</t>
        </is>
      </c>
      <c r="G66" s="4" t="inlineStr">
        <is>
          <t>2026-09-23T08:54:35.006Z</t>
        </is>
      </c>
      <c r="H66" s="4" t="inlineStr">
        <is>
          <t>2026-09-23T08:54:37.683Z</t>
        </is>
      </c>
      <c r="I66" s="4" t="inlineStr">
        <is>
          <t>2026-09-23T08:54:39.827Z</t>
        </is>
      </c>
      <c r="J66" s="20" t="n">
        <v>1.778</v>
      </c>
      <c r="K66" s="18" t="n">
        <v>100</v>
      </c>
      <c r="L66" s="20" t="n"/>
      <c r="M66" s="4" t="n"/>
      <c r="N66" s="4" t="inlineStr">
        <is>
          <t>best_return_venue=Eco; max_out=100.0</t>
        </is>
      </c>
      <c r="O6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67">
      <c r="A67" s="4" t="inlineStr">
        <is>
          <t>c16c27349222</t>
        </is>
      </c>
      <c r="B67" s="4" t="inlineStr">
        <is>
          <t>SOL-&gt;Base</t>
        </is>
      </c>
      <c r="C67" s="4" t="n">
        <v>2</v>
      </c>
      <c r="D67" s="4" t="inlineStr">
        <is>
          <t>deBridge</t>
        </is>
      </c>
      <c r="E67" s="4" t="inlineStr">
        <is>
          <t>venue</t>
        </is>
      </c>
      <c r="F67" s="4" t="inlineStr">
        <is>
          <t>OK</t>
        </is>
      </c>
      <c r="G67" s="4" t="inlineStr">
        <is>
          <t>2026-09-23T08:54:35.005Z</t>
        </is>
      </c>
      <c r="H67" s="4" t="inlineStr">
        <is>
          <t>2026-09-23T08:54:36.442Z</t>
        </is>
      </c>
      <c r="I67" s="4" t="inlineStr">
        <is>
          <t>2026-09-23T08:54:38.641Z</t>
        </is>
      </c>
      <c r="J67" s="20" t="n">
        <v>0.537</v>
      </c>
      <c r="K67" s="18" t="n">
        <v>99.920018</v>
      </c>
      <c r="L67" s="20" t="n">
        <v>1.0683</v>
      </c>
      <c r="M67" s="4" t="inlineStr">
        <is>
          <t>USDC</t>
        </is>
      </c>
      <c r="N67" s="4" t="inlineStr">
        <is>
          <t>fixed_fee_on_top=1.0683; fixed_fee_token=USDC</t>
        </is>
      </c>
      <c r="O67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68">
      <c r="A68" s="4" t="inlineStr">
        <is>
          <t>9785d2ec7e0e</t>
        </is>
      </c>
      <c r="B68" s="4" t="inlineStr">
        <is>
          <t>Base-&gt;SOL</t>
        </is>
      </c>
      <c r="C68" s="4" t="n">
        <v>2</v>
      </c>
      <c r="D68" s="4" t="inlineStr">
        <is>
          <t>Bridg</t>
        </is>
      </c>
      <c r="E68" s="4" t="inlineStr">
        <is>
          <t>bridg</t>
        </is>
      </c>
      <c r="F68" s="4" t="inlineStr">
        <is>
          <t>OK</t>
        </is>
      </c>
      <c r="G68" s="4" t="inlineStr">
        <is>
          <t>2026-09-23T08:55:00.601Z</t>
        </is>
      </c>
      <c r="H68" s="4" t="inlineStr">
        <is>
          <t>2026-09-23T08:55:01.486Z</t>
        </is>
      </c>
      <c r="I68" s="4" t="inlineStr">
        <is>
          <t>2026-09-23T08:55:03.628Z</t>
        </is>
      </c>
      <c r="J68" s="20" t="n"/>
      <c r="K68" s="18" t="n">
        <v>99.85005</v>
      </c>
      <c r="L68" s="20" t="n"/>
      <c r="M68" s="4" t="n"/>
      <c r="N68" s="4" t="inlineStr">
        <is>
          <t>best via Allbridge Core; 15 venues priced; fees [['Allbridge Core fee', 0.099951], ['Bridg fee', 0.05]]</t>
        </is>
      </c>
      <c r="O68" s="4" t="inlineStr">
        <is>
          <t>https://bridg.now/swap/</t>
        </is>
      </c>
    </row>
    <row r="69">
      <c r="A69" s="4" t="inlineStr">
        <is>
          <t>9785d2ec7e0e</t>
        </is>
      </c>
      <c r="B69" s="4" t="inlineStr">
        <is>
          <t>Base-&gt;SOL</t>
        </is>
      </c>
      <c r="C69" s="4" t="n">
        <v>2</v>
      </c>
      <c r="D69" s="4" t="inlineStr">
        <is>
          <t>Relay</t>
        </is>
      </c>
      <c r="E69" s="4" t="inlineStr">
        <is>
          <t>venue</t>
        </is>
      </c>
      <c r="F69" s="4" t="inlineStr">
        <is>
          <t>OK</t>
        </is>
      </c>
      <c r="G69" s="4" t="inlineStr">
        <is>
          <t>2026-09-23T08:55:00.601Z</t>
        </is>
      </c>
      <c r="H69" s="4" t="inlineStr">
        <is>
          <t>2026-09-23T08:55:02.534Z</t>
        </is>
      </c>
      <c r="I69" s="4" t="inlineStr">
        <is>
          <t>2026-09-23T08:55:04.666Z</t>
        </is>
      </c>
      <c r="J69" s="20" t="n">
        <v>1.048</v>
      </c>
      <c r="K69" s="18" t="n">
        <v>99.94558000000001</v>
      </c>
      <c r="L69" s="20" t="n"/>
      <c r="M69" s="4" t="n"/>
      <c r="N69" s="4" t="inlineStr">
        <is>
          <t>rate=0.9994</t>
        </is>
      </c>
      <c r="O69" s="4" t="inlineStr">
        <is>
          <t>https://relay.link/bridge/solana?fromChainId=8453&amp;fromCurrency=0x833589fcd6edb6e08f4c7c32d4f71b54bda02913&amp;toCurrency=EPjFWdd5AufqSSqeM2qN1xzybapC8G4wEGGkZwyTDt1v</t>
        </is>
      </c>
    </row>
    <row r="70">
      <c r="A70" s="4" t="inlineStr">
        <is>
          <t>9785d2ec7e0e</t>
        </is>
      </c>
      <c r="B70" s="4" t="inlineStr">
        <is>
          <t>Base-&gt;SOL</t>
        </is>
      </c>
      <c r="C70" s="4" t="n">
        <v>2</v>
      </c>
      <c r="D70" s="4" t="inlineStr">
        <is>
          <t>Across</t>
        </is>
      </c>
      <c r="E70" s="4" t="inlineStr">
        <is>
          <t>venue</t>
        </is>
      </c>
      <c r="F70" s="4" t="inlineStr">
        <is>
          <t>OK</t>
        </is>
      </c>
      <c r="G70" s="4" t="inlineStr">
        <is>
          <t>2026-09-23T08:55:00.602Z</t>
        </is>
      </c>
      <c r="H70" s="4" t="inlineStr">
        <is>
          <t>2026-09-23T08:55:02.028Z</t>
        </is>
      </c>
      <c r="I70" s="4" t="inlineStr">
        <is>
          <t>2026-09-23T08:55:04.153Z</t>
        </is>
      </c>
      <c r="J70" s="20" t="n">
        <v>0.542</v>
      </c>
      <c r="K70" s="18" t="n">
        <v>99.98699999999999</v>
      </c>
      <c r="L70" s="20" t="n"/>
      <c r="M70" s="4" t="n"/>
      <c r="N70" s="4" t="inlineStr"/>
      <c r="O70" s="4" t="inlineStr">
        <is>
          <t>https://across.to/?from=base&amp;to=solana&amp;inputToken=USDC&amp;outputToken=USDC</t>
        </is>
      </c>
    </row>
    <row r="71">
      <c r="A71" s="4" t="inlineStr">
        <is>
          <t>9785d2ec7e0e</t>
        </is>
      </c>
      <c r="B71" s="4" t="inlineStr">
        <is>
          <t>Base-&gt;SOL</t>
        </is>
      </c>
      <c r="C71" s="4" t="n">
        <v>2</v>
      </c>
      <c r="D71" s="4" t="inlineStr">
        <is>
          <t>Mayan</t>
        </is>
      </c>
      <c r="E71" s="4" t="inlineStr">
        <is>
          <t>venue</t>
        </is>
      </c>
      <c r="F71" s="4" t="inlineStr">
        <is>
          <t>OK</t>
        </is>
      </c>
      <c r="G71" s="4" t="inlineStr">
        <is>
          <t>2026-09-23T08:55:00.601Z</t>
        </is>
      </c>
      <c r="H71" s="4" t="inlineStr">
        <is>
          <t>2026-09-23T08:55:01.730Z</t>
        </is>
      </c>
      <c r="I71" s="4" t="inlineStr">
        <is>
          <t>2026-09-23T08:55:03.848Z</t>
        </is>
      </c>
      <c r="J71" s="20" t="n">
        <v>0.244</v>
      </c>
      <c r="K71" s="18" t="n">
        <v>99.681</v>
      </c>
      <c r="L71" s="20" t="n"/>
      <c r="M71" s="4" t="n"/>
      <c r="N71" s="4" t="inlineStr">
        <is>
          <t>mode=Swift v2; eta=3s; display_decimals=3</t>
        </is>
      </c>
      <c r="O71" s="4" t="inlineStr">
        <is>
          <t>https://swap.mayan.finance/</t>
        </is>
      </c>
    </row>
    <row r="72">
      <c r="A72" s="4" t="inlineStr">
        <is>
          <t>9785d2ec7e0e</t>
        </is>
      </c>
      <c r="B72" s="4" t="inlineStr">
        <is>
          <t>Base-&gt;SOL</t>
        </is>
      </c>
      <c r="C72" s="4" t="n">
        <v>2</v>
      </c>
      <c r="D72" s="4" t="inlineStr">
        <is>
          <t>LI.FI (Jumper)</t>
        </is>
      </c>
      <c r="E72" s="4" t="inlineStr">
        <is>
          <t>venue</t>
        </is>
      </c>
      <c r="F72" s="4" t="inlineStr">
        <is>
          <t>OK</t>
        </is>
      </c>
      <c r="G72" s="4" t="inlineStr">
        <is>
          <t>2026-09-23T08:55:00.602Z</t>
        </is>
      </c>
      <c r="H72" s="4" t="inlineStr">
        <is>
          <t>2026-09-23T08:55:03.122Z</t>
        </is>
      </c>
      <c r="I72" s="4" t="inlineStr">
        <is>
          <t>2026-09-23T08:55:05.253Z</t>
        </is>
      </c>
      <c r="J72" s="20" t="n">
        <v>1.636</v>
      </c>
      <c r="K72" s="18" t="n">
        <v>100</v>
      </c>
      <c r="L72" s="20" t="n"/>
      <c r="M72" s="4" t="n"/>
      <c r="N72" s="4" t="inlineStr">
        <is>
          <t>best_return_venue=Polymer (Standard); max_out=100.0</t>
        </is>
      </c>
      <c r="O72" s="4" t="inlineStr">
        <is>
          <t>https://jumper.xyz/?fromChain=8453&amp;fromToken=0x833589fcd6edb6e08f4c7c32d4f71b54bda02913&amp;toChain=1151111081099710&amp;toToken=EPjFWdd5AufqSSqeM2qN1xzybapC8G4wEGGkZwyTDt1v</t>
        </is>
      </c>
    </row>
    <row r="73">
      <c r="A73" s="4" t="inlineStr">
        <is>
          <t>9785d2ec7e0e</t>
        </is>
      </c>
      <c r="B73" s="4" t="inlineStr">
        <is>
          <t>Base-&gt;SOL</t>
        </is>
      </c>
      <c r="C73" s="4" t="n">
        <v>2</v>
      </c>
      <c r="D73" s="4" t="inlineStr">
        <is>
          <t>deBridge</t>
        </is>
      </c>
      <c r="E73" s="4" t="inlineStr">
        <is>
          <t>venue</t>
        </is>
      </c>
      <c r="F73" s="4" t="inlineStr">
        <is>
          <t>OK</t>
        </is>
      </c>
      <c r="G73" s="4" t="inlineStr">
        <is>
          <t>2026-09-23T08:55:00.602Z</t>
        </is>
      </c>
      <c r="H73" s="4" t="inlineStr">
        <is>
          <t>2026-09-23T08:55:02.029Z</t>
        </is>
      </c>
      <c r="I73" s="4" t="inlineStr">
        <is>
          <t>2026-09-23T08:55:04.155Z</t>
        </is>
      </c>
      <c r="J73" s="20" t="n">
        <v>0.543</v>
      </c>
      <c r="K73" s="18" t="n">
        <v>99.920018</v>
      </c>
      <c r="L73" s="20" t="n">
        <v>1.0442</v>
      </c>
      <c r="M73" s="4" t="inlineStr">
        <is>
          <t>USDC</t>
        </is>
      </c>
      <c r="N73" s="4" t="inlineStr">
        <is>
          <t>fixed_fee_on_top=1.0442; fixed_fee_token=USDC</t>
        </is>
      </c>
      <c r="O73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74">
      <c r="A74" s="4" t="inlineStr">
        <is>
          <t>15cea2e82aeb</t>
        </is>
      </c>
      <c r="B74" s="4" t="inlineStr">
        <is>
          <t>SOL-&gt;ETH</t>
        </is>
      </c>
      <c r="C74" s="4" t="n">
        <v>3</v>
      </c>
      <c r="D74" s="4" t="inlineStr">
        <is>
          <t>Bridg</t>
        </is>
      </c>
      <c r="E74" s="4" t="inlineStr">
        <is>
          <t>bridg</t>
        </is>
      </c>
      <c r="F74" s="4" t="inlineStr">
        <is>
          <t>OK</t>
        </is>
      </c>
      <c r="G74" s="4" t="inlineStr">
        <is>
          <t>2026-09-23T08:55:24.663Z</t>
        </is>
      </c>
      <c r="H74" s="4" t="inlineStr">
        <is>
          <t>2026-09-23T08:55:25.556Z</t>
        </is>
      </c>
      <c r="I74" s="4" t="inlineStr">
        <is>
          <t>2026-09-23T08:55:28.886Z</t>
        </is>
      </c>
      <c r="J74" s="20" t="n"/>
      <c r="K74" s="18" t="n">
        <v>99.940005</v>
      </c>
      <c r="L74" s="20" t="n"/>
      <c r="M74" s="4" t="n"/>
      <c r="N74" s="4" t="inlineStr">
        <is>
          <t>best via Across; 16 venues priced; fees [['Across fee', 0.009996], ['Bridg fee', 0.05]]</t>
        </is>
      </c>
      <c r="O74" s="4" t="inlineStr">
        <is>
          <t>https://bridg.now/swap/</t>
        </is>
      </c>
    </row>
    <row r="75">
      <c r="A75" s="4" t="inlineStr">
        <is>
          <t>15cea2e82aeb</t>
        </is>
      </c>
      <c r="B75" s="4" t="inlineStr">
        <is>
          <t>SOL-&gt;ETH</t>
        </is>
      </c>
      <c r="C75" s="4" t="n">
        <v>3</v>
      </c>
      <c r="D75" s="4" t="inlineStr">
        <is>
          <t>Relay</t>
        </is>
      </c>
      <c r="E75" s="4" t="inlineStr">
        <is>
          <t>venue</t>
        </is>
      </c>
      <c r="F75" s="4" t="inlineStr">
        <is>
          <t>OK</t>
        </is>
      </c>
      <c r="G75" s="4" t="inlineStr">
        <is>
          <t>2026-09-23T08:55:24.664Z</t>
        </is>
      </c>
      <c r="H75" s="4" t="inlineStr">
        <is>
          <t>2026-09-23T08:55:26.105Z</t>
        </is>
      </c>
      <c r="I75" s="4" t="inlineStr">
        <is>
          <t>2026-09-23T08:55:28.276Z</t>
        </is>
      </c>
      <c r="J75" s="20" t="n">
        <v>0.549</v>
      </c>
      <c r="K75" s="18" t="n">
        <v>99.86262000000001</v>
      </c>
      <c r="L75" s="20" t="n"/>
      <c r="M75" s="4" t="n"/>
      <c r="N75" s="4" t="inlineStr">
        <is>
          <t>rate=0.9986</t>
        </is>
      </c>
      <c r="O75" s="4" t="inlineStr">
        <is>
          <t>https://relay.link/bridge/ethereum?fromChainId=792703809&amp;fromCurrency=EPjFWdd5AufqSSqeM2qN1xzybapC8G4wEGGkZwyTDt1v&amp;toCurrency=0xa0b86991c6218b36c1d19d4a2e9eb0ce3606eb48</t>
        </is>
      </c>
    </row>
    <row r="76">
      <c r="A76" s="4" t="inlineStr">
        <is>
          <t>15cea2e82aeb</t>
        </is>
      </c>
      <c r="B76" s="4" t="inlineStr">
        <is>
          <t>SOL-&gt;ETH</t>
        </is>
      </c>
      <c r="C76" s="4" t="n">
        <v>3</v>
      </c>
      <c r="D76" s="4" t="inlineStr">
        <is>
          <t>Across</t>
        </is>
      </c>
      <c r="E76" s="4" t="inlineStr">
        <is>
          <t>venue</t>
        </is>
      </c>
      <c r="F76" s="4" t="inlineStr">
        <is>
          <t>OK</t>
        </is>
      </c>
      <c r="G76" s="4" t="inlineStr">
        <is>
          <t>2026-09-23T08:55:24.664Z</t>
        </is>
      </c>
      <c r="H76" s="4" t="inlineStr">
        <is>
          <t>2026-09-23T08:55:25.628Z</t>
        </is>
      </c>
      <c r="I76" s="4" t="inlineStr">
        <is>
          <t>2026-09-23T08:55:27.753Z</t>
        </is>
      </c>
      <c r="J76" s="20" t="n">
        <v>0.07199999999999999</v>
      </c>
      <c r="K76" s="18" t="n">
        <v>99.98999999999999</v>
      </c>
      <c r="L76" s="20" t="n"/>
      <c r="M76" s="4" t="n"/>
      <c r="N76" s="4" t="inlineStr"/>
      <c r="O76" s="4" t="inlineStr">
        <is>
          <t>https://across.to/?from=solana&amp;to=ethereum&amp;inputToken=USDC&amp;outputToken=USDC</t>
        </is>
      </c>
    </row>
    <row r="77">
      <c r="A77" s="4" t="inlineStr">
        <is>
          <t>15cea2e82aeb</t>
        </is>
      </c>
      <c r="B77" s="4" t="inlineStr">
        <is>
          <t>SOL-&gt;ETH</t>
        </is>
      </c>
      <c r="C77" s="4" t="n">
        <v>3</v>
      </c>
      <c r="D77" s="4" t="inlineStr">
        <is>
          <t>Mayan</t>
        </is>
      </c>
      <c r="E77" s="4" t="inlineStr">
        <is>
          <t>venue</t>
        </is>
      </c>
      <c r="F77" s="4" t="inlineStr">
        <is>
          <t>OK</t>
        </is>
      </c>
      <c r="G77" s="4" t="inlineStr">
        <is>
          <t>2026-09-23T08:55:24.663Z</t>
        </is>
      </c>
      <c r="H77" s="4" t="inlineStr">
        <is>
          <t>2026-09-23T08:55:26.058Z</t>
        </is>
      </c>
      <c r="I77" s="4" t="inlineStr">
        <is>
          <t>2026-09-23T08:55:28.251Z</t>
        </is>
      </c>
      <c r="J77" s="20" t="n">
        <v>0.502</v>
      </c>
      <c r="K77" s="18" t="n">
        <v>99.0132</v>
      </c>
      <c r="L77" s="20" t="n"/>
      <c r="M77" s="4" t="n"/>
      <c r="N77" s="4" t="inlineStr">
        <is>
          <t>mode=Swift v2; eta=3s; display_decimals=4</t>
        </is>
      </c>
      <c r="O77" s="4" t="inlineStr">
        <is>
          <t>https://swap.mayan.finance/</t>
        </is>
      </c>
    </row>
    <row r="78">
      <c r="A78" s="4" t="inlineStr">
        <is>
          <t>15cea2e82aeb</t>
        </is>
      </c>
      <c r="B78" s="4" t="inlineStr">
        <is>
          <t>SOL-&gt;ETH</t>
        </is>
      </c>
      <c r="C78" s="4" t="n">
        <v>3</v>
      </c>
      <c r="D78" s="4" t="inlineStr">
        <is>
          <t>LI.FI (Jumper)</t>
        </is>
      </c>
      <c r="E78" s="4" t="inlineStr">
        <is>
          <t>venue</t>
        </is>
      </c>
      <c r="F78" s="4" t="inlineStr">
        <is>
          <t>OK</t>
        </is>
      </c>
      <c r="G78" s="4" t="inlineStr">
        <is>
          <t>2026-09-23T08:55:24.664Z</t>
        </is>
      </c>
      <c r="H78" s="4" t="inlineStr">
        <is>
          <t>2026-09-23T08:55:29.315Z</t>
        </is>
      </c>
      <c r="I78" s="4" t="inlineStr">
        <is>
          <t>2026-09-23T08:55:31.449Z</t>
        </is>
      </c>
      <c r="J78" s="20" t="n">
        <v>3.759</v>
      </c>
      <c r="K78" s="18" t="n">
        <v>99.86478200000001</v>
      </c>
      <c r="L78" s="20" t="n"/>
      <c r="M78" s="4" t="n"/>
      <c r="N78" s="4" t="inlineStr">
        <is>
          <t>best_return_venue=Relay; max_out=99.99</t>
        </is>
      </c>
      <c r="O78" s="4" t="inlineStr">
        <is>
          <t>https://jumper.xyz/?fromChain=1151111081099710&amp;fromToken=EPjFWdd5AufqSSqeM2qN1xzybapC8G4wEGGkZwyTDt1v&amp;toChain=1&amp;toToken=0xa0b86991c6218b36c1d19d4a2e9eb0ce3606eb48</t>
        </is>
      </c>
    </row>
    <row r="79">
      <c r="A79" s="4" t="inlineStr">
        <is>
          <t>15cea2e82aeb</t>
        </is>
      </c>
      <c r="B79" s="4" t="inlineStr">
        <is>
          <t>SOL-&gt;ETH</t>
        </is>
      </c>
      <c r="C79" s="4" t="n">
        <v>3</v>
      </c>
      <c r="D79" s="4" t="inlineStr">
        <is>
          <t>deBridge</t>
        </is>
      </c>
      <c r="E79" s="4" t="inlineStr">
        <is>
          <t>venue</t>
        </is>
      </c>
      <c r="F79" s="4" t="inlineStr">
        <is>
          <t>OK</t>
        </is>
      </c>
      <c r="G79" s="4" t="inlineStr">
        <is>
          <t>2026-09-23T08:55:24.664Z</t>
        </is>
      </c>
      <c r="H79" s="4" t="inlineStr">
        <is>
          <t>2026-09-23T08:55:26.867Z</t>
        </is>
      </c>
      <c r="I79" s="4" t="inlineStr">
        <is>
          <t>2026-09-23T08:55:28.885Z</t>
        </is>
      </c>
      <c r="J79" s="20" t="n">
        <v>1.311</v>
      </c>
      <c r="K79" s="18" t="n">
        <v>99.88003399999999</v>
      </c>
      <c r="L79" s="20" t="n">
        <v>1.734</v>
      </c>
      <c r="M79" s="4" t="inlineStr">
        <is>
          <t>USDC</t>
        </is>
      </c>
      <c r="N79" s="4" t="inlineStr">
        <is>
          <t>fixed_fee_on_top=1.734; fixed_fee_token=USDC</t>
        </is>
      </c>
      <c r="O79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0">
      <c r="A80" s="4" t="inlineStr">
        <is>
          <t>8ee3e69a76bf</t>
        </is>
      </c>
      <c r="B80" s="4" t="inlineStr">
        <is>
          <t>ETH-&gt;SOL</t>
        </is>
      </c>
      <c r="C80" s="4" t="n">
        <v>3</v>
      </c>
      <c r="D80" s="4" t="inlineStr">
        <is>
          <t>Bridg</t>
        </is>
      </c>
      <c r="E80" s="4" t="inlineStr">
        <is>
          <t>bridg</t>
        </is>
      </c>
      <c r="F80" s="4" t="inlineStr">
        <is>
          <t>OK</t>
        </is>
      </c>
      <c r="G80" s="4" t="inlineStr">
        <is>
          <t>2026-09-23T08:55:50.442Z</t>
        </is>
      </c>
      <c r="H80" s="4" t="inlineStr">
        <is>
          <t>2026-09-23T08:55:51.334Z</t>
        </is>
      </c>
      <c r="I80" s="4" t="inlineStr">
        <is>
          <t>2026-09-23T08:55:53.470Z</t>
        </is>
      </c>
      <c r="J80" s="20" t="n"/>
      <c r="K80" s="18" t="n">
        <v>99.85005</v>
      </c>
      <c r="L80" s="20" t="n"/>
      <c r="M80" s="4" t="n"/>
      <c r="N80" s="4" t="inlineStr">
        <is>
          <t>best via Allbridge Core; 15 venues priced; fees [['Allbridge Core fee', 0.099951], ['Bridg fee', 0.05]]</t>
        </is>
      </c>
      <c r="O80" s="4" t="inlineStr">
        <is>
          <t>https://bridg.now/swap/</t>
        </is>
      </c>
    </row>
    <row r="81">
      <c r="A81" s="4" t="inlineStr">
        <is>
          <t>8ee3e69a76bf</t>
        </is>
      </c>
      <c r="B81" s="4" t="inlineStr">
        <is>
          <t>ETH-&gt;SOL</t>
        </is>
      </c>
      <c r="C81" s="4" t="n">
        <v>3</v>
      </c>
      <c r="D81" s="4" t="inlineStr">
        <is>
          <t>Relay</t>
        </is>
      </c>
      <c r="E81" s="4" t="inlineStr">
        <is>
          <t>venue</t>
        </is>
      </c>
      <c r="F81" s="4" t="inlineStr">
        <is>
          <t>OK</t>
        </is>
      </c>
      <c r="G81" s="4" t="inlineStr">
        <is>
          <t>2026-09-23T08:55:50.442Z</t>
        </is>
      </c>
      <c r="H81" s="4" t="inlineStr">
        <is>
          <t>2026-09-23T08:55:51.859Z</t>
        </is>
      </c>
      <c r="I81" s="4" t="inlineStr">
        <is>
          <t>2026-09-23T08:55:54.005Z</t>
        </is>
      </c>
      <c r="J81" s="20" t="n">
        <v>0.525</v>
      </c>
      <c r="K81" s="18" t="n">
        <v>99.94557500000001</v>
      </c>
      <c r="L81" s="20" t="n"/>
      <c r="M81" s="4" t="n"/>
      <c r="N81" s="4" t="inlineStr">
        <is>
          <t>rate=0.9994</t>
        </is>
      </c>
      <c r="O81" s="4" t="inlineStr">
        <is>
          <t>https://relay.link/bridge/solana?fromChainId=1&amp;fromCurrency=0xa0b86991c6218b36c1d19d4a2e9eb0ce3606eb48&amp;toCurrency=EPjFWdd5AufqSSqeM2qN1xzybapC8G4wEGGkZwyTDt1v</t>
        </is>
      </c>
    </row>
    <row r="82">
      <c r="A82" s="4" t="inlineStr">
        <is>
          <t>8ee3e69a76bf</t>
        </is>
      </c>
      <c r="B82" s="4" t="inlineStr">
        <is>
          <t>ETH-&gt;SOL</t>
        </is>
      </c>
      <c r="C82" s="4" t="n">
        <v>3</v>
      </c>
      <c r="D82" s="4" t="inlineStr">
        <is>
          <t>Across</t>
        </is>
      </c>
      <c r="E82" s="4" t="inlineStr">
        <is>
          <t>venue</t>
        </is>
      </c>
      <c r="F82" s="4" t="inlineStr">
        <is>
          <t>OK</t>
        </is>
      </c>
      <c r="G82" s="4" t="inlineStr">
        <is>
          <t>2026-09-23T08:55:50.442Z</t>
        </is>
      </c>
      <c r="H82" s="4" t="inlineStr">
        <is>
          <t>2026-09-23T08:55:51.647Z</t>
        </is>
      </c>
      <c r="I82" s="4" t="inlineStr">
        <is>
          <t>2026-09-23T08:55:53.769Z</t>
        </is>
      </c>
      <c r="J82" s="20" t="n">
        <v>0.313</v>
      </c>
      <c r="K82" s="18" t="n">
        <v>99.98999999999999</v>
      </c>
      <c r="L82" s="20" t="n"/>
      <c r="M82" s="4" t="n"/>
      <c r="N82" s="4" t="inlineStr"/>
      <c r="O82" s="4" t="inlineStr">
        <is>
          <t>https://across.to/?from=ethereum&amp;to=solana&amp;inputToken=USDC&amp;outputToken=USDC</t>
        </is>
      </c>
    </row>
    <row r="83">
      <c r="A83" s="4" t="inlineStr">
        <is>
          <t>8ee3e69a76bf</t>
        </is>
      </c>
      <c r="B83" s="4" t="inlineStr">
        <is>
          <t>ETH-&gt;SOL</t>
        </is>
      </c>
      <c r="C83" s="4" t="n">
        <v>3</v>
      </c>
      <c r="D83" s="4" t="inlineStr">
        <is>
          <t>Mayan</t>
        </is>
      </c>
      <c r="E83" s="4" t="inlineStr">
        <is>
          <t>venue</t>
        </is>
      </c>
      <c r="F83" s="4" t="inlineStr">
        <is>
          <t>OK</t>
        </is>
      </c>
      <c r="G83" s="4" t="inlineStr">
        <is>
          <t>2026-09-23T08:55:50.441Z</t>
        </is>
      </c>
      <c r="H83" s="4" t="inlineStr">
        <is>
          <t>2026-09-23T08:55:51.583Z</t>
        </is>
      </c>
      <c r="I83" s="4" t="inlineStr">
        <is>
          <t>2026-09-23T08:55:53.701Z</t>
        </is>
      </c>
      <c r="J83" s="20" t="n">
        <v>0.249</v>
      </c>
      <c r="K83" s="18" t="n">
        <v>99.4311</v>
      </c>
      <c r="L83" s="20" t="n"/>
      <c r="M83" s="4" t="n"/>
      <c r="N83" s="4" t="inlineStr">
        <is>
          <t>mode=Swift v2; eta=3s; display_decimals=4</t>
        </is>
      </c>
      <c r="O83" s="4" t="inlineStr">
        <is>
          <t>https://swap.mayan.finance/</t>
        </is>
      </c>
    </row>
    <row r="84">
      <c r="A84" s="4" t="inlineStr">
        <is>
          <t>8ee3e69a76bf</t>
        </is>
      </c>
      <c r="B84" s="4" t="inlineStr">
        <is>
          <t>ETH-&gt;SOL</t>
        </is>
      </c>
      <c r="C84" s="4" t="n">
        <v>3</v>
      </c>
      <c r="D84" s="4" t="inlineStr">
        <is>
          <t>LI.FI (Jumper)</t>
        </is>
      </c>
      <c r="E84" s="4" t="inlineStr">
        <is>
          <t>venue</t>
        </is>
      </c>
      <c r="F84" s="4" t="inlineStr">
        <is>
          <t>OK</t>
        </is>
      </c>
      <c r="G84" s="4" t="inlineStr">
        <is>
          <t>2026-09-23T08:55:50.443Z</t>
        </is>
      </c>
      <c r="H84" s="4" t="inlineStr">
        <is>
          <t>2026-09-23T08:55:52.635Z</t>
        </is>
      </c>
      <c r="I84" s="4" t="inlineStr">
        <is>
          <t>2026-09-23T08:55:54.913Z</t>
        </is>
      </c>
      <c r="J84" s="20" t="n">
        <v>1.301</v>
      </c>
      <c r="K84" s="18" t="n">
        <v>99.94557500000001</v>
      </c>
      <c r="L84" s="20" t="n"/>
      <c r="M84" s="4" t="n"/>
      <c r="N84" s="4" t="inlineStr">
        <is>
          <t>best_return_venue=Relay; max_out=100.0</t>
        </is>
      </c>
      <c r="O84" s="4" t="inlineStr">
        <is>
          <t>https://jumper.xyz/?fromChain=1&amp;fromToken=0xa0b86991c6218b36c1d19d4a2e9eb0ce3606eb48&amp;toChain=1151111081099710&amp;toToken=EPjFWdd5AufqSSqeM2qN1xzybapC8G4wEGGkZwyTDt1v</t>
        </is>
      </c>
    </row>
    <row r="85">
      <c r="A85" s="4" t="inlineStr">
        <is>
          <t>8ee3e69a76bf</t>
        </is>
      </c>
      <c r="B85" s="4" t="inlineStr">
        <is>
          <t>ETH-&gt;SOL</t>
        </is>
      </c>
      <c r="C85" s="4" t="n">
        <v>3</v>
      </c>
      <c r="D85" s="4" t="inlineStr">
        <is>
          <t>deBridge</t>
        </is>
      </c>
      <c r="E85" s="4" t="inlineStr">
        <is>
          <t>venue</t>
        </is>
      </c>
      <c r="F85" s="4" t="inlineStr">
        <is>
          <t>OK</t>
        </is>
      </c>
      <c r="G85" s="4" t="inlineStr">
        <is>
          <t>2026-09-23T08:55:50.442Z</t>
        </is>
      </c>
      <c r="H85" s="4" t="inlineStr">
        <is>
          <t>2026-09-23T08:55:51.904Z</t>
        </is>
      </c>
      <c r="I85" s="4" t="inlineStr">
        <is>
          <t>2026-09-23T08:55:54.326Z</t>
        </is>
      </c>
      <c r="J85" s="20" t="n">
        <v>0.57</v>
      </c>
      <c r="K85" s="18" t="n">
        <v>99.920018</v>
      </c>
      <c r="L85" s="20" t="n">
        <v>1.1509</v>
      </c>
      <c r="M85" s="4" t="inlineStr">
        <is>
          <t>USDC</t>
        </is>
      </c>
      <c r="N85" s="4" t="inlineStr">
        <is>
          <t>fixed_fee_on_top=1.1509; fixed_fee_token=USDC</t>
        </is>
      </c>
      <c r="O85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86">
      <c r="A86" s="4" t="inlineStr">
        <is>
          <t>ad50037180fc</t>
        </is>
      </c>
      <c r="B86" s="4" t="inlineStr">
        <is>
          <t>SOL-&gt;BSC</t>
        </is>
      </c>
      <c r="C86" s="4" t="n">
        <v>3</v>
      </c>
      <c r="D86" s="4" t="inlineStr">
        <is>
          <t>Bridg</t>
        </is>
      </c>
      <c r="E86" s="4" t="inlineStr">
        <is>
          <t>bridg</t>
        </is>
      </c>
      <c r="F86" s="4" t="inlineStr">
        <is>
          <t>OK</t>
        </is>
      </c>
      <c r="G86" s="4" t="inlineStr">
        <is>
          <t>2026-09-23T08:56:14.455Z</t>
        </is>
      </c>
      <c r="H86" s="4" t="inlineStr">
        <is>
          <t>2026-09-23T08:56:15.336Z</t>
        </is>
      </c>
      <c r="I86" s="4" t="inlineStr">
        <is>
          <t>2026-09-23T08:56:18.677Z</t>
        </is>
      </c>
      <c r="J86" s="20" t="n"/>
      <c r="K86" s="18" t="n">
        <v>99.87003900000001</v>
      </c>
      <c r="L86" s="20" t="n"/>
      <c r="M86" s="4" t="n"/>
      <c r="N86" s="4" t="inlineStr">
        <is>
          <t>best via Rhino; 9 venues priced; fees [['Rhino fee', 0.079961], ['Bridg fee', 0.05]]</t>
        </is>
      </c>
      <c r="O86" s="4" t="inlineStr">
        <is>
          <t>https://bridg.now/swap/</t>
        </is>
      </c>
    </row>
    <row r="87">
      <c r="A87" s="4" t="inlineStr">
        <is>
          <t>ad50037180fc</t>
        </is>
      </c>
      <c r="B87" s="4" t="inlineStr">
        <is>
          <t>SOL-&gt;BSC</t>
        </is>
      </c>
      <c r="C87" s="4" t="n">
        <v>3</v>
      </c>
      <c r="D87" s="4" t="inlineStr">
        <is>
          <t>Relay</t>
        </is>
      </c>
      <c r="E87" s="4" t="inlineStr">
        <is>
          <t>venue</t>
        </is>
      </c>
      <c r="F87" s="4" t="inlineStr">
        <is>
          <t>OK</t>
        </is>
      </c>
      <c r="G87" s="4" t="inlineStr">
        <is>
          <t>2026-09-23T08:56:14.456Z</t>
        </is>
      </c>
      <c r="H87" s="4" t="inlineStr">
        <is>
          <t>2026-09-23T08:56:15.895Z</t>
        </is>
      </c>
      <c r="I87" s="4" t="inlineStr">
        <is>
          <t>2026-09-23T08:56:18.070Z</t>
        </is>
      </c>
      <c r="J87" s="20" t="n">
        <v>0.5590000000000001</v>
      </c>
      <c r="K87" s="18" t="n">
        <v>99.632586</v>
      </c>
      <c r="L87" s="20" t="n"/>
      <c r="M87" s="4" t="n"/>
      <c r="N87" s="4" t="inlineStr">
        <is>
          <t>rate=0.9963</t>
        </is>
      </c>
      <c r="O87" s="4" t="inlineStr">
        <is>
          <t>https://relay.link/bridge/bsc?fromChainId=792703809&amp;fromCurrency=EPjFWdd5AufqSSqeM2qN1xzybapC8G4wEGGkZwyTDt1v&amp;toCurrency=0x8ac76a51cc950d9822d68b83fe1ad97b32cd580d</t>
        </is>
      </c>
    </row>
    <row r="88">
      <c r="A88" s="4" t="inlineStr">
        <is>
          <t>ad50037180fc</t>
        </is>
      </c>
      <c r="B88" s="4" t="inlineStr">
        <is>
          <t>SOL-&gt;BSC</t>
        </is>
      </c>
      <c r="C88" s="4" t="n">
        <v>3</v>
      </c>
      <c r="D88" s="4" t="inlineStr">
        <is>
          <t>Across</t>
        </is>
      </c>
      <c r="E88" s="4" t="inlineStr">
        <is>
          <t>venue</t>
        </is>
      </c>
      <c r="F88" s="4" t="inlineStr">
        <is>
          <t>OK</t>
        </is>
      </c>
      <c r="G88" s="4" t="inlineStr">
        <is>
          <t>2026-09-23T08:56:14.455Z</t>
        </is>
      </c>
      <c r="H88" s="4" t="inlineStr">
        <is>
          <t>2026-09-23T08:56:15.405Z</t>
        </is>
      </c>
      <c r="I88" s="4" t="inlineStr">
        <is>
          <t>2026-09-23T08:56:17.535Z</t>
        </is>
      </c>
      <c r="J88" s="20" t="n">
        <v>0.06900000000000001</v>
      </c>
      <c r="K88" s="18" t="n">
        <v>99.98213199999999</v>
      </c>
      <c r="L88" s="20" t="n"/>
      <c r="M88" s="4" t="n"/>
      <c r="N88" s="4" t="inlineStr"/>
      <c r="O88" s="4" t="inlineStr">
        <is>
          <t>https://across.to/?from=solana&amp;to=bsc&amp;inputToken=USDC&amp;outputToken=USDC</t>
        </is>
      </c>
    </row>
    <row r="89">
      <c r="A89" s="4" t="inlineStr">
        <is>
          <t>ad50037180fc</t>
        </is>
      </c>
      <c r="B89" s="4" t="inlineStr">
        <is>
          <t>SOL-&gt;BSC</t>
        </is>
      </c>
      <c r="C89" s="4" t="n">
        <v>3</v>
      </c>
      <c r="D89" s="4" t="inlineStr">
        <is>
          <t>Mayan</t>
        </is>
      </c>
      <c r="E89" s="4" t="inlineStr">
        <is>
          <t>venue</t>
        </is>
      </c>
      <c r="F89" s="4" t="inlineStr">
        <is>
          <t>OK</t>
        </is>
      </c>
      <c r="G89" s="4" t="inlineStr">
        <is>
          <t>2026-09-23T08:56:14.455Z</t>
        </is>
      </c>
      <c r="H89" s="4" t="inlineStr">
        <is>
          <t>2026-09-23T08:56:15.586Z</t>
        </is>
      </c>
      <c r="I89" s="4" t="inlineStr">
        <is>
          <t>2026-09-23T08:56:17.704Z</t>
        </is>
      </c>
      <c r="J89" s="20" t="n">
        <v>0.25</v>
      </c>
      <c r="K89" s="18" t="n">
        <v>99.93000000000001</v>
      </c>
      <c r="L89" s="20" t="n"/>
      <c r="M89" s="4" t="n"/>
      <c r="N89" s="4" t="inlineStr">
        <is>
          <t>mode=Swift v2; eta=3s; display_decimals=2</t>
        </is>
      </c>
      <c r="O89" s="4" t="inlineStr">
        <is>
          <t>https://swap.mayan.finance/</t>
        </is>
      </c>
    </row>
    <row r="90">
      <c r="A90" s="4" t="inlineStr">
        <is>
          <t>ad50037180fc</t>
        </is>
      </c>
      <c r="B90" s="4" t="inlineStr">
        <is>
          <t>SOL-&gt;BSC</t>
        </is>
      </c>
      <c r="C90" s="4" t="n">
        <v>3</v>
      </c>
      <c r="D90" s="4" t="inlineStr">
        <is>
          <t>LI.FI (Jumper)</t>
        </is>
      </c>
      <c r="E90" s="4" t="inlineStr">
        <is>
          <t>venue</t>
        </is>
      </c>
      <c r="F90" s="4" t="inlineStr">
        <is>
          <t>OK</t>
        </is>
      </c>
      <c r="G90" s="4" t="inlineStr">
        <is>
          <t>2026-09-23T08:56:14.456Z</t>
        </is>
      </c>
      <c r="H90" s="4" t="inlineStr">
        <is>
          <t>2026-09-23T08:56:16.926Z</t>
        </is>
      </c>
      <c r="I90" s="4" t="inlineStr">
        <is>
          <t>2026-09-23T08:56:18.955Z</t>
        </is>
      </c>
      <c r="J90" s="20" t="n">
        <v>1.59</v>
      </c>
      <c r="K90" s="18" t="n">
        <v>99.930671</v>
      </c>
      <c r="L90" s="20" t="n"/>
      <c r="M90" s="4" t="n"/>
      <c r="N90" s="4" t="inlineStr">
        <is>
          <t>best_return_venue=Mayan (Swift); max_out=99.930671</t>
        </is>
      </c>
      <c r="O90" s="4" t="inlineStr">
        <is>
          <t>https://jumper.xyz/?fromChain=1151111081099710&amp;fromToken=EPjFWdd5AufqSSqeM2qN1xzybapC8G4wEGGkZwyTDt1v&amp;toChain=56&amp;toToken=0x8ac76a51cc950d9822d68b83fe1ad97b32cd580d</t>
        </is>
      </c>
    </row>
    <row r="91">
      <c r="A91" s="4" t="inlineStr">
        <is>
          <t>ad50037180fc</t>
        </is>
      </c>
      <c r="B91" s="4" t="inlineStr">
        <is>
          <t>SOL-&gt;BSC</t>
        </is>
      </c>
      <c r="C91" s="4" t="n">
        <v>3</v>
      </c>
      <c r="D91" s="4" t="inlineStr">
        <is>
          <t>deBridge</t>
        </is>
      </c>
      <c r="E91" s="4" t="inlineStr">
        <is>
          <t>venue</t>
        </is>
      </c>
      <c r="F91" s="4" t="inlineStr">
        <is>
          <t>OK</t>
        </is>
      </c>
      <c r="G91" s="4" t="inlineStr">
        <is>
          <t>2026-09-23T08:56:14.456Z</t>
        </is>
      </c>
      <c r="H91" s="4" t="inlineStr">
        <is>
          <t>2026-09-23T08:56:16.907Z</t>
        </is>
      </c>
      <c r="I91" s="4" t="inlineStr">
        <is>
          <t>2026-09-23T08:56:18.983Z</t>
        </is>
      </c>
      <c r="J91" s="20" t="n">
        <v>1.571</v>
      </c>
      <c r="K91" s="18" t="n">
        <v>99.880031</v>
      </c>
      <c r="L91" s="20" t="n">
        <v>1.7766</v>
      </c>
      <c r="M91" s="4" t="inlineStr">
        <is>
          <t>USDC</t>
        </is>
      </c>
      <c r="N91" s="4" t="inlineStr">
        <is>
          <t>fixed_fee_on_top=1.7766; fixed_fee_token=USDC</t>
        </is>
      </c>
      <c r="O91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92">
      <c r="A92" s="4" t="inlineStr">
        <is>
          <t>a8c2d53ba01d</t>
        </is>
      </c>
      <c r="B92" s="4" t="inlineStr">
        <is>
          <t>BSC-&gt;SOL</t>
        </is>
      </c>
      <c r="C92" s="4" t="n">
        <v>3</v>
      </c>
      <c r="D92" s="4" t="inlineStr">
        <is>
          <t>Bridg</t>
        </is>
      </c>
      <c r="E92" s="4" t="inlineStr">
        <is>
          <t>bridg</t>
        </is>
      </c>
      <c r="F92" s="4" t="inlineStr">
        <is>
          <t>OK</t>
        </is>
      </c>
      <c r="G92" s="4" t="inlineStr">
        <is>
          <t>2026-09-23T08:56:39.600Z</t>
        </is>
      </c>
      <c r="H92" s="4" t="inlineStr">
        <is>
          <t>2026-09-23T08:56:40.498Z</t>
        </is>
      </c>
      <c r="I92" s="4" t="inlineStr">
        <is>
          <t>2026-09-23T08:56:44.764Z</t>
        </is>
      </c>
      <c r="J92" s="20" t="n"/>
      <c r="K92" s="18" t="n">
        <v>99.63025399999999</v>
      </c>
      <c r="L92" s="20" t="n"/>
      <c r="M92" s="4" t="n"/>
      <c r="N92" s="4" t="inlineStr">
        <is>
          <t>best via Relay; 10 venues priced; fees [['Relay fee', 0.319747], ['Bridg fee', 0.05]]</t>
        </is>
      </c>
      <c r="O92" s="4" t="inlineStr">
        <is>
          <t>https://bridg.now/swap/</t>
        </is>
      </c>
    </row>
    <row r="93">
      <c r="A93" s="4" t="inlineStr">
        <is>
          <t>a8c2d53ba01d</t>
        </is>
      </c>
      <c r="B93" s="4" t="inlineStr">
        <is>
          <t>BSC-&gt;SOL</t>
        </is>
      </c>
      <c r="C93" s="4" t="n">
        <v>3</v>
      </c>
      <c r="D93" s="4" t="inlineStr">
        <is>
          <t>Relay</t>
        </is>
      </c>
      <c r="E93" s="4" t="inlineStr">
        <is>
          <t>venue</t>
        </is>
      </c>
      <c r="F93" s="4" t="inlineStr">
        <is>
          <t>OK</t>
        </is>
      </c>
      <c r="G93" s="4" t="inlineStr">
        <is>
          <t>2026-09-23T08:56:39.600Z</t>
        </is>
      </c>
      <c r="H93" s="4" t="inlineStr">
        <is>
          <t>2026-09-23T08:56:41.080Z</t>
        </is>
      </c>
      <c r="I93" s="4" t="inlineStr">
        <is>
          <t>2026-09-23T08:56:43.239Z</t>
        </is>
      </c>
      <c r="J93" s="20" t="n">
        <v>0.582</v>
      </c>
      <c r="K93" s="18" t="n">
        <v>99.88557400000001</v>
      </c>
      <c r="L93" s="20" t="n"/>
      <c r="M93" s="4" t="n"/>
      <c r="N93" s="4" t="inlineStr">
        <is>
          <t>rate=0.9988</t>
        </is>
      </c>
      <c r="O93" s="4" t="inlineStr">
        <is>
          <t>https://relay.link/bridge/solana?fromChainId=56&amp;fromCurrency=0x8ac76a51cc950d9822d68b83fe1ad97b32cd580d&amp;toCurrency=EPjFWdd5AufqSSqeM2qN1xzybapC8G4wEGGkZwyTDt1v</t>
        </is>
      </c>
    </row>
    <row r="94">
      <c r="A94" s="4" t="inlineStr">
        <is>
          <t>a8c2d53ba01d</t>
        </is>
      </c>
      <c r="B94" s="4" t="inlineStr">
        <is>
          <t>BSC-&gt;SOL</t>
        </is>
      </c>
      <c r="C94" s="4" t="n">
        <v>3</v>
      </c>
      <c r="D94" s="4" t="inlineStr">
        <is>
          <t>Across</t>
        </is>
      </c>
      <c r="E94" s="4" t="inlineStr">
        <is>
          <t>venue</t>
        </is>
      </c>
      <c r="F94" s="4" t="inlineStr">
        <is>
          <t>OK</t>
        </is>
      </c>
      <c r="G94" s="4" t="inlineStr">
        <is>
          <t>2026-09-23T08:56:39.600Z</t>
        </is>
      </c>
      <c r="H94" s="4" t="inlineStr">
        <is>
          <t>2026-09-23T08:56:40.573Z</t>
        </is>
      </c>
      <c r="I94" s="4" t="inlineStr">
        <is>
          <t>2026-09-23T08:56:42.695Z</t>
        </is>
      </c>
      <c r="J94" s="20" t="n">
        <v>0.075</v>
      </c>
      <c r="K94" s="18" t="n">
        <v>99.981998</v>
      </c>
      <c r="L94" s="20" t="n"/>
      <c r="M94" s="4" t="n"/>
      <c r="N94" s="4" t="inlineStr"/>
      <c r="O94" s="4" t="inlineStr">
        <is>
          <t>https://across.to/?from=bsc&amp;to=solana&amp;inputToken=USDC&amp;outputToken=USDC</t>
        </is>
      </c>
    </row>
    <row r="95">
      <c r="A95" s="4" t="inlineStr">
        <is>
          <t>a8c2d53ba01d</t>
        </is>
      </c>
      <c r="B95" s="4" t="inlineStr">
        <is>
          <t>BSC-&gt;SOL</t>
        </is>
      </c>
      <c r="C95" s="4" t="n">
        <v>3</v>
      </c>
      <c r="D95" s="4" t="inlineStr">
        <is>
          <t>Mayan</t>
        </is>
      </c>
      <c r="E95" s="4" t="inlineStr">
        <is>
          <t>venue</t>
        </is>
      </c>
      <c r="F95" s="4" t="inlineStr">
        <is>
          <t>OK</t>
        </is>
      </c>
      <c r="G95" s="4" t="inlineStr">
        <is>
          <t>2026-09-23T08:56:39.599Z</t>
        </is>
      </c>
      <c r="H95" s="4" t="inlineStr">
        <is>
          <t>2026-09-23T08:56:40.798Z</t>
        </is>
      </c>
      <c r="I95" s="4" t="inlineStr">
        <is>
          <t>2026-09-23T08:56:43.216Z</t>
        </is>
      </c>
      <c r="J95" s="20" t="n">
        <v>0.3</v>
      </c>
      <c r="K95" s="18" t="n">
        <v>99.681</v>
      </c>
      <c r="L95" s="20" t="n"/>
      <c r="M95" s="4" t="n"/>
      <c r="N95" s="4" t="inlineStr">
        <is>
          <t>mode=Swift v2; eta=3s; display_decimals=3</t>
        </is>
      </c>
      <c r="O95" s="4" t="inlineStr">
        <is>
          <t>https://swap.mayan.finance/</t>
        </is>
      </c>
    </row>
    <row r="96">
      <c r="A96" s="4" t="inlineStr">
        <is>
          <t>a8c2d53ba01d</t>
        </is>
      </c>
      <c r="B96" s="4" t="inlineStr">
        <is>
          <t>BSC-&gt;SOL</t>
        </is>
      </c>
      <c r="C96" s="4" t="n">
        <v>3</v>
      </c>
      <c r="D96" s="4" t="inlineStr">
        <is>
          <t>LI.FI (Jumper)</t>
        </is>
      </c>
      <c r="E96" s="4" t="inlineStr">
        <is>
          <t>venue</t>
        </is>
      </c>
      <c r="F96" s="4" t="inlineStr">
        <is>
          <t>OK</t>
        </is>
      </c>
      <c r="G96" s="4" t="inlineStr">
        <is>
          <t>2026-09-23T08:56:39.601Z</t>
        </is>
      </c>
      <c r="H96" s="4" t="inlineStr">
        <is>
          <t>2026-09-23T08:56:42.068Z</t>
        </is>
      </c>
      <c r="I96" s="4" t="inlineStr">
        <is>
          <t>2026-09-23T08:56:44.128Z</t>
        </is>
      </c>
      <c r="J96" s="20" t="n">
        <v>1.57</v>
      </c>
      <c r="K96" s="18" t="n">
        <v>99.88557400000001</v>
      </c>
      <c r="L96" s="20" t="n"/>
      <c r="M96" s="4" t="n"/>
      <c r="N96" s="4" t="inlineStr">
        <is>
          <t>best_return_venue=Relay; max_out=99.885574</t>
        </is>
      </c>
      <c r="O96" s="4" t="inlineStr">
        <is>
          <t>https://jumper.xyz/?fromChain=56&amp;fromToken=0x8ac76a51cc950d9822d68b83fe1ad97b32cd580d&amp;toChain=1151111081099710&amp;toToken=EPjFWdd5AufqSSqeM2qN1xzybapC8G4wEGGkZwyTDt1v</t>
        </is>
      </c>
    </row>
    <row r="97">
      <c r="A97" s="4" t="inlineStr">
        <is>
          <t>a8c2d53ba01d</t>
        </is>
      </c>
      <c r="B97" s="4" t="inlineStr">
        <is>
          <t>BSC-&gt;SOL</t>
        </is>
      </c>
      <c r="C97" s="4" t="n">
        <v>3</v>
      </c>
      <c r="D97" s="4" t="inlineStr">
        <is>
          <t>deBridge</t>
        </is>
      </c>
      <c r="E97" s="4" t="inlineStr">
        <is>
          <t>venue</t>
        </is>
      </c>
      <c r="F97" s="4" t="inlineStr">
        <is>
          <t>OK</t>
        </is>
      </c>
      <c r="G97" s="4" t="inlineStr">
        <is>
          <t>2026-09-23T08:56:39.600Z</t>
        </is>
      </c>
      <c r="H97" s="4" t="inlineStr">
        <is>
          <t>2026-09-23T08:56:41.572Z</t>
        </is>
      </c>
      <c r="I97" s="4" t="inlineStr">
        <is>
          <t>2026-09-23T08:56:43.849Z</t>
        </is>
      </c>
      <c r="J97" s="20" t="n">
        <v>1.074</v>
      </c>
      <c r="K97" s="18" t="n">
        <v>99.880032</v>
      </c>
      <c r="L97" s="20" t="n">
        <v>1.0749</v>
      </c>
      <c r="M97" s="4" t="inlineStr">
        <is>
          <t>USDC</t>
        </is>
      </c>
      <c r="N97" s="4" t="inlineStr">
        <is>
          <t>fixed_fee_on_top=1.0749; fixed_fee_token=USDC</t>
        </is>
      </c>
      <c r="O97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98">
      <c r="A98" s="4" t="inlineStr">
        <is>
          <t>5ed58b48af1c</t>
        </is>
      </c>
      <c r="B98" s="4" t="inlineStr">
        <is>
          <t>SOL-&gt;Base</t>
        </is>
      </c>
      <c r="C98" s="4" t="n">
        <v>3</v>
      </c>
      <c r="D98" s="4" t="inlineStr">
        <is>
          <t>Bridg</t>
        </is>
      </c>
      <c r="E98" s="4" t="inlineStr">
        <is>
          <t>bridg</t>
        </is>
      </c>
      <c r="F98" s="4" t="inlineStr">
        <is>
          <t>OK</t>
        </is>
      </c>
      <c r="G98" s="4" t="inlineStr">
        <is>
          <t>2026-09-23T08:57:05.518Z</t>
        </is>
      </c>
      <c r="H98" s="4" t="inlineStr">
        <is>
          <t>2026-09-23T08:57:06.405Z</t>
        </is>
      </c>
      <c r="I98" s="4" t="inlineStr">
        <is>
          <t>2026-09-23T08:57:09.342Z</t>
        </is>
      </c>
      <c r="J98" s="20" t="n"/>
      <c r="K98" s="18" t="n">
        <v>99.947171</v>
      </c>
      <c r="L98" s="20" t="n"/>
      <c r="M98" s="4" t="n"/>
      <c r="N98" s="4" t="inlineStr">
        <is>
          <t>best via Skip Go; 15 venues priced; fees [['Skip Go fee', 0.00283], ['Bridg fee', 0.05]]</t>
        </is>
      </c>
      <c r="O98" s="4" t="inlineStr">
        <is>
          <t>https://bridg.now/swap/</t>
        </is>
      </c>
    </row>
    <row r="99">
      <c r="A99" s="4" t="inlineStr">
        <is>
          <t>5ed58b48af1c</t>
        </is>
      </c>
      <c r="B99" s="4" t="inlineStr">
        <is>
          <t>SOL-&gt;Base</t>
        </is>
      </c>
      <c r="C99" s="4" t="n">
        <v>3</v>
      </c>
      <c r="D99" s="4" t="inlineStr">
        <is>
          <t>Relay</t>
        </is>
      </c>
      <c r="E99" s="4" t="inlineStr">
        <is>
          <t>venue</t>
        </is>
      </c>
      <c r="F99" s="4" t="inlineStr">
        <is>
          <t>OK</t>
        </is>
      </c>
      <c r="G99" s="4" t="inlineStr">
        <is>
          <t>2026-09-23T08:57:05.517Z</t>
        </is>
      </c>
      <c r="H99" s="4" t="inlineStr">
        <is>
          <t>2026-09-23T08:57:06.949Z</t>
        </is>
      </c>
      <c r="I99" s="4" t="inlineStr">
        <is>
          <t>2026-09-23T08:57:09.340Z</t>
        </is>
      </c>
      <c r="J99" s="20" t="n">
        <v>0.544</v>
      </c>
      <c r="K99" s="18" t="n">
        <v>99.95285800000001</v>
      </c>
      <c r="L99" s="20" t="n"/>
      <c r="M99" s="4" t="n"/>
      <c r="N99" s="4" t="inlineStr">
        <is>
          <t>rate=0.9995</t>
        </is>
      </c>
      <c r="O99" s="4" t="inlineStr">
        <is>
          <t>https://relay.link/bridge/base?fromChainId=792703809&amp;fromCurrency=EPjFWdd5AufqSSqeM2qN1xzybapC8G4wEGGkZwyTDt1v&amp;toCurrency=0x833589fcd6edb6e08f4c7c32d4f71b54bda02913</t>
        </is>
      </c>
    </row>
    <row r="100">
      <c r="A100" s="4" t="inlineStr">
        <is>
          <t>5ed58b48af1c</t>
        </is>
      </c>
      <c r="B100" s="4" t="inlineStr">
        <is>
          <t>SOL-&gt;Base</t>
        </is>
      </c>
      <c r="C100" s="4" t="n">
        <v>3</v>
      </c>
      <c r="D100" s="4" t="inlineStr">
        <is>
          <t>Across</t>
        </is>
      </c>
      <c r="E100" s="4" t="inlineStr">
        <is>
          <t>venue</t>
        </is>
      </c>
      <c r="F100" s="4" t="inlineStr">
        <is>
          <t>OK</t>
        </is>
      </c>
      <c r="G100" s="4" t="inlineStr">
        <is>
          <t>2026-09-23T08:57:05.517Z</t>
        </is>
      </c>
      <c r="H100" s="4" t="inlineStr">
        <is>
          <t>2026-09-23T08:57:06.712Z</t>
        </is>
      </c>
      <c r="I100" s="4" t="inlineStr">
        <is>
          <t>2026-09-23T08:57:08.835Z</t>
        </is>
      </c>
      <c r="J100" s="20" t="n">
        <v>0.307</v>
      </c>
      <c r="K100" s="18" t="n">
        <v>99.98999999999999</v>
      </c>
      <c r="L100" s="20" t="n"/>
      <c r="M100" s="4" t="n"/>
      <c r="N100" s="4" t="inlineStr"/>
      <c r="O100" s="4" t="inlineStr">
        <is>
          <t>https://across.to/?from=solana&amp;to=base&amp;inputToken=USDC&amp;outputToken=USDC</t>
        </is>
      </c>
    </row>
    <row r="101">
      <c r="A101" s="4" t="inlineStr">
        <is>
          <t>5ed58b48af1c</t>
        </is>
      </c>
      <c r="B101" s="4" t="inlineStr">
        <is>
          <t>SOL-&gt;Base</t>
        </is>
      </c>
      <c r="C101" s="4" t="n">
        <v>3</v>
      </c>
      <c r="D101" s="4" t="inlineStr">
        <is>
          <t>Mayan</t>
        </is>
      </c>
      <c r="E101" s="4" t="inlineStr">
        <is>
          <t>venue</t>
        </is>
      </c>
      <c r="F101" s="4" t="inlineStr">
        <is>
          <t>OK</t>
        </is>
      </c>
      <c r="G101" s="4" t="inlineStr">
        <is>
          <t>2026-09-23T08:57:05.517Z</t>
        </is>
      </c>
      <c r="H101" s="4" t="inlineStr">
        <is>
          <t>2026-09-23T08:57:06.653Z</t>
        </is>
      </c>
      <c r="I101" s="4" t="inlineStr">
        <is>
          <t>2026-09-23T08:57:08.783Z</t>
        </is>
      </c>
      <c r="J101" s="20" t="n">
        <v>0.248</v>
      </c>
      <c r="K101" s="18" t="n">
        <v>99.92700000000001</v>
      </c>
      <c r="L101" s="20" t="n"/>
      <c r="M101" s="4" t="n"/>
      <c r="N101" s="4" t="inlineStr">
        <is>
          <t>mode=Swift v2; eta=3s; display_decimals=3</t>
        </is>
      </c>
      <c r="O101" s="4" t="inlineStr">
        <is>
          <t>https://swap.mayan.finance/</t>
        </is>
      </c>
    </row>
    <row r="102">
      <c r="A102" s="4" t="inlineStr">
        <is>
          <t>5ed58b48af1c</t>
        </is>
      </c>
      <c r="B102" s="4" t="inlineStr">
        <is>
          <t>SOL-&gt;Base</t>
        </is>
      </c>
      <c r="C102" s="4" t="n">
        <v>3</v>
      </c>
      <c r="D102" s="4" t="inlineStr">
        <is>
          <t>LI.FI (Jumper)</t>
        </is>
      </c>
      <c r="E102" s="4" t="inlineStr">
        <is>
          <t>venue</t>
        </is>
      </c>
      <c r="F102" s="4" t="inlineStr">
        <is>
          <t>OK</t>
        </is>
      </c>
      <c r="G102" s="4" t="inlineStr">
        <is>
          <t>2026-09-23T08:57:05.518Z</t>
        </is>
      </c>
      <c r="H102" s="4" t="inlineStr">
        <is>
          <t>2026-09-23T08:57:08.185Z</t>
        </is>
      </c>
      <c r="I102" s="4" t="inlineStr">
        <is>
          <t>2026-09-23T08:57:10.227Z</t>
        </is>
      </c>
      <c r="J102" s="20" t="n">
        <v>1.78</v>
      </c>
      <c r="K102" s="18" t="n">
        <v>100</v>
      </c>
      <c r="L102" s="20" t="n"/>
      <c r="M102" s="4" t="n"/>
      <c r="N102" s="4" t="inlineStr">
        <is>
          <t>best_return_venue=Eco; max_out=100.0</t>
        </is>
      </c>
      <c r="O102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03">
      <c r="A103" s="4" t="inlineStr">
        <is>
          <t>5ed58b48af1c</t>
        </is>
      </c>
      <c r="B103" s="4" t="inlineStr">
        <is>
          <t>SOL-&gt;Base</t>
        </is>
      </c>
      <c r="C103" s="4" t="n">
        <v>3</v>
      </c>
      <c r="D103" s="4" t="inlineStr">
        <is>
          <t>deBridge</t>
        </is>
      </c>
      <c r="E103" s="4" t="inlineStr">
        <is>
          <t>venue</t>
        </is>
      </c>
      <c r="F103" s="4" t="inlineStr">
        <is>
          <t>OK</t>
        </is>
      </c>
      <c r="G103" s="4" t="inlineStr">
        <is>
          <t>2026-09-23T08:57:05.518Z</t>
        </is>
      </c>
      <c r="H103" s="4" t="inlineStr">
        <is>
          <t>2026-09-23T08:57:06.949Z</t>
        </is>
      </c>
      <c r="I103" s="4" t="inlineStr">
        <is>
          <t>2026-09-23T08:57:09.341Z</t>
        </is>
      </c>
      <c r="J103" s="20" t="n">
        <v>0.544</v>
      </c>
      <c r="K103" s="18" t="n">
        <v>99.920018</v>
      </c>
      <c r="L103" s="20" t="n">
        <v>1.0664</v>
      </c>
      <c r="M103" s="4" t="inlineStr">
        <is>
          <t>USDC</t>
        </is>
      </c>
      <c r="N103" s="4" t="inlineStr">
        <is>
          <t>fixed_fee_on_top=1.0664; fixed_fee_token=USDC</t>
        </is>
      </c>
      <c r="O10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04">
      <c r="A104" s="4" t="inlineStr">
        <is>
          <t>cd4aac21cb4b</t>
        </is>
      </c>
      <c r="B104" s="4" t="inlineStr">
        <is>
          <t>Base-&gt;SOL</t>
        </is>
      </c>
      <c r="C104" s="4" t="n">
        <v>3</v>
      </c>
      <c r="D104" s="4" t="inlineStr">
        <is>
          <t>Bridg</t>
        </is>
      </c>
      <c r="E104" s="4" t="inlineStr">
        <is>
          <t>bridg</t>
        </is>
      </c>
      <c r="F104" s="4" t="inlineStr">
        <is>
          <t>OK</t>
        </is>
      </c>
      <c r="G104" s="4" t="inlineStr">
        <is>
          <t>2026-09-23T08:57:30.229Z</t>
        </is>
      </c>
      <c r="H104" s="4" t="inlineStr">
        <is>
          <t>2026-09-23T08:57:31.117Z</t>
        </is>
      </c>
      <c r="I104" s="4" t="inlineStr">
        <is>
          <t>2026-09-23T08:57:34.143Z</t>
        </is>
      </c>
      <c r="J104" s="20" t="n"/>
      <c r="K104" s="18" t="n">
        <v>99.85005</v>
      </c>
      <c r="L104" s="20" t="n"/>
      <c r="M104" s="4" t="n"/>
      <c r="N104" s="4" t="inlineStr">
        <is>
          <t>best via Allbridge Core; 15 venues priced; fees [['Allbridge Core fee', 0.099951], ['Bridg fee', 0.05]]</t>
        </is>
      </c>
      <c r="O104" s="4" t="inlineStr">
        <is>
          <t>https://bridg.now/swap/</t>
        </is>
      </c>
    </row>
    <row r="105">
      <c r="A105" s="4" t="inlineStr">
        <is>
          <t>cd4aac21cb4b</t>
        </is>
      </c>
      <c r="B105" s="4" t="inlineStr">
        <is>
          <t>Base-&gt;SOL</t>
        </is>
      </c>
      <c r="C105" s="4" t="n">
        <v>3</v>
      </c>
      <c r="D105" s="4" t="inlineStr">
        <is>
          <t>Relay</t>
        </is>
      </c>
      <c r="E105" s="4" t="inlineStr">
        <is>
          <t>venue</t>
        </is>
      </c>
      <c r="F105" s="4" t="inlineStr">
        <is>
          <t>OK</t>
        </is>
      </c>
      <c r="G105" s="4" t="inlineStr">
        <is>
          <t>2026-09-23T08:57:30.230Z</t>
        </is>
      </c>
      <c r="H105" s="4" t="inlineStr">
        <is>
          <t>2026-09-23T08:57:31.880Z</t>
        </is>
      </c>
      <c r="I105" s="4" t="inlineStr">
        <is>
          <t>2026-09-23T08:57:34.142Z</t>
        </is>
      </c>
      <c r="J105" s="20" t="n">
        <v>0.763</v>
      </c>
      <c r="K105" s="18" t="n">
        <v>99.945573</v>
      </c>
      <c r="L105" s="20" t="n"/>
      <c r="M105" s="4" t="n"/>
      <c r="N105" s="4" t="inlineStr">
        <is>
          <t>rate=0.9994</t>
        </is>
      </c>
      <c r="O105" s="4" t="inlineStr">
        <is>
          <t>https://relay.link/bridge/solana?fromChainId=8453&amp;fromCurrency=0x833589fcd6edb6e08f4c7c32d4f71b54bda02913&amp;toCurrency=EPjFWdd5AufqSSqeM2qN1xzybapC8G4wEGGkZwyTDt1v</t>
        </is>
      </c>
    </row>
    <row r="106">
      <c r="A106" s="4" t="inlineStr">
        <is>
          <t>cd4aac21cb4b</t>
        </is>
      </c>
      <c r="B106" s="4" t="inlineStr">
        <is>
          <t>Base-&gt;SOL</t>
        </is>
      </c>
      <c r="C106" s="4" t="n">
        <v>3</v>
      </c>
      <c r="D106" s="4" t="inlineStr">
        <is>
          <t>Across</t>
        </is>
      </c>
      <c r="E106" s="4" t="inlineStr">
        <is>
          <t>venue</t>
        </is>
      </c>
      <c r="F106" s="4" t="inlineStr">
        <is>
          <t>OK</t>
        </is>
      </c>
      <c r="G106" s="4" t="inlineStr">
        <is>
          <t>2026-09-23T08:57:30.230Z</t>
        </is>
      </c>
      <c r="H106" s="4" t="inlineStr">
        <is>
          <t>2026-09-23T08:57:31.170Z</t>
        </is>
      </c>
      <c r="I106" s="4" t="inlineStr">
        <is>
          <t>2026-09-23T08:57:33.296Z</t>
        </is>
      </c>
      <c r="J106" s="20" t="n">
        <v>0.053</v>
      </c>
      <c r="K106" s="18" t="n">
        <v>99.98699999999999</v>
      </c>
      <c r="L106" s="20" t="n"/>
      <c r="M106" s="4" t="n"/>
      <c r="N106" s="4" t="inlineStr"/>
      <c r="O106" s="4" t="inlineStr">
        <is>
          <t>https://across.to/?from=base&amp;to=solana&amp;inputToken=USDC&amp;outputToken=USDC</t>
        </is>
      </c>
    </row>
    <row r="107">
      <c r="A107" s="4" t="inlineStr">
        <is>
          <t>cd4aac21cb4b</t>
        </is>
      </c>
      <c r="B107" s="4" t="inlineStr">
        <is>
          <t>Base-&gt;SOL</t>
        </is>
      </c>
      <c r="C107" s="4" t="n">
        <v>3</v>
      </c>
      <c r="D107" s="4" t="inlineStr">
        <is>
          <t>Mayan</t>
        </is>
      </c>
      <c r="E107" s="4" t="inlineStr">
        <is>
          <t>venue</t>
        </is>
      </c>
      <c r="F107" s="4" t="inlineStr">
        <is>
          <t>OK</t>
        </is>
      </c>
      <c r="G107" s="4" t="inlineStr">
        <is>
          <t>2026-09-23T08:57:30.229Z</t>
        </is>
      </c>
      <c r="H107" s="4" t="inlineStr">
        <is>
          <t>2026-09-23T08:57:31.360Z</t>
        </is>
      </c>
      <c r="I107" s="4" t="inlineStr">
        <is>
          <t>2026-09-23T08:57:33.483Z</t>
        </is>
      </c>
      <c r="J107" s="20" t="n">
        <v>0.243</v>
      </c>
      <c r="K107" s="18" t="n">
        <v>99.68000000000001</v>
      </c>
      <c r="L107" s="20" t="n"/>
      <c r="M107" s="4" t="n"/>
      <c r="N107" s="4" t="inlineStr">
        <is>
          <t>mode=Swift v2; eta=3s; display_decimals=2</t>
        </is>
      </c>
      <c r="O107" s="4" t="inlineStr">
        <is>
          <t>https://swap.mayan.finance/</t>
        </is>
      </c>
    </row>
    <row r="108">
      <c r="A108" s="4" t="inlineStr">
        <is>
          <t>cd4aac21cb4b</t>
        </is>
      </c>
      <c r="B108" s="4" t="inlineStr">
        <is>
          <t>Base-&gt;SOL</t>
        </is>
      </c>
      <c r="C108" s="4" t="n">
        <v>3</v>
      </c>
      <c r="D108" s="4" t="inlineStr">
        <is>
          <t>LI.FI (Jumper)</t>
        </is>
      </c>
      <c r="E108" s="4" t="inlineStr">
        <is>
          <t>venue</t>
        </is>
      </c>
      <c r="F108" s="4" t="inlineStr">
        <is>
          <t>OK</t>
        </is>
      </c>
      <c r="G108" s="4" t="inlineStr">
        <is>
          <t>2026-09-23T08:57:30.230Z</t>
        </is>
      </c>
      <c r="H108" s="4" t="inlineStr">
        <is>
          <t>2026-09-23T08:57:32.445Z</t>
        </is>
      </c>
      <c r="I108" s="4" t="inlineStr">
        <is>
          <t>2026-09-23T08:57:34.721Z</t>
        </is>
      </c>
      <c r="J108" s="20" t="n">
        <v>1.328</v>
      </c>
      <c r="K108" s="18" t="n">
        <v>100</v>
      </c>
      <c r="L108" s="20" t="n"/>
      <c r="M108" s="4" t="n"/>
      <c r="N108" s="4" t="inlineStr">
        <is>
          <t>best_return_venue=Polymer (Standard); max_out=100.0</t>
        </is>
      </c>
      <c r="O108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09">
      <c r="A109" s="4" t="inlineStr">
        <is>
          <t>cd4aac21cb4b</t>
        </is>
      </c>
      <c r="B109" s="4" t="inlineStr">
        <is>
          <t>Base-&gt;SOL</t>
        </is>
      </c>
      <c r="C109" s="4" t="n">
        <v>3</v>
      </c>
      <c r="D109" s="4" t="inlineStr">
        <is>
          <t>deBridge</t>
        </is>
      </c>
      <c r="E109" s="4" t="inlineStr">
        <is>
          <t>venue</t>
        </is>
      </c>
      <c r="F109" s="4" t="inlineStr">
        <is>
          <t>OK</t>
        </is>
      </c>
      <c r="G109" s="4" t="inlineStr">
        <is>
          <t>2026-09-23T08:57:30.230Z</t>
        </is>
      </c>
      <c r="H109" s="4" t="inlineStr">
        <is>
          <t>2026-09-23T08:57:31.434Z</t>
        </is>
      </c>
      <c r="I109" s="4" t="inlineStr">
        <is>
          <t>2026-09-23T08:57:33.839Z</t>
        </is>
      </c>
      <c r="J109" s="20" t="n">
        <v>0.317</v>
      </c>
      <c r="K109" s="18" t="n">
        <v>99.920018</v>
      </c>
      <c r="L109" s="20" t="n">
        <v>1.0404</v>
      </c>
      <c r="M109" s="4" t="inlineStr">
        <is>
          <t>USDC</t>
        </is>
      </c>
      <c r="N109" s="4" t="inlineStr">
        <is>
          <t>fixed_fee_on_top=1.0404; fixed_fee_token=USDC</t>
        </is>
      </c>
      <c r="O10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10">
      <c r="A110" s="4" t="inlineStr">
        <is>
          <t>345eb5547040</t>
        </is>
      </c>
      <c r="B110" s="4" t="inlineStr">
        <is>
          <t>BSC-&gt;SOL</t>
        </is>
      </c>
      <c r="C110" s="4" t="n">
        <v>1</v>
      </c>
      <c r="D110" s="4" t="inlineStr">
        <is>
          <t>Bridg</t>
        </is>
      </c>
      <c r="E110" s="4" t="inlineStr">
        <is>
          <t>bridg</t>
        </is>
      </c>
      <c r="F110" s="4" t="inlineStr">
        <is>
          <t>OK</t>
        </is>
      </c>
      <c r="G110" s="4" t="inlineStr">
        <is>
          <t>2026-09-23T08:58:36.963Z</t>
        </is>
      </c>
      <c r="H110" s="4" t="inlineStr">
        <is>
          <t>2026-09-23T08:58:38.114Z</t>
        </is>
      </c>
      <c r="I110" s="4" t="inlineStr">
        <is>
          <t>2026-09-23T08:58:41.788Z</t>
        </is>
      </c>
      <c r="J110" s="20" t="n"/>
      <c r="K110" s="18" t="n">
        <v>99.63003500000001</v>
      </c>
      <c r="L110" s="20" t="n"/>
      <c r="M110" s="4" t="n"/>
      <c r="N110" s="4" t="inlineStr">
        <is>
          <t>best via Relay; 10 venues priced; fees [['Relay fee', 0.319966], ['Bridg fee', 0.05]]</t>
        </is>
      </c>
      <c r="O110" s="4" t="inlineStr">
        <is>
          <t>https://bridg.now/swap/</t>
        </is>
      </c>
    </row>
    <row r="111">
      <c r="A111" s="4" t="inlineStr">
        <is>
          <t>345eb5547040</t>
        </is>
      </c>
      <c r="B111" s="4" t="inlineStr">
        <is>
          <t>BSC-&gt;SOL</t>
        </is>
      </c>
      <c r="C111" s="4" t="n">
        <v>1</v>
      </c>
      <c r="D111" s="4" t="inlineStr">
        <is>
          <t>Across</t>
        </is>
      </c>
      <c r="E111" s="4" t="inlineStr">
        <is>
          <t>venue</t>
        </is>
      </c>
      <c r="F111" s="4" t="inlineStr">
        <is>
          <t>ENTER_FAILED</t>
        </is>
      </c>
      <c r="G111" s="4" t="inlineStr">
        <is>
          <t>2026-09-23T08:58:36.963Z</t>
        </is>
      </c>
      <c r="H111" s="4" t="n"/>
      <c r="I111" s="4" t="n"/>
      <c r="J111" s="20" t="n"/>
      <c r="K111" s="18" t="n"/>
      <c r="L111" s="20" t="n"/>
      <c r="M111" s="4" t="n"/>
      <c r="N111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1" s="4" t="inlineStr">
        <is>
          <t>https://across.to/?from=bnbsmartchain&amp;inputToken=USDC</t>
        </is>
      </c>
    </row>
    <row r="112">
      <c r="A112" s="4" t="inlineStr">
        <is>
          <t>5919993a1583</t>
        </is>
      </c>
      <c r="B112" s="4" t="inlineStr">
        <is>
          <t>BSC-&gt;SOL</t>
        </is>
      </c>
      <c r="C112" s="4" t="n">
        <v>2</v>
      </c>
      <c r="D112" s="4" t="inlineStr">
        <is>
          <t>Bridg</t>
        </is>
      </c>
      <c r="E112" s="4" t="inlineStr">
        <is>
          <t>bridg</t>
        </is>
      </c>
      <c r="F112" s="4" t="inlineStr">
        <is>
          <t>OK</t>
        </is>
      </c>
      <c r="G112" s="4" t="inlineStr">
        <is>
          <t>2026-09-23T08:59:48.460Z</t>
        </is>
      </c>
      <c r="H112" s="4" t="inlineStr">
        <is>
          <t>2026-09-23T08:59:50.103Z</t>
        </is>
      </c>
      <c r="I112" s="4" t="inlineStr">
        <is>
          <t>2026-09-23T08:59:53.472Z</t>
        </is>
      </c>
      <c r="J112" s="20" t="n"/>
      <c r="K112" s="18" t="n">
        <v>99.63012999999999</v>
      </c>
      <c r="L112" s="20" t="n"/>
      <c r="M112" s="4" t="n"/>
      <c r="N112" s="4" t="inlineStr">
        <is>
          <t>best via Relay; 10 venues priced; fees [['Relay fee', 0.319871], ['Bridg fee', 0.05]]</t>
        </is>
      </c>
      <c r="O112" s="4" t="inlineStr">
        <is>
          <t>https://bridg.now/swap/</t>
        </is>
      </c>
    </row>
    <row r="113">
      <c r="A113" s="4" t="inlineStr">
        <is>
          <t>5919993a1583</t>
        </is>
      </c>
      <c r="B113" s="4" t="inlineStr">
        <is>
          <t>BSC-&gt;SOL</t>
        </is>
      </c>
      <c r="C113" s="4" t="n">
        <v>2</v>
      </c>
      <c r="D113" s="4" t="inlineStr">
        <is>
          <t>Across</t>
        </is>
      </c>
      <c r="E113" s="4" t="inlineStr">
        <is>
          <t>venue</t>
        </is>
      </c>
      <c r="F113" s="4" t="inlineStr">
        <is>
          <t>ENTER_FAILED</t>
        </is>
      </c>
      <c r="G113" s="4" t="inlineStr">
        <is>
          <t>2026-09-23T08:59:48.459Z</t>
        </is>
      </c>
      <c r="H113" s="4" t="n"/>
      <c r="I113" s="4" t="n"/>
      <c r="J113" s="20" t="n"/>
      <c r="K113" s="18" t="n"/>
      <c r="L113" s="20" t="n"/>
      <c r="M113" s="4" t="n"/>
      <c r="N113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3" s="4" t="inlineStr">
        <is>
          <t>https://across.to/?from=bsc&amp;to=solana&amp;inputToken=USDC&amp;outputToken=USDC</t>
        </is>
      </c>
    </row>
    <row r="114">
      <c r="A114" s="4" t="inlineStr">
        <is>
          <t>38a3cdfed29c</t>
        </is>
      </c>
      <c r="B114" s="4" t="inlineStr">
        <is>
          <t>BSC-&gt;SOL</t>
        </is>
      </c>
      <c r="C114" s="4" t="n">
        <v>3</v>
      </c>
      <c r="D114" s="4" t="inlineStr">
        <is>
          <t>Bridg</t>
        </is>
      </c>
      <c r="E114" s="4" t="inlineStr">
        <is>
          <t>bridg</t>
        </is>
      </c>
      <c r="F114" s="4" t="inlineStr">
        <is>
          <t>OK</t>
        </is>
      </c>
      <c r="G114" s="4" t="inlineStr">
        <is>
          <t>2026-09-23T09:01:00.002Z</t>
        </is>
      </c>
      <c r="H114" s="4" t="inlineStr">
        <is>
          <t>2026-09-23T09:01:01.138Z</t>
        </is>
      </c>
      <c r="I114" s="4" t="inlineStr">
        <is>
          <t>2026-09-23T09:01:04.751Z</t>
        </is>
      </c>
      <c r="J114" s="20" t="n"/>
      <c r="K114" s="18" t="n">
        <v>99.630168</v>
      </c>
      <c r="L114" s="20" t="n"/>
      <c r="M114" s="4" t="n"/>
      <c r="N114" s="4" t="inlineStr">
        <is>
          <t>best via Relay; 10 venues priced; fees [['Relay fee', 0.319832], ['Bridg fee', 0.05]]</t>
        </is>
      </c>
      <c r="O114" s="4" t="inlineStr">
        <is>
          <t>https://bridg.now/swap/</t>
        </is>
      </c>
    </row>
    <row r="115">
      <c r="A115" s="4" t="inlineStr">
        <is>
          <t>38a3cdfed29c</t>
        </is>
      </c>
      <c r="B115" s="4" t="inlineStr">
        <is>
          <t>BSC-&gt;SOL</t>
        </is>
      </c>
      <c r="C115" s="4" t="n">
        <v>3</v>
      </c>
      <c r="D115" s="4" t="inlineStr">
        <is>
          <t>Across</t>
        </is>
      </c>
      <c r="E115" s="4" t="inlineStr">
        <is>
          <t>venue</t>
        </is>
      </c>
      <c r="F115" s="4" t="inlineStr">
        <is>
          <t>OK</t>
        </is>
      </c>
      <c r="G115" s="4" t="inlineStr">
        <is>
          <t>2026-09-23T09:01:00.001Z</t>
        </is>
      </c>
      <c r="H115" s="4" t="inlineStr">
        <is>
          <t>2026-09-23T09:01:01.185Z</t>
        </is>
      </c>
      <c r="I115" s="4" t="inlineStr">
        <is>
          <t>2026-09-23T09:01:03.317Z</t>
        </is>
      </c>
      <c r="J115" s="20" t="n">
        <v>0.047</v>
      </c>
      <c r="K115" s="18" t="n">
        <v>99.982169</v>
      </c>
      <c r="L115" s="20" t="n"/>
      <c r="M115" s="4" t="n"/>
      <c r="N115" s="4" t="inlineStr"/>
      <c r="O115" s="4" t="inlineStr">
        <is>
          <t>https://across.to/?from=bsc&amp;to=solana&amp;inputToken=USDC&amp;outputToken=USDC</t>
        </is>
      </c>
    </row>
    <row r="116">
      <c r="A116" s="4" t="inlineStr">
        <is>
          <t>ff7bbb2f504b</t>
        </is>
      </c>
      <c r="B116" s="4" t="inlineStr">
        <is>
          <t>SOL-&gt;ETH</t>
        </is>
      </c>
      <c r="C116" s="4" t="n">
        <v>1</v>
      </c>
      <c r="D116" s="4" t="inlineStr">
        <is>
          <t>Bridg</t>
        </is>
      </c>
      <c r="E116" s="4" t="inlineStr">
        <is>
          <t>bridg</t>
        </is>
      </c>
      <c r="F116" s="4" t="inlineStr">
        <is>
          <t>OK</t>
        </is>
      </c>
      <c r="G116" s="4" t="inlineStr">
        <is>
          <t>2026-09-23T09:38:07.965Z</t>
        </is>
      </c>
      <c r="H116" s="4" t="inlineStr">
        <is>
          <t>2026-09-23T09:38:09.089Z</t>
        </is>
      </c>
      <c r="I116" s="4" t="inlineStr">
        <is>
          <t>2026-09-23T09:38:12.995Z</t>
        </is>
      </c>
      <c r="J116" s="20" t="n"/>
      <c r="K116" s="18" t="n">
        <v>99.693094</v>
      </c>
      <c r="L116" s="20" t="n"/>
      <c r="M116" s="4" t="n"/>
      <c r="N116" s="4" t="inlineStr">
        <is>
          <t>best via Relay; 16 venues priced; fees [['Relay fee', 0.256907], ['Bridg fee', 0.05]]</t>
        </is>
      </c>
      <c r="O116" s="4" t="inlineStr">
        <is>
          <t>https://bridg.now/swap/</t>
        </is>
      </c>
    </row>
    <row r="117">
      <c r="A117" s="4" t="inlineStr">
        <is>
          <t>ff7bbb2f504b</t>
        </is>
      </c>
      <c r="B117" s="4" t="inlineStr">
        <is>
          <t>SOL-&gt;ETH</t>
        </is>
      </c>
      <c r="C117" s="4" t="n">
        <v>1</v>
      </c>
      <c r="D117" s="4" t="inlineStr">
        <is>
          <t>Relay</t>
        </is>
      </c>
      <c r="E117" s="4" t="inlineStr">
        <is>
          <t>venue</t>
        </is>
      </c>
      <c r="F117" s="4" t="inlineStr">
        <is>
          <t>OK</t>
        </is>
      </c>
      <c r="G117" s="4" t="inlineStr">
        <is>
          <t>2026-09-23T09:38:07.965Z</t>
        </is>
      </c>
      <c r="H117" s="4" t="inlineStr">
        <is>
          <t>2026-09-23T09:38:09.958Z</t>
        </is>
      </c>
      <c r="I117" s="4" t="inlineStr">
        <is>
          <t>2026-09-23T09:38:12.383Z</t>
        </is>
      </c>
      <c r="J117" s="20" t="n">
        <v>0.869</v>
      </c>
      <c r="K117" s="18" t="n">
        <v>99.898059</v>
      </c>
      <c r="L117" s="20" t="n"/>
      <c r="M117" s="4" t="n"/>
      <c r="N117" s="4" t="inlineStr">
        <is>
          <t>rate=0.9989</t>
        </is>
      </c>
      <c r="O117" s="4" t="inlineStr">
        <is>
          <t>https://relay.link/bridge/ethereum?fromChainId=792703809&amp;fromCurrency=EPjFWdd5AufqSSqeM2qN1xzybapC8G4wEGGkZwyTDt1v&amp;toCurrency=0xa0b86991c6218b36c1d19d4a2e9eb0ce3606eb48</t>
        </is>
      </c>
    </row>
    <row r="118">
      <c r="A118" s="4" t="inlineStr">
        <is>
          <t>ff7bbb2f504b</t>
        </is>
      </c>
      <c r="B118" s="4" t="inlineStr">
        <is>
          <t>SOL-&gt;ETH</t>
        </is>
      </c>
      <c r="C118" s="4" t="n">
        <v>1</v>
      </c>
      <c r="D118" s="4" t="inlineStr">
        <is>
          <t>deBridge</t>
        </is>
      </c>
      <c r="E118" s="4" t="inlineStr">
        <is>
          <t>venue</t>
        </is>
      </c>
      <c r="F118" s="4" t="inlineStr">
        <is>
          <t>OK</t>
        </is>
      </c>
      <c r="G118" s="4" t="inlineStr">
        <is>
          <t>2026-09-23T09:38:07.966Z</t>
        </is>
      </c>
      <c r="H118" s="4" t="inlineStr">
        <is>
          <t>2026-09-23T09:38:10.135Z</t>
        </is>
      </c>
      <c r="I118" s="4" t="inlineStr">
        <is>
          <t>2026-09-23T09:38:12.386Z</t>
        </is>
      </c>
      <c r="J118" s="20" t="n">
        <v>1.046</v>
      </c>
      <c r="K118" s="18" t="n">
        <v>99.880033</v>
      </c>
      <c r="L118" s="20" t="n">
        <v>1.696</v>
      </c>
      <c r="M118" s="4" t="inlineStr">
        <is>
          <t>USDC</t>
        </is>
      </c>
      <c r="N118" s="4" t="inlineStr">
        <is>
          <t>fixed_fee_on_top=1.696; fixed_fee_token=USDC</t>
        </is>
      </c>
      <c r="O118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19">
      <c r="A119" s="4" t="inlineStr">
        <is>
          <t>ff7bbb2f504b</t>
        </is>
      </c>
      <c r="B119" s="4" t="inlineStr">
        <is>
          <t>SOL-&gt;ETH</t>
        </is>
      </c>
      <c r="C119" s="4" t="n">
        <v>1</v>
      </c>
      <c r="D119" s="4" t="inlineStr">
        <is>
          <t>LI.FI (Jumper)</t>
        </is>
      </c>
      <c r="E119" s="4" t="inlineStr">
        <is>
          <t>venue</t>
        </is>
      </c>
      <c r="F119" s="4" t="inlineStr">
        <is>
          <t>OK</t>
        </is>
      </c>
      <c r="G119" s="4" t="inlineStr">
        <is>
          <t>2026-09-23T09:38:07.967Z</t>
        </is>
      </c>
      <c r="H119" s="4" t="inlineStr">
        <is>
          <t>2026-09-23T09:38:09.980Z</t>
        </is>
      </c>
      <c r="I119" s="4" t="inlineStr">
        <is>
          <t>2026-09-23T09:38:12.333Z</t>
        </is>
      </c>
      <c r="J119" s="20" t="n">
        <v>0.891</v>
      </c>
      <c r="K119" s="18" t="n">
        <v>99.898059</v>
      </c>
      <c r="L119" s="20" t="n"/>
      <c r="M119" s="4" t="n"/>
      <c r="N119" s="4" t="inlineStr">
        <is>
          <t>best_return_venue=Relay; max_out=99.99</t>
        </is>
      </c>
      <c r="O119" s="4" t="inlineStr">
        <is>
          <t>https://jumper.xyz/?fromChain=1151111081099710&amp;fromToken=EPjFWdd5AufqSSqeM2qN1xzybapC8G4wEGGkZwyTDt1v&amp;toChain=1&amp;toToken=0xa0b86991c6218b36c1d19d4a2e9eb0ce3606eb48</t>
        </is>
      </c>
    </row>
    <row r="120">
      <c r="A120" s="4" t="inlineStr">
        <is>
          <t>ff7bbb2f504b</t>
        </is>
      </c>
      <c r="B120" s="4" t="inlineStr">
        <is>
          <t>SOL-&gt;ETH</t>
        </is>
      </c>
      <c r="C120" s="4" t="n">
        <v>1</v>
      </c>
      <c r="D120" s="4" t="inlineStr">
        <is>
          <t>Across</t>
        </is>
      </c>
      <c r="E120" s="4" t="inlineStr">
        <is>
          <t>venue</t>
        </is>
      </c>
      <c r="F120" s="4" t="inlineStr">
        <is>
          <t>OK</t>
        </is>
      </c>
      <c r="G120" s="4" t="inlineStr">
        <is>
          <t>2026-09-23T09:38:07.965Z</t>
        </is>
      </c>
      <c r="H120" s="4" t="inlineStr">
        <is>
          <t>2026-09-23T09:38:09.461Z</t>
        </is>
      </c>
      <c r="I120" s="4" t="inlineStr">
        <is>
          <t>2026-09-23T09:38:11.596Z</t>
        </is>
      </c>
      <c r="J120" s="20" t="n">
        <v>0.372</v>
      </c>
      <c r="K120" s="18" t="n">
        <v>99.98999999999999</v>
      </c>
      <c r="L120" s="20" t="n"/>
      <c r="M120" s="4" t="n"/>
      <c r="N120" s="4" t="inlineStr"/>
      <c r="O120" s="4" t="inlineStr">
        <is>
          <t>https://across.to/?from=solana&amp;to=ethereum&amp;inputToken=USDC&amp;outputToken=USDC</t>
        </is>
      </c>
    </row>
    <row r="121">
      <c r="A121" s="4" t="inlineStr">
        <is>
          <t>ff7bbb2f504b</t>
        </is>
      </c>
      <c r="B121" s="4" t="inlineStr">
        <is>
          <t>SOL-&gt;ETH</t>
        </is>
      </c>
      <c r="C121" s="4" t="n">
        <v>1</v>
      </c>
      <c r="D121" s="4" t="inlineStr">
        <is>
          <t>Mayan</t>
        </is>
      </c>
      <c r="E121" s="4" t="inlineStr">
        <is>
          <t>venue</t>
        </is>
      </c>
      <c r="F121" s="4" t="inlineStr">
        <is>
          <t>OK</t>
        </is>
      </c>
      <c r="G121" s="4" t="inlineStr">
        <is>
          <t>2026-09-23T09:38:07.964Z</t>
        </is>
      </c>
      <c r="H121" s="4" t="inlineStr">
        <is>
          <t>2026-09-23T09:38:09.318Z</t>
        </is>
      </c>
      <c r="I121" s="4" t="inlineStr">
        <is>
          <t>2026-09-23T09:38:11.448Z</t>
        </is>
      </c>
      <c r="J121" s="20" t="n">
        <v>0.229</v>
      </c>
      <c r="K121" s="18" t="n">
        <v>99.3</v>
      </c>
      <c r="L121" s="20" t="n"/>
      <c r="M121" s="4" t="n"/>
      <c r="N121" s="4" t="inlineStr">
        <is>
          <t>mode=Swift v2; eta=3s; display_decimals=1</t>
        </is>
      </c>
      <c r="O121" s="4" t="inlineStr">
        <is>
          <t>https://swap.mayan.finance/</t>
        </is>
      </c>
    </row>
    <row r="122">
      <c r="A122" s="4" t="inlineStr">
        <is>
          <t>ff7bbb2f504b</t>
        </is>
      </c>
      <c r="B122" s="4" t="inlineStr">
        <is>
          <t>SOL-&gt;ETH</t>
        </is>
      </c>
      <c r="C122" s="4" t="n">
        <v>1</v>
      </c>
      <c r="D122" s="4" t="inlineStr">
        <is>
          <t>Allbridge Core</t>
        </is>
      </c>
      <c r="E122" s="4" t="inlineStr">
        <is>
          <t>venue</t>
        </is>
      </c>
      <c r="F122" s="4" t="inlineStr">
        <is>
          <t>OK</t>
        </is>
      </c>
      <c r="G122" s="4" t="inlineStr">
        <is>
          <t>2026-09-23T09:38:07.968Z</t>
        </is>
      </c>
      <c r="H122" s="4" t="inlineStr">
        <is>
          <t>2026-09-23T09:38:09.215Z</t>
        </is>
      </c>
      <c r="I122" s="4" t="inlineStr">
        <is>
          <t>2026-09-23T09:38:11.477Z</t>
        </is>
      </c>
      <c r="J122" s="20" t="n">
        <v>0.126</v>
      </c>
      <c r="K122" s="18" t="n">
        <v>99.90000000000001</v>
      </c>
      <c r="L122" s="20" t="n">
        <v>0.014509</v>
      </c>
      <c r="M122" s="4" t="inlineStr">
        <is>
          <t>SOL (relayer fee, fee=native)</t>
        </is>
      </c>
      <c r="N122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122" s="4" t="inlineStr">
        <is>
          <t>https://core.allbridge.io/?fee=native&amp;ft=USDC&amp;tt=USDC&amp;f=SOL&amp;t=ETH</t>
        </is>
      </c>
    </row>
    <row r="123">
      <c r="A123" s="4" t="inlineStr">
        <is>
          <t>ff7bbb2f504b</t>
        </is>
      </c>
      <c r="B123" s="4" t="inlineStr">
        <is>
          <t>SOL-&gt;ETH</t>
        </is>
      </c>
      <c r="C123" s="4" t="n">
        <v>1</v>
      </c>
      <c r="D123" s="4" t="inlineStr">
        <is>
          <t>CCTP (via Portal)</t>
        </is>
      </c>
      <c r="E123" s="4" t="inlineStr">
        <is>
          <t>venue</t>
        </is>
      </c>
      <c r="F123" s="4" t="inlineStr">
        <is>
          <t>OK</t>
        </is>
      </c>
      <c r="G123" s="4" t="inlineStr">
        <is>
          <t>2026-09-23T09:38:07.969Z</t>
        </is>
      </c>
      <c r="H123" s="4" t="inlineStr">
        <is>
          <t>2026-09-23T09:38:11.366Z</t>
        </is>
      </c>
      <c r="I123" s="4" t="inlineStr">
        <is>
          <t>2026-09-23T09:38:13.491Z</t>
        </is>
      </c>
      <c r="J123" s="20" t="n">
        <v>2.277</v>
      </c>
      <c r="K123" s="18" t="n">
        <v>99.98999999999999</v>
      </c>
      <c r="L123" s="20" t="n"/>
      <c r="M123" s="4" t="n"/>
      <c r="N123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23" s="4" t="inlineStr">
        <is>
          <t>https://portalbridge.com/usdc-bridge?fromChain=Solana&amp;fromToken=USDC&amp;toChain=Ethereum&amp;toToken=USDC</t>
        </is>
      </c>
    </row>
    <row r="124">
      <c r="A124" s="4" t="inlineStr">
        <is>
          <t>ff7bbb2f504b</t>
        </is>
      </c>
      <c r="B124" s="4" t="inlineStr">
        <is>
          <t>SOL-&gt;ETH</t>
        </is>
      </c>
      <c r="C124" s="4" t="n">
        <v>1</v>
      </c>
      <c r="D124" s="4" t="inlineStr">
        <is>
          <t>Husher</t>
        </is>
      </c>
      <c r="E124" s="4" t="inlineStr">
        <is>
          <t>venue</t>
        </is>
      </c>
      <c r="F124" s="4" t="inlineStr">
        <is>
          <t>OK</t>
        </is>
      </c>
      <c r="G124" s="4" t="inlineStr">
        <is>
          <t>2026-09-23T09:38:07.969Z</t>
        </is>
      </c>
      <c r="H124" s="4" t="inlineStr">
        <is>
          <t>2026-09-23T09:38:09.196Z</t>
        </is>
      </c>
      <c r="I124" s="4" t="inlineStr">
        <is>
          <t>2026-09-23T09:38:11.338Z</t>
        </is>
      </c>
      <c r="J124" s="20" t="n">
        <v>0.107</v>
      </c>
      <c r="K124" s="18" t="n">
        <v>99.05</v>
      </c>
      <c r="L124" s="20" t="n"/>
      <c r="M124" s="4" t="n"/>
      <c r="N124" s="4" t="inlineStr">
        <is>
          <t>out_usd=$99.06; provider=Husher (Best Rate); rate_type=floating; fee_deducted=0.35; network_fee_deducted=0.6; api_receive=99.05000000; eta_s=40; display_decimals=2</t>
        </is>
      </c>
      <c r="O124" s="4" t="inlineStr">
        <is>
          <t>https://www.husher.io/</t>
        </is>
      </c>
    </row>
    <row r="125">
      <c r="A125" s="4" t="inlineStr">
        <is>
          <t>ff7bbb2f504b</t>
        </is>
      </c>
      <c r="B125" s="4" t="inlineStr">
        <is>
          <t>SOL-&gt;ETH</t>
        </is>
      </c>
      <c r="C125" s="4" t="n">
        <v>1</v>
      </c>
      <c r="D125" s="4" t="inlineStr">
        <is>
          <t>Layerswap</t>
        </is>
      </c>
      <c r="E125" s="4" t="inlineStr">
        <is>
          <t>venue</t>
        </is>
      </c>
      <c r="F125" s="4" t="inlineStr">
        <is>
          <t>OK</t>
        </is>
      </c>
      <c r="G125" s="4" t="inlineStr">
        <is>
          <t>2026-09-23T09:38:07.964Z</t>
        </is>
      </c>
      <c r="H125" s="4" t="inlineStr">
        <is>
          <t>2026-09-23T09:38:10.331Z</t>
        </is>
      </c>
      <c r="I125" s="4" t="inlineStr">
        <is>
          <t>2026-09-23T09:38:12.382Z</t>
        </is>
      </c>
      <c r="J125" s="20" t="n">
        <v>1.242</v>
      </c>
      <c r="K125" s="18" t="n">
        <v>99.730239</v>
      </c>
      <c r="L125" s="20" t="n"/>
      <c r="M125" s="4" t="n"/>
      <c r="N125" s="4" t="inlineStr">
        <is>
          <t>out_usd=$99.71; fee_usd=0.27; slippage=0.00%; eta=25 secs; to_token=USDC; to_chain=Ethereum; display_decimals=6</t>
        </is>
      </c>
      <c r="O125" s="4" t="inlineStr">
        <is>
          <t>https://layerswap.io/app?from=SOLANA_MAINNET&amp;to=ETHEREUM_MAINNET&amp;fromAsset=USDC&amp;toAsset=USDC</t>
        </is>
      </c>
    </row>
    <row r="126">
      <c r="A126" s="4" t="inlineStr">
        <is>
          <t>ff7bbb2f504b</t>
        </is>
      </c>
      <c r="B126" s="4" t="inlineStr">
        <is>
          <t>SOL-&gt;ETH</t>
        </is>
      </c>
      <c r="C126" s="4" t="n">
        <v>1</v>
      </c>
      <c r="D126" s="4" t="inlineStr">
        <is>
          <t>Meson</t>
        </is>
      </c>
      <c r="E126" s="4" t="inlineStr">
        <is>
          <t>venue</t>
        </is>
      </c>
      <c r="F126" s="4" t="inlineStr">
        <is>
          <t>OK</t>
        </is>
      </c>
      <c r="G126" s="4" t="inlineStr">
        <is>
          <t>2026-09-23T09:38:07.969Z</t>
        </is>
      </c>
      <c r="H126" s="4" t="inlineStr">
        <is>
          <t>2026-09-23T09:38:08.201Z</t>
        </is>
      </c>
      <c r="I126" s="4" t="inlineStr">
        <is>
          <t>2026-09-23T09:38:10.339Z</t>
        </is>
      </c>
      <c r="J126" s="20" t="n">
        <v>0.888</v>
      </c>
      <c r="K126" s="18" t="n">
        <v>99.70999999999999</v>
      </c>
      <c r="L126" s="20" t="n">
        <v>0</v>
      </c>
      <c r="M126" s="4" t="n"/>
      <c r="N126" s="4" t="inlineStr">
        <is>
          <t>fees_deducted=[['Fee', 0.29, 'USDC']]; fee_total=0.29; fixed_fee_on_top=0.0; display_decimals=2</t>
        </is>
      </c>
      <c r="O126" s="4" t="inlineStr">
        <is>
          <t>https://meson.fi/swap</t>
        </is>
      </c>
    </row>
    <row r="127">
      <c r="A127" s="4" t="inlineStr">
        <is>
          <t>ff7bbb2f504b</t>
        </is>
      </c>
      <c r="B127" s="4" t="inlineStr">
        <is>
          <t>SOL-&gt;ETH</t>
        </is>
      </c>
      <c r="C127" s="4" t="n">
        <v>1</v>
      </c>
      <c r="D127" s="4" t="inlineStr">
        <is>
          <t>SimpleSwap</t>
        </is>
      </c>
      <c r="E127" s="4" t="inlineStr">
        <is>
          <t>venue</t>
        </is>
      </c>
      <c r="F127" s="4" t="inlineStr">
        <is>
          <t>OK</t>
        </is>
      </c>
      <c r="G127" s="4" t="inlineStr">
        <is>
          <t>2026-09-23T09:38:07.970Z</t>
        </is>
      </c>
      <c r="H127" s="4" t="inlineStr">
        <is>
          <t>2026-09-23T09:38:10.823Z</t>
        </is>
      </c>
      <c r="I127" s="4" t="inlineStr">
        <is>
          <t>2026-09-23T09:38:13.072Z</t>
        </is>
      </c>
      <c r="J127" s="20" t="n">
        <v>1.734</v>
      </c>
      <c r="K127" s="18" t="n">
        <v>98.19881700000001</v>
      </c>
      <c r="L127" s="20" t="n">
        <v>0</v>
      </c>
      <c r="M127" s="4" t="inlineStr">
        <is>
          <t>USDC</t>
        </is>
      </c>
      <c r="N127" s="4" t="inlineStr">
        <is>
          <t>best_card_out=98.198817; selected_card=Best rate / Decentralized; rate_type=floating; fixed_fee_on_top=0.0; fixed_fee_token=USDC; display_decimals=6; small_sum_warning=False</t>
        </is>
      </c>
      <c r="O127" s="4" t="inlineStr">
        <is>
          <t>https://simpleswap.io/?from=usdc-sol&amp;to=usdc-eth</t>
        </is>
      </c>
    </row>
    <row r="128">
      <c r="A128" s="4" t="inlineStr">
        <is>
          <t>ff7bbb2f504b</t>
        </is>
      </c>
      <c r="B128" s="4" t="inlineStr">
        <is>
          <t>SOL-&gt;ETH</t>
        </is>
      </c>
      <c r="C128" s="4" t="n">
        <v>1</v>
      </c>
      <c r="D128" s="4" t="inlineStr">
        <is>
          <t>Skip Go</t>
        </is>
      </c>
      <c r="E128" s="4" t="inlineStr">
        <is>
          <t>venue</t>
        </is>
      </c>
      <c r="F128" s="4" t="inlineStr">
        <is>
          <t>OK</t>
        </is>
      </c>
      <c r="G128" s="4" t="inlineStr">
        <is>
          <t>2026-09-23T09:38:07.965Z</t>
        </is>
      </c>
      <c r="H128" s="4" t="inlineStr">
        <is>
          <t>2026-09-23T09:38:10.434Z</t>
        </is>
      </c>
      <c r="I128" s="4" t="inlineStr">
        <is>
          <t>2026-09-23T09:38:12.686Z</t>
        </is>
      </c>
      <c r="J128" s="20" t="n">
        <v>1.345</v>
      </c>
      <c r="K128" s="18" t="n">
        <v>99.68411</v>
      </c>
      <c r="L128" s="20" t="n"/>
      <c r="M128" s="4" t="n"/>
      <c r="N128" s="4" t="inlineStr">
        <is>
          <t>fees_usd_in_quote=0.31; eta=30 secs; usd_values=['99.99', '99.67']; display_decimals=5</t>
        </is>
      </c>
      <c r="O128" s="4" t="inlineStr">
        <is>
          <t>https://go.skip.build/?src_chain=solana&amp;src_asset=EPjFWdd5AufqSSqeM2qN1xzybapC8G4wEGGkZwyTDt1v&amp;dest_chain=1&amp;dest_asset=0xa0b86991c6218b36c1d19d4a2e9eb0ce3606eb48</t>
        </is>
      </c>
    </row>
    <row r="129">
      <c r="A129" s="4" t="inlineStr">
        <is>
          <t>ff7bbb2f504b</t>
        </is>
      </c>
      <c r="B129" s="4" t="inlineStr">
        <is>
          <t>SOL-&gt;ETH</t>
        </is>
      </c>
      <c r="C129" s="4" t="n">
        <v>1</v>
      </c>
      <c r="D129" s="4" t="inlineStr">
        <is>
          <t>Symbiosis</t>
        </is>
      </c>
      <c r="E129" s="4" t="inlineStr">
        <is>
          <t>venue</t>
        </is>
      </c>
      <c r="F129" s="4" t="inlineStr">
        <is>
          <t>OK</t>
        </is>
      </c>
      <c r="G129" s="4" t="inlineStr">
        <is>
          <t>2026-09-23T09:38:07.965Z</t>
        </is>
      </c>
      <c r="H129" s="4" t="inlineStr">
        <is>
          <t>2026-09-23T09:38:10.880Z</t>
        </is>
      </c>
      <c r="I129" s="4" t="inlineStr">
        <is>
          <t>2026-09-23T09:38:12.989Z</t>
        </is>
      </c>
      <c r="J129" s="20" t="n">
        <v>1.791</v>
      </c>
      <c r="K129" s="18" t="n">
        <v>98.94288400000001</v>
      </c>
      <c r="L129" s="20" t="n">
        <v>0</v>
      </c>
      <c r="M129" s="4" t="n"/>
      <c r="N129" s="4" t="inlineStr">
        <is>
          <t>min_received=98.4481; fee_usd_deducted=1.04; eta=1 - 3 Min; price_impact=-1.1%; slippage=2%; route=Bridge to Ethereum; fixed_fee_on_top=0.0; display_decimals=6</t>
        </is>
      </c>
      <c r="O129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130">
      <c r="A130" s="4" t="inlineStr">
        <is>
          <t>4e1d1659ffdf</t>
        </is>
      </c>
      <c r="B130" s="4" t="inlineStr">
        <is>
          <t>ETH-&gt;SOL</t>
        </is>
      </c>
      <c r="C130" s="4" t="n">
        <v>1</v>
      </c>
      <c r="D130" s="4" t="inlineStr">
        <is>
          <t>Bridg</t>
        </is>
      </c>
      <c r="E130" s="4" t="inlineStr">
        <is>
          <t>bridg</t>
        </is>
      </c>
      <c r="F130" s="4" t="inlineStr">
        <is>
          <t>OK</t>
        </is>
      </c>
      <c r="G130" s="4" t="inlineStr">
        <is>
          <t>2026-09-23T09:38:34.979Z</t>
        </is>
      </c>
      <c r="H130" s="4" t="inlineStr">
        <is>
          <t>2026-09-23T09:38:36.130Z</t>
        </is>
      </c>
      <c r="I130" s="4" t="inlineStr">
        <is>
          <t>2026-09-23T09:38:40.158Z</t>
        </is>
      </c>
      <c r="J130" s="20" t="n"/>
      <c r="K130" s="18" t="n">
        <v>99.85005</v>
      </c>
      <c r="L130" s="20" t="n"/>
      <c r="M130" s="4" t="n"/>
      <c r="N130" s="4" t="inlineStr">
        <is>
          <t>best via Allbridge Core; 15 venues priced; fees [['Allbridge Core fee', 0.09995], ['Bridg fee', 0.05]]</t>
        </is>
      </c>
      <c r="O130" s="4" t="inlineStr">
        <is>
          <t>https://bridg.now/swap/</t>
        </is>
      </c>
    </row>
    <row r="131">
      <c r="A131" s="4" t="inlineStr">
        <is>
          <t>4e1d1659ffdf</t>
        </is>
      </c>
      <c r="B131" s="4" t="inlineStr">
        <is>
          <t>ETH-&gt;SOL</t>
        </is>
      </c>
      <c r="C131" s="4" t="n">
        <v>1</v>
      </c>
      <c r="D131" s="4" t="inlineStr">
        <is>
          <t>Relay</t>
        </is>
      </c>
      <c r="E131" s="4" t="inlineStr">
        <is>
          <t>venue</t>
        </is>
      </c>
      <c r="F131" s="4" t="inlineStr">
        <is>
          <t>OK</t>
        </is>
      </c>
      <c r="G131" s="4" t="inlineStr">
        <is>
          <t>2026-09-23T09:38:34.978Z</t>
        </is>
      </c>
      <c r="H131" s="4" t="inlineStr">
        <is>
          <t>2026-09-23T09:38:36.608Z</t>
        </is>
      </c>
      <c r="I131" s="4" t="inlineStr">
        <is>
          <t>2026-09-23T09:38:38.901Z</t>
        </is>
      </c>
      <c r="J131" s="20" t="n">
        <v>0.478</v>
      </c>
      <c r="K131" s="18" t="n">
        <v>99.94557</v>
      </c>
      <c r="L131" s="20" t="n"/>
      <c r="M131" s="4" t="n"/>
      <c r="N131" s="4" t="inlineStr">
        <is>
          <t>rate=0.9994</t>
        </is>
      </c>
      <c r="O131" s="4" t="inlineStr">
        <is>
          <t>https://relay.link/bridge/solana?fromChainId=1&amp;fromCurrency=0xa0b86991c6218b36c1d19d4a2e9eb0ce3606eb48&amp;toCurrency=EPjFWdd5AufqSSqeM2qN1xzybapC8G4wEGGkZwyTDt1v</t>
        </is>
      </c>
    </row>
    <row r="132">
      <c r="A132" s="4" t="inlineStr">
        <is>
          <t>4e1d1659ffdf</t>
        </is>
      </c>
      <c r="B132" s="4" t="inlineStr">
        <is>
          <t>ETH-&gt;SOL</t>
        </is>
      </c>
      <c r="C132" s="4" t="n">
        <v>1</v>
      </c>
      <c r="D132" s="4" t="inlineStr">
        <is>
          <t>deBridge</t>
        </is>
      </c>
      <c r="E132" s="4" t="inlineStr">
        <is>
          <t>venue</t>
        </is>
      </c>
      <c r="F132" s="4" t="inlineStr">
        <is>
          <t>OK</t>
        </is>
      </c>
      <c r="G132" s="4" t="inlineStr">
        <is>
          <t>2026-09-23T09:38:34.979Z</t>
        </is>
      </c>
      <c r="H132" s="4" t="inlineStr">
        <is>
          <t>2026-09-23T09:38:36.312Z</t>
        </is>
      </c>
      <c r="I132" s="4" t="inlineStr">
        <is>
          <t>2026-09-23T09:38:38.509Z</t>
        </is>
      </c>
      <c r="J132" s="20" t="n">
        <v>0.182</v>
      </c>
      <c r="K132" s="18" t="n">
        <v>99.920018</v>
      </c>
      <c r="L132" s="20" t="n">
        <v>1.1313</v>
      </c>
      <c r="M132" s="4" t="inlineStr">
        <is>
          <t>USDC</t>
        </is>
      </c>
      <c r="N132" s="4" t="inlineStr">
        <is>
          <t>fixed_fee_on_top=1.1313; fixed_fee_token=USDC</t>
        </is>
      </c>
      <c r="O132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33">
      <c r="A133" s="4" t="inlineStr">
        <is>
          <t>4e1d1659ffdf</t>
        </is>
      </c>
      <c r="B133" s="4" t="inlineStr">
        <is>
          <t>ETH-&gt;SOL</t>
        </is>
      </c>
      <c r="C133" s="4" t="n">
        <v>1</v>
      </c>
      <c r="D133" s="4" t="inlineStr">
        <is>
          <t>LI.FI (Jumper)</t>
        </is>
      </c>
      <c r="E133" s="4" t="inlineStr">
        <is>
          <t>venue</t>
        </is>
      </c>
      <c r="F133" s="4" t="inlineStr">
        <is>
          <t>OK</t>
        </is>
      </c>
      <c r="G133" s="4" t="inlineStr">
        <is>
          <t>2026-09-23T09:38:34.981Z</t>
        </is>
      </c>
      <c r="H133" s="4" t="inlineStr">
        <is>
          <t>2026-09-23T09:39:17.660Z</t>
        </is>
      </c>
      <c r="I133" s="4" t="inlineStr">
        <is>
          <t>2026-09-23T09:39:19.802Z</t>
        </is>
      </c>
      <c r="J133" s="20" t="n">
        <v>41.53</v>
      </c>
      <c r="K133" s="18" t="n">
        <v>99.94557</v>
      </c>
      <c r="L133" s="20" t="n"/>
      <c r="M133" s="4" t="n"/>
      <c r="N133" s="4" t="inlineStr">
        <is>
          <t>best_return_venue=Relay; max_out=100.0</t>
        </is>
      </c>
      <c r="O133" s="4" t="inlineStr">
        <is>
          <t>https://jumper.xyz/?fromChain=1&amp;fromToken=0xa0b86991c6218b36c1d19d4a2e9eb0ce3606eb48&amp;toChain=1151111081099710&amp;toToken=EPjFWdd5AufqSSqeM2qN1xzybapC8G4wEGGkZwyTDt1v</t>
        </is>
      </c>
    </row>
    <row r="134">
      <c r="A134" s="4" t="inlineStr">
        <is>
          <t>4e1d1659ffdf</t>
        </is>
      </c>
      <c r="B134" s="4" t="inlineStr">
        <is>
          <t>ETH-&gt;SOL</t>
        </is>
      </c>
      <c r="C134" s="4" t="n">
        <v>1</v>
      </c>
      <c r="D134" s="4" t="inlineStr">
        <is>
          <t>Across</t>
        </is>
      </c>
      <c r="E134" s="4" t="inlineStr">
        <is>
          <t>venue</t>
        </is>
      </c>
      <c r="F134" s="4" t="inlineStr">
        <is>
          <t>OK</t>
        </is>
      </c>
      <c r="G134" s="4" t="inlineStr">
        <is>
          <t>2026-09-23T09:38:34.977Z</t>
        </is>
      </c>
      <c r="H134" s="4" t="inlineStr">
        <is>
          <t>2026-09-23T09:38:36.132Z</t>
        </is>
      </c>
      <c r="I134" s="4" t="inlineStr">
        <is>
          <t>2026-09-23T09:38:38.257Z</t>
        </is>
      </c>
      <c r="J134" s="20" t="n">
        <v>0.002</v>
      </c>
      <c r="K134" s="18" t="n">
        <v>99.98999999999999</v>
      </c>
      <c r="L134" s="20" t="n"/>
      <c r="M134" s="4" t="n"/>
      <c r="N134" s="4" t="inlineStr"/>
      <c r="O134" s="4" t="inlineStr">
        <is>
          <t>https://across.to/?from=ethereum&amp;to=solana&amp;inputToken=USDC&amp;outputToken=USDC</t>
        </is>
      </c>
    </row>
    <row r="135">
      <c r="A135" s="4" t="inlineStr">
        <is>
          <t>4e1d1659ffdf</t>
        </is>
      </c>
      <c r="B135" s="4" t="inlineStr">
        <is>
          <t>ETH-&gt;SOL</t>
        </is>
      </c>
      <c r="C135" s="4" t="n">
        <v>1</v>
      </c>
      <c r="D135" s="4" t="inlineStr">
        <is>
          <t>Mayan</t>
        </is>
      </c>
      <c r="E135" s="4" t="inlineStr">
        <is>
          <t>venue</t>
        </is>
      </c>
      <c r="F135" s="4" t="inlineStr">
        <is>
          <t>OK</t>
        </is>
      </c>
      <c r="G135" s="4" t="inlineStr">
        <is>
          <t>2026-09-23T09:38:34.977Z</t>
        </is>
      </c>
      <c r="H135" s="4" t="inlineStr">
        <is>
          <t>2026-09-23T09:38:36.227Z</t>
        </is>
      </c>
      <c r="I135" s="4" t="inlineStr">
        <is>
          <t>2026-09-23T09:38:38.353Z</t>
        </is>
      </c>
      <c r="J135" s="20" t="n">
        <v>0.097</v>
      </c>
      <c r="K135" s="18" t="n">
        <v>99.539</v>
      </c>
      <c r="L135" s="20" t="n"/>
      <c r="M135" s="4" t="n"/>
      <c r="N135" s="4" t="inlineStr">
        <is>
          <t>mode=Swift v2; eta=3s; display_decimals=3</t>
        </is>
      </c>
      <c r="O135" s="4" t="inlineStr">
        <is>
          <t>https://swap.mayan.finance/</t>
        </is>
      </c>
    </row>
    <row r="136">
      <c r="A136" s="4" t="inlineStr">
        <is>
          <t>4e1d1659ffdf</t>
        </is>
      </c>
      <c r="B136" s="4" t="inlineStr">
        <is>
          <t>ETH-&gt;SOL</t>
        </is>
      </c>
      <c r="C136" s="4" t="n">
        <v>1</v>
      </c>
      <c r="D136" s="4" t="inlineStr">
        <is>
          <t>Allbridge Core</t>
        </is>
      </c>
      <c r="E136" s="4" t="inlineStr">
        <is>
          <t>venue</t>
        </is>
      </c>
      <c r="F136" s="4" t="inlineStr">
        <is>
          <t>OK</t>
        </is>
      </c>
      <c r="G136" s="4" t="inlineStr">
        <is>
          <t>2026-09-23T09:38:34.982Z</t>
        </is>
      </c>
      <c r="H136" s="4" t="inlineStr">
        <is>
          <t>2026-09-23T09:38:36.152Z</t>
        </is>
      </c>
      <c r="I136" s="4" t="inlineStr">
        <is>
          <t>2026-09-23T09:38:38.363Z</t>
        </is>
      </c>
      <c r="J136" s="20" t="n">
        <v>0.022</v>
      </c>
      <c r="K136" s="18" t="n">
        <v>99.90000000000001</v>
      </c>
      <c r="L136" s="20" t="n">
        <v>0.000137</v>
      </c>
      <c r="M136" s="4" t="inlineStr">
        <is>
          <t>ETH (relayer fee, fee=native)</t>
        </is>
      </c>
      <c r="N136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36" s="4" t="inlineStr">
        <is>
          <t>https://core.allbridge.io/?fee=native&amp;ft=USDC&amp;tt=USDC&amp;f=ETH&amp;t=SOL</t>
        </is>
      </c>
    </row>
    <row r="137">
      <c r="A137" s="4" t="inlineStr">
        <is>
          <t>4e1d1659ffdf</t>
        </is>
      </c>
      <c r="B137" s="4" t="inlineStr">
        <is>
          <t>ETH-&gt;SOL</t>
        </is>
      </c>
      <c r="C137" s="4" t="n">
        <v>1</v>
      </c>
      <c r="D137" s="4" t="inlineStr">
        <is>
          <t>CCTP (via Portal)</t>
        </is>
      </c>
      <c r="E137" s="4" t="inlineStr">
        <is>
          <t>venue</t>
        </is>
      </c>
      <c r="F137" s="4" t="inlineStr">
        <is>
          <t>OK</t>
        </is>
      </c>
      <c r="G137" s="4" t="inlineStr">
        <is>
          <t>2026-09-23T09:38:34.982Z</t>
        </is>
      </c>
      <c r="H137" s="4" t="inlineStr">
        <is>
          <t>2026-09-23T09:38:38.401Z</t>
        </is>
      </c>
      <c r="I137" s="4" t="inlineStr">
        <is>
          <t>2026-09-23T09:38:40.461Z</t>
        </is>
      </c>
      <c r="J137" s="20" t="n">
        <v>2.271</v>
      </c>
      <c r="K137" s="18" t="n">
        <v>99.980001</v>
      </c>
      <c r="L137" s="20" t="n"/>
      <c r="M137" s="4" t="n"/>
      <c r="N137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37" s="4" t="inlineStr">
        <is>
          <t>https://portalbridge.com/usdc-bridge?fromChain=Ethereum&amp;fromToken=USDC&amp;toChain=Solana&amp;toToken=USDC</t>
        </is>
      </c>
    </row>
    <row r="138">
      <c r="A138" s="4" t="inlineStr">
        <is>
          <t>4e1d1659ffdf</t>
        </is>
      </c>
      <c r="B138" s="4" t="inlineStr">
        <is>
          <t>ETH-&gt;SOL</t>
        </is>
      </c>
      <c r="C138" s="4" t="n">
        <v>1</v>
      </c>
      <c r="D138" s="4" t="inlineStr">
        <is>
          <t>Husher</t>
        </is>
      </c>
      <c r="E138" s="4" t="inlineStr">
        <is>
          <t>venue</t>
        </is>
      </c>
      <c r="F138" s="4" t="inlineStr">
        <is>
          <t>OK</t>
        </is>
      </c>
      <c r="G138" s="4" t="inlineStr">
        <is>
          <t>2026-09-23T09:38:34.982Z</t>
        </is>
      </c>
      <c r="H138" s="4" t="inlineStr">
        <is>
          <t>2026-09-23T09:38:36.292Z</t>
        </is>
      </c>
      <c r="I138" s="4" t="inlineStr">
        <is>
          <t>2026-09-23T09:38:38.419Z</t>
        </is>
      </c>
      <c r="J138" s="20" t="n">
        <v>0.162</v>
      </c>
      <c r="K138" s="18" t="n">
        <v>99.34999999999999</v>
      </c>
      <c r="L138" s="20" t="n"/>
      <c r="M138" s="4" t="n"/>
      <c r="N138" s="4" t="inlineStr">
        <is>
          <t>out_usd=$99.36; provider=Husher (Best Rate); rate_type=floating; fee_deducted=0.35; network_fee_deducted=0.3; api_receive=99.35000000; eta_s=40; display_decimals=2</t>
        </is>
      </c>
      <c r="O138" s="4" t="inlineStr">
        <is>
          <t>https://www.husher.io/</t>
        </is>
      </c>
    </row>
    <row r="139">
      <c r="A139" s="4" t="inlineStr">
        <is>
          <t>4e1d1659ffdf</t>
        </is>
      </c>
      <c r="B139" s="4" t="inlineStr">
        <is>
          <t>ETH-&gt;SOL</t>
        </is>
      </c>
      <c r="C139" s="4" t="n">
        <v>1</v>
      </c>
      <c r="D139" s="4" t="inlineStr">
        <is>
          <t>Layerswap</t>
        </is>
      </c>
      <c r="E139" s="4" t="inlineStr">
        <is>
          <t>venue</t>
        </is>
      </c>
      <c r="F139" s="4" t="inlineStr">
        <is>
          <t>OK</t>
        </is>
      </c>
      <c r="G139" s="4" t="inlineStr">
        <is>
          <t>2026-09-23T09:38:34.977Z</t>
        </is>
      </c>
      <c r="H139" s="4" t="inlineStr">
        <is>
          <t>2026-09-23T09:38:37.101Z</t>
        </is>
      </c>
      <c r="I139" s="4" t="inlineStr">
        <is>
          <t>2026-09-23T09:38:39.243Z</t>
        </is>
      </c>
      <c r="J139" s="20" t="n">
        <v>0.971</v>
      </c>
      <c r="K139" s="18" t="n">
        <v>99.67344799999999</v>
      </c>
      <c r="L139" s="20" t="n"/>
      <c r="M139" s="4" t="n"/>
      <c r="N139" s="4" t="inlineStr">
        <is>
          <t>out_usd=$99.66; fee_usd=0.33; slippage=0.00%; eta=22 secs; to_token=USDC; to_chain=Solana; display_decimals=6</t>
        </is>
      </c>
      <c r="O139" s="4" t="inlineStr">
        <is>
          <t>https://layerswap.io/app?from=ETHEREUM_MAINNET&amp;to=SOLANA_MAINNET&amp;fromAsset=USDC&amp;toAsset=USDC</t>
        </is>
      </c>
    </row>
    <row r="140">
      <c r="A140" s="4" t="inlineStr">
        <is>
          <t>4e1d1659ffdf</t>
        </is>
      </c>
      <c r="B140" s="4" t="inlineStr">
        <is>
          <t>ETH-&gt;SOL</t>
        </is>
      </c>
      <c r="C140" s="4" t="n">
        <v>1</v>
      </c>
      <c r="D140" s="4" t="inlineStr">
        <is>
          <t>Meson</t>
        </is>
      </c>
      <c r="E140" s="4" t="inlineStr">
        <is>
          <t>venue</t>
        </is>
      </c>
      <c r="F140" s="4" t="inlineStr">
        <is>
          <t>OK</t>
        </is>
      </c>
      <c r="G140" s="4" t="inlineStr">
        <is>
          <t>2026-09-23T09:38:34.982Z</t>
        </is>
      </c>
      <c r="H140" s="4" t="inlineStr">
        <is>
          <t>2026-09-23T09:38:35.286Z</t>
        </is>
      </c>
      <c r="I140" s="4" t="inlineStr">
        <is>
          <t>2026-09-23T09:38:37.424Z</t>
        </is>
      </c>
      <c r="J140" s="20" t="n">
        <v>0.844</v>
      </c>
      <c r="K140" s="18" t="n">
        <v>99.09999999999999</v>
      </c>
      <c r="L140" s="20" t="n">
        <v>0</v>
      </c>
      <c r="M140" s="4" t="n"/>
      <c r="N140" s="4" t="inlineStr">
        <is>
          <t>fees_deducted=[['Fee', 0.9, 'USDC']]; fee_total=0.9; fixed_fee_on_top=0.0; display_decimals=1</t>
        </is>
      </c>
      <c r="O140" s="4" t="inlineStr">
        <is>
          <t>https://meson.fi/swap</t>
        </is>
      </c>
    </row>
    <row r="141">
      <c r="A141" s="4" t="inlineStr">
        <is>
          <t>4e1d1659ffdf</t>
        </is>
      </c>
      <c r="B141" s="4" t="inlineStr">
        <is>
          <t>ETH-&gt;SOL</t>
        </is>
      </c>
      <c r="C141" s="4" t="n">
        <v>1</v>
      </c>
      <c r="D141" s="4" t="inlineStr">
        <is>
          <t>SimpleSwap</t>
        </is>
      </c>
      <c r="E141" s="4" t="inlineStr">
        <is>
          <t>venue</t>
        </is>
      </c>
      <c r="F141" s="4" t="inlineStr">
        <is>
          <t>NO_QUOTE</t>
        </is>
      </c>
      <c r="G141" s="4" t="inlineStr">
        <is>
          <t>2026-09-23T09:38:34.983Z</t>
        </is>
      </c>
      <c r="H141" s="4" t="n"/>
      <c r="I141" s="4" t="inlineStr">
        <is>
          <t>2026-09-23T09:39:20.345Z</t>
        </is>
      </c>
      <c r="J141" s="20" t="n"/>
      <c r="K141" s="18" t="n"/>
      <c r="L141" s="20" t="n"/>
      <c r="M141" s="4" t="n"/>
      <c r="N141" s="4" t="inlineStr"/>
      <c r="O141" s="4" t="inlineStr">
        <is>
          <t>https://simpleswap.io/?from=usdc-eth&amp;to=usdc-sol</t>
        </is>
      </c>
    </row>
    <row r="142">
      <c r="A142" s="4" t="inlineStr">
        <is>
          <t>4e1d1659ffdf</t>
        </is>
      </c>
      <c r="B142" s="4" t="inlineStr">
        <is>
          <t>ETH-&gt;SOL</t>
        </is>
      </c>
      <c r="C142" s="4" t="n">
        <v>1</v>
      </c>
      <c r="D142" s="4" t="inlineStr">
        <is>
          <t>Skip Go</t>
        </is>
      </c>
      <c r="E142" s="4" t="inlineStr">
        <is>
          <t>venue</t>
        </is>
      </c>
      <c r="F142" s="4" t="inlineStr">
        <is>
          <t>OK</t>
        </is>
      </c>
      <c r="G142" s="4" t="inlineStr">
        <is>
          <t>2026-09-23T09:38:34.980Z</t>
        </is>
      </c>
      <c r="H142" s="4" t="inlineStr">
        <is>
          <t>2026-09-23T09:38:37.504Z</t>
        </is>
      </c>
      <c r="I142" s="4" t="inlineStr">
        <is>
          <t>2026-09-23T09:38:39.547Z</t>
        </is>
      </c>
      <c r="J142" s="20" t="n">
        <v>1.374</v>
      </c>
      <c r="K142" s="18" t="n">
        <v>99.71930999999999</v>
      </c>
      <c r="L142" s="20" t="n"/>
      <c r="M142" s="4" t="n"/>
      <c r="N142" s="4" t="inlineStr">
        <is>
          <t>fees_usd_in_quote=0.28; eta=2 mins; usd_values=['99.98', '99.70']; display_decimals=5</t>
        </is>
      </c>
      <c r="O142" s="4" t="inlineStr">
        <is>
          <t>https://go.skip.build/?src_chain=1&amp;src_asset=0xa0b86991c6218b36c1d19d4a2e9eb0ce3606eb48&amp;dest_chain=solana&amp;dest_asset=EPjFWdd5AufqSSqeM2qN1xzybapC8G4wEGGkZwyTDt1v</t>
        </is>
      </c>
    </row>
    <row r="143">
      <c r="A143" s="4" t="inlineStr">
        <is>
          <t>4e1d1659ffdf</t>
        </is>
      </c>
      <c r="B143" s="4" t="inlineStr">
        <is>
          <t>ETH-&gt;SOL</t>
        </is>
      </c>
      <c r="C143" s="4" t="n">
        <v>1</v>
      </c>
      <c r="D143" s="4" t="inlineStr">
        <is>
          <t>Symbiosis</t>
        </is>
      </c>
      <c r="E143" s="4" t="inlineStr">
        <is>
          <t>venue</t>
        </is>
      </c>
      <c r="F143" s="4" t="inlineStr">
        <is>
          <t>OK</t>
        </is>
      </c>
      <c r="G143" s="4" t="inlineStr">
        <is>
          <t>2026-09-23T09:38:34.978Z</t>
        </is>
      </c>
      <c r="H143" s="4" t="inlineStr">
        <is>
          <t>2026-09-23T09:38:37.549Z</t>
        </is>
      </c>
      <c r="I143" s="4" t="inlineStr">
        <is>
          <t>2026-09-23T09:38:39.852Z</t>
        </is>
      </c>
      <c r="J143" s="20" t="n">
        <v>1.419</v>
      </c>
      <c r="K143" s="18" t="n">
        <v>98.94045699999999</v>
      </c>
      <c r="L143" s="20" t="n">
        <v>0</v>
      </c>
      <c r="M143" s="4" t="n"/>
      <c r="N143" s="4" t="inlineStr">
        <is>
          <t>min_received=98.4457; fee_usd_deducted=1.03; eta=2 - 3 Min; price_impact=0%; slippage=2%; route=Bridge to Solana; fixed_fee_on_top=0.0; display_decimals=6</t>
        </is>
      </c>
      <c r="O143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144">
      <c r="A144" s="4" t="inlineStr">
        <is>
          <t>f32aca9681f6</t>
        </is>
      </c>
      <c r="B144" s="4" t="inlineStr">
        <is>
          <t>ETH-&gt;SOL</t>
        </is>
      </c>
      <c r="C144" s="4" t="n">
        <v>1</v>
      </c>
      <c r="D144" s="4" t="inlineStr">
        <is>
          <t>Bridg</t>
        </is>
      </c>
      <c r="E144" s="4" t="inlineStr">
        <is>
          <t>bridg</t>
        </is>
      </c>
      <c r="F144" s="4" t="inlineStr">
        <is>
          <t>OK</t>
        </is>
      </c>
      <c r="G144" s="4" t="inlineStr">
        <is>
          <t>2026-09-23T09:39:31.023Z</t>
        </is>
      </c>
      <c r="H144" s="4" t="inlineStr">
        <is>
          <t>2026-09-23T09:39:31.893Z</t>
        </is>
      </c>
      <c r="I144" s="4" t="inlineStr">
        <is>
          <t>2026-09-23T09:39:34.043Z</t>
        </is>
      </c>
      <c r="J144" s="20" t="n"/>
      <c r="K144" s="18" t="n">
        <v>99.85005</v>
      </c>
      <c r="L144" s="20" t="n"/>
      <c r="M144" s="4" t="n"/>
      <c r="N144" s="4" t="inlineStr">
        <is>
          <t>best via Allbridge Core; 15 venues priced; fees [['Allbridge Core fee', 0.09995], ['Bridg fee', 0.05]]</t>
        </is>
      </c>
      <c r="O144" s="4" t="inlineStr">
        <is>
          <t>https://bridg.now/swap/</t>
        </is>
      </c>
    </row>
    <row r="145">
      <c r="A145" s="4" t="inlineStr">
        <is>
          <t>f32aca9681f6</t>
        </is>
      </c>
      <c r="B145" s="4" t="inlineStr">
        <is>
          <t>ETH-&gt;SOL</t>
        </is>
      </c>
      <c r="C145" s="4" t="n">
        <v>1</v>
      </c>
      <c r="D145" s="4" t="inlineStr">
        <is>
          <t>LI.FI (Jumper)</t>
        </is>
      </c>
      <c r="E145" s="4" t="inlineStr">
        <is>
          <t>venue</t>
        </is>
      </c>
      <c r="F145" s="4" t="inlineStr">
        <is>
          <t>OK</t>
        </is>
      </c>
      <c r="G145" s="4" t="inlineStr">
        <is>
          <t>2026-09-23T09:39:31.023Z</t>
        </is>
      </c>
      <c r="H145" s="4" t="inlineStr">
        <is>
          <t>2026-09-23T09:39:32.929Z</t>
        </is>
      </c>
      <c r="I145" s="4" t="inlineStr">
        <is>
          <t>2026-09-23T09:39:35.092Z</t>
        </is>
      </c>
      <c r="J145" s="20" t="n">
        <v>1.036</v>
      </c>
      <c r="K145" s="18" t="n">
        <v>99.945573</v>
      </c>
      <c r="L145" s="20" t="n"/>
      <c r="M145" s="4" t="n"/>
      <c r="N145" s="4" t="inlineStr">
        <is>
          <t>best_return_venue=Relay; max_out=100.0</t>
        </is>
      </c>
      <c r="O145" s="4" t="inlineStr">
        <is>
          <t>https://jumper.xyz/?fromChain=1&amp;fromToken=0xa0b86991c6218b36c1d19d4a2e9eb0ce3606eb48&amp;toChain=1151111081099710&amp;toToken=EPjFWdd5AufqSSqeM2qN1xzybapC8G4wEGGkZwyTDt1v</t>
        </is>
      </c>
    </row>
    <row r="146">
      <c r="A146" s="4" t="inlineStr">
        <is>
          <t>abf62c126516</t>
        </is>
      </c>
      <c r="B146" s="4" t="inlineStr">
        <is>
          <t>SOL-&gt;BSC</t>
        </is>
      </c>
      <c r="C146" s="4" t="n">
        <v>1</v>
      </c>
      <c r="D146" s="4" t="inlineStr">
        <is>
          <t>Bridg</t>
        </is>
      </c>
      <c r="E146" s="4" t="inlineStr">
        <is>
          <t>bridg</t>
        </is>
      </c>
      <c r="F146" s="4" t="inlineStr">
        <is>
          <t>OK</t>
        </is>
      </c>
      <c r="G146" s="4" t="inlineStr">
        <is>
          <t>2026-09-23T09:39:55.786Z</t>
        </is>
      </c>
      <c r="H146" s="4" t="inlineStr">
        <is>
          <t>2026-09-23T09:39:56.753Z</t>
        </is>
      </c>
      <c r="I146" s="4" t="inlineStr">
        <is>
          <t>2026-09-23T09:40:00.495Z</t>
        </is>
      </c>
      <c r="J146" s="20" t="n"/>
      <c r="K146" s="18" t="n">
        <v>99.87003900000001</v>
      </c>
      <c r="L146" s="20" t="n"/>
      <c r="M146" s="4" t="n"/>
      <c r="N146" s="4" t="inlineStr">
        <is>
          <t>best via Rhino; 9 venues priced; fees [['Rhino fee', 0.079961], ['Bridg fee', 0.05]]</t>
        </is>
      </c>
      <c r="O146" s="4" t="inlineStr">
        <is>
          <t>https://bridg.now/swap/</t>
        </is>
      </c>
    </row>
    <row r="147">
      <c r="A147" s="4" t="inlineStr">
        <is>
          <t>abf62c126516</t>
        </is>
      </c>
      <c r="B147" s="4" t="inlineStr">
        <is>
          <t>SOL-&gt;BSC</t>
        </is>
      </c>
      <c r="C147" s="4" t="n">
        <v>1</v>
      </c>
      <c r="D147" s="4" t="inlineStr">
        <is>
          <t>Relay</t>
        </is>
      </c>
      <c r="E147" s="4" t="inlineStr">
        <is>
          <t>venue</t>
        </is>
      </c>
      <c r="F147" s="4" t="inlineStr">
        <is>
          <t>OK</t>
        </is>
      </c>
      <c r="G147" s="4" t="inlineStr">
        <is>
          <t>2026-09-23T09:39:55.786Z</t>
        </is>
      </c>
      <c r="H147" s="4" t="inlineStr">
        <is>
          <t>2026-09-23T09:39:57.301Z</t>
        </is>
      </c>
      <c r="I147" s="4" t="inlineStr">
        <is>
          <t>2026-09-23T09:39:59.527Z</t>
        </is>
      </c>
      <c r="J147" s="20" t="n">
        <v>0.548</v>
      </c>
      <c r="K147" s="18" t="n">
        <v>99.651251</v>
      </c>
      <c r="L147" s="20" t="n"/>
      <c r="M147" s="4" t="n"/>
      <c r="N147" s="4" t="inlineStr">
        <is>
          <t>rate=0.9965</t>
        </is>
      </c>
      <c r="O147" s="4" t="inlineStr">
        <is>
          <t>https://relay.link/bridge/bsc?fromChainId=792703809&amp;fromCurrency=EPjFWdd5AufqSSqeM2qN1xzybapC8G4wEGGkZwyTDt1v&amp;toCurrency=0x8ac76a51cc950d9822d68b83fe1ad97b32cd580d</t>
        </is>
      </c>
    </row>
    <row r="148">
      <c r="A148" s="4" t="inlineStr">
        <is>
          <t>abf62c126516</t>
        </is>
      </c>
      <c r="B148" s="4" t="inlineStr">
        <is>
          <t>SOL-&gt;BSC</t>
        </is>
      </c>
      <c r="C148" s="4" t="n">
        <v>1</v>
      </c>
      <c r="D148" s="4" t="inlineStr">
        <is>
          <t>deBridge</t>
        </is>
      </c>
      <c r="E148" s="4" t="inlineStr">
        <is>
          <t>venue</t>
        </is>
      </c>
      <c r="F148" s="4" t="inlineStr">
        <is>
          <t>OK</t>
        </is>
      </c>
      <c r="G148" s="4" t="inlineStr">
        <is>
          <t>2026-09-23T09:39:55.786Z</t>
        </is>
      </c>
      <c r="H148" s="4" t="inlineStr">
        <is>
          <t>2026-09-23T09:39:57.386Z</t>
        </is>
      </c>
      <c r="I148" s="4" t="inlineStr">
        <is>
          <t>2026-09-23T09:39:59.527Z</t>
        </is>
      </c>
      <c r="J148" s="20" t="n">
        <v>0.633</v>
      </c>
      <c r="K148" s="18" t="n">
        <v>99.920016</v>
      </c>
      <c r="L148" s="20" t="n">
        <v>1.2738</v>
      </c>
      <c r="M148" s="4" t="inlineStr">
        <is>
          <t>USDC</t>
        </is>
      </c>
      <c r="N148" s="4" t="inlineStr">
        <is>
          <t>fixed_fee_on_top=1.2738; fixed_fee_token=USDC</t>
        </is>
      </c>
      <c r="O148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149">
      <c r="A149" s="4" t="inlineStr">
        <is>
          <t>abf62c126516</t>
        </is>
      </c>
      <c r="B149" s="4" t="inlineStr">
        <is>
          <t>SOL-&gt;BSC</t>
        </is>
      </c>
      <c r="C149" s="4" t="n">
        <v>1</v>
      </c>
      <c r="D149" s="4" t="inlineStr">
        <is>
          <t>LI.FI (Jumper)</t>
        </is>
      </c>
      <c r="E149" s="4" t="inlineStr">
        <is>
          <t>venue</t>
        </is>
      </c>
      <c r="F149" s="4" t="inlineStr">
        <is>
          <t>OK</t>
        </is>
      </c>
      <c r="G149" s="4" t="inlineStr">
        <is>
          <t>2026-09-23T09:39:55.786Z</t>
        </is>
      </c>
      <c r="H149" s="4" t="inlineStr">
        <is>
          <t>2026-09-23T09:39:57.805Z</t>
        </is>
      </c>
      <c r="I149" s="4" t="inlineStr">
        <is>
          <t>2026-09-23T09:39:59.875Z</t>
        </is>
      </c>
      <c r="J149" s="20" t="n">
        <v>1.052</v>
      </c>
      <c r="K149" s="18" t="n">
        <v>99.930623</v>
      </c>
      <c r="L149" s="20" t="n"/>
      <c r="M149" s="4" t="n"/>
      <c r="N149" s="4" t="inlineStr">
        <is>
          <t>best_return_venue=Mayan (Swift); max_out=99.930623</t>
        </is>
      </c>
      <c r="O149" s="4" t="inlineStr">
        <is>
          <t>https://jumper.xyz/?fromChain=1151111081099710&amp;fromToken=EPjFWdd5AufqSSqeM2qN1xzybapC8G4wEGGkZwyTDt1v&amp;toChain=56&amp;toToken=0x8ac76a51cc950d9822d68b83fe1ad97b32cd580d</t>
        </is>
      </c>
    </row>
    <row r="150">
      <c r="A150" s="4" t="inlineStr">
        <is>
          <t>abf62c126516</t>
        </is>
      </c>
      <c r="B150" s="4" t="inlineStr">
        <is>
          <t>SOL-&gt;BSC</t>
        </is>
      </c>
      <c r="C150" s="4" t="n">
        <v>1</v>
      </c>
      <c r="D150" s="4" t="inlineStr">
        <is>
          <t>Across</t>
        </is>
      </c>
      <c r="E150" s="4" t="inlineStr">
        <is>
          <t>venue</t>
        </is>
      </c>
      <c r="F150" s="4" t="inlineStr">
        <is>
          <t>OK</t>
        </is>
      </c>
      <c r="G150" s="4" t="inlineStr">
        <is>
          <t>2026-09-23T09:39:55.785Z</t>
        </is>
      </c>
      <c r="H150" s="4" t="inlineStr">
        <is>
          <t>2026-09-23T09:39:56.792Z</t>
        </is>
      </c>
      <c r="I150" s="4" t="inlineStr">
        <is>
          <t>2026-09-23T09:39:58.918Z</t>
        </is>
      </c>
      <c r="J150" s="20" t="n">
        <v>0.039</v>
      </c>
      <c r="K150" s="18" t="n">
        <v>99.982074</v>
      </c>
      <c r="L150" s="20" t="n"/>
      <c r="M150" s="4" t="n"/>
      <c r="N150" s="4" t="inlineStr"/>
      <c r="O150" s="4" t="inlineStr">
        <is>
          <t>https://across.to/?from=solana&amp;to=bsc&amp;inputToken=USDC&amp;outputToken=USDC</t>
        </is>
      </c>
    </row>
    <row r="151">
      <c r="A151" s="4" t="inlineStr">
        <is>
          <t>abf62c126516</t>
        </is>
      </c>
      <c r="B151" s="4" t="inlineStr">
        <is>
          <t>SOL-&gt;BSC</t>
        </is>
      </c>
      <c r="C151" s="4" t="n">
        <v>1</v>
      </c>
      <c r="D151" s="4" t="inlineStr">
        <is>
          <t>Mayan</t>
        </is>
      </c>
      <c r="E151" s="4" t="inlineStr">
        <is>
          <t>venue</t>
        </is>
      </c>
      <c r="F151" s="4" t="inlineStr">
        <is>
          <t>OK</t>
        </is>
      </c>
      <c r="G151" s="4" t="inlineStr">
        <is>
          <t>2026-09-23T09:39:55.785Z</t>
        </is>
      </c>
      <c r="H151" s="4" t="inlineStr">
        <is>
          <t>2026-09-23T09:39:56.997Z</t>
        </is>
      </c>
      <c r="I151" s="4" t="inlineStr">
        <is>
          <t>2026-09-23T09:39:59.124Z</t>
        </is>
      </c>
      <c r="J151" s="20" t="n">
        <v>0.244</v>
      </c>
      <c r="K151" s="18" t="n">
        <v>99.93000000000001</v>
      </c>
      <c r="L151" s="20" t="n"/>
      <c r="M151" s="4" t="n"/>
      <c r="N151" s="4" t="inlineStr">
        <is>
          <t>mode=Swift v2; eta=3s; display_decimals=2</t>
        </is>
      </c>
      <c r="O151" s="4" t="inlineStr">
        <is>
          <t>https://swap.mayan.finance/</t>
        </is>
      </c>
    </row>
    <row r="152">
      <c r="A152" s="4" t="inlineStr">
        <is>
          <t>abf62c126516</t>
        </is>
      </c>
      <c r="B152" s="4" t="inlineStr">
        <is>
          <t>SOL-&gt;BSC</t>
        </is>
      </c>
      <c r="C152" s="4" t="n">
        <v>1</v>
      </c>
      <c r="D152" s="4" t="inlineStr">
        <is>
          <t>Husher</t>
        </is>
      </c>
      <c r="E152" s="4" t="inlineStr">
        <is>
          <t>venue</t>
        </is>
      </c>
      <c r="F152" s="4" t="inlineStr">
        <is>
          <t>OK</t>
        </is>
      </c>
      <c r="G152" s="4" t="inlineStr">
        <is>
          <t>2026-09-23T09:39:55.787Z</t>
        </is>
      </c>
      <c r="H152" s="4" t="inlineStr">
        <is>
          <t>2026-09-23T09:39:56.921Z</t>
        </is>
      </c>
      <c r="I152" s="4" t="inlineStr">
        <is>
          <t>2026-09-23T09:39:59.057Z</t>
        </is>
      </c>
      <c r="J152" s="20" t="n">
        <v>0.168</v>
      </c>
      <c r="K152" s="18" t="n">
        <v>99.65000000000001</v>
      </c>
      <c r="L152" s="20" t="n"/>
      <c r="M152" s="4" t="n"/>
      <c r="N152" s="4" t="inlineStr">
        <is>
          <t>out_usd=$99.65; provider=Husher (Best Rate); rate_type=floating; fee_deducted=0.35; network_fee_deducted=0.0; api_receive=99.65000000; eta_s=40; display_decimals=2</t>
        </is>
      </c>
      <c r="O152" s="4" t="inlineStr">
        <is>
          <t>https://www.husher.io/</t>
        </is>
      </c>
    </row>
    <row r="153">
      <c r="A153" s="4" t="inlineStr">
        <is>
          <t>abf62c126516</t>
        </is>
      </c>
      <c r="B153" s="4" t="inlineStr">
        <is>
          <t>SOL-&gt;BSC</t>
        </is>
      </c>
      <c r="C153" s="4" t="n">
        <v>1</v>
      </c>
      <c r="D153" s="4" t="inlineStr">
        <is>
          <t>Layerswap</t>
        </is>
      </c>
      <c r="E153" s="4" t="inlineStr">
        <is>
          <t>venue</t>
        </is>
      </c>
      <c r="F153" s="4" t="inlineStr">
        <is>
          <t>OK</t>
        </is>
      </c>
      <c r="G153" s="4" t="inlineStr">
        <is>
          <t>2026-09-23T09:39:55.785Z</t>
        </is>
      </c>
      <c r="H153" s="4" t="inlineStr">
        <is>
          <t>2026-09-23T09:39:58.086Z</t>
        </is>
      </c>
      <c r="I153" s="4" t="inlineStr">
        <is>
          <t>2026-09-23T09:40:00.190Z</t>
        </is>
      </c>
      <c r="J153" s="20" t="n">
        <v>1.333</v>
      </c>
      <c r="K153" s="18" t="n">
        <v>99.863073</v>
      </c>
      <c r="L153" s="20" t="n"/>
      <c r="M153" s="4" t="n"/>
      <c r="N153" s="4" t="inlineStr">
        <is>
          <t>out_usd=$99.85; fee_usd=0.14; slippage=0.00%; eta=3 secs; to_token=USDC; to_chain=BSC; display_decimals=6</t>
        </is>
      </c>
      <c r="O153" s="4" t="inlineStr">
        <is>
          <t>https://layerswap.io/app?from=SOLANA_MAINNET&amp;to=BSC_MAINNET&amp;fromAsset=USDC&amp;toAsset=USDC</t>
        </is>
      </c>
    </row>
    <row r="154">
      <c r="A154" s="4" t="inlineStr">
        <is>
          <t>abf62c126516</t>
        </is>
      </c>
      <c r="B154" s="4" t="inlineStr">
        <is>
          <t>SOL-&gt;BSC</t>
        </is>
      </c>
      <c r="C154" s="4" t="n">
        <v>1</v>
      </c>
      <c r="D154" s="4" t="inlineStr">
        <is>
          <t>Meson</t>
        </is>
      </c>
      <c r="E154" s="4" t="inlineStr">
        <is>
          <t>venue</t>
        </is>
      </c>
      <c r="F154" s="4" t="inlineStr">
        <is>
          <t>OK</t>
        </is>
      </c>
      <c r="G154" s="4" t="inlineStr">
        <is>
          <t>2026-09-23T09:39:55.787Z</t>
        </is>
      </c>
      <c r="H154" s="4" t="inlineStr">
        <is>
          <t>2026-09-23T09:39:56.058Z</t>
        </is>
      </c>
      <c r="I154" s="4" t="inlineStr">
        <is>
          <t>2026-09-23T09:39:58.195Z</t>
        </is>
      </c>
      <c r="J154" s="20" t="n">
        <v>0.695</v>
      </c>
      <c r="K154" s="18" t="n">
        <v>99.88</v>
      </c>
      <c r="L154" s="20" t="n">
        <v>0</v>
      </c>
      <c r="M154" s="4" t="n"/>
      <c r="N154" s="4" t="inlineStr">
        <is>
          <t>fees_deducted=[['Fee', 0.12, 'USDC']]; fee_total=0.12; fixed_fee_on_top=0.0; display_decimals=2</t>
        </is>
      </c>
      <c r="O154" s="4" t="inlineStr">
        <is>
          <t>https://meson.fi/swap</t>
        </is>
      </c>
    </row>
    <row r="155">
      <c r="A155" s="4" t="inlineStr">
        <is>
          <t>abf62c126516</t>
        </is>
      </c>
      <c r="B155" s="4" t="inlineStr">
        <is>
          <t>SOL-&gt;BSC</t>
        </is>
      </c>
      <c r="C155" s="4" t="n">
        <v>1</v>
      </c>
      <c r="D155" s="4" t="inlineStr">
        <is>
          <t>SimpleSwap</t>
        </is>
      </c>
      <c r="E155" s="4" t="inlineStr">
        <is>
          <t>venue</t>
        </is>
      </c>
      <c r="F155" s="4" t="inlineStr">
        <is>
          <t>OK</t>
        </is>
      </c>
      <c r="G155" s="4" t="inlineStr">
        <is>
          <t>2026-09-23T09:39:55.787Z</t>
        </is>
      </c>
      <c r="H155" s="4" t="inlineStr">
        <is>
          <t>2026-09-23T09:39:58.491Z</t>
        </is>
      </c>
      <c r="I155" s="4" t="inlineStr">
        <is>
          <t>2026-09-23T09:40:00.535Z</t>
        </is>
      </c>
      <c r="J155" s="20" t="n">
        <v>1.738</v>
      </c>
      <c r="K155" s="18" t="n">
        <v>98.139</v>
      </c>
      <c r="L155" s="20" t="n">
        <v>0</v>
      </c>
      <c r="M155" s="4" t="inlineStr">
        <is>
          <t>USDC</t>
        </is>
      </c>
      <c r="N155" s="4" t="inlineStr">
        <is>
          <t>best_card_out=98.139; selected_card=Best rate; rate_type=floating; fixed_fee_on_top=0.0; fixed_fee_token=USDC; display_decimals=3; small_sum_warning=False</t>
        </is>
      </c>
      <c r="O155" s="4" t="inlineStr">
        <is>
          <t>https://simpleswap.io/?from=usdc-sol&amp;to=usdc-bsc</t>
        </is>
      </c>
    </row>
    <row r="156">
      <c r="A156" s="4" t="inlineStr">
        <is>
          <t>3fdbc5571141</t>
        </is>
      </c>
      <c r="B156" s="4" t="inlineStr">
        <is>
          <t>BSC-&gt;SOL</t>
        </is>
      </c>
      <c r="C156" s="4" t="n">
        <v>1</v>
      </c>
      <c r="D156" s="4" t="inlineStr">
        <is>
          <t>Bridg</t>
        </is>
      </c>
      <c r="E156" s="4" t="inlineStr">
        <is>
          <t>bridg</t>
        </is>
      </c>
      <c r="F156" s="4" t="inlineStr">
        <is>
          <t>OK</t>
        </is>
      </c>
      <c r="G156" s="4" t="inlineStr">
        <is>
          <t>2026-09-23T09:40:21.976Z</t>
        </is>
      </c>
      <c r="H156" s="4" t="inlineStr">
        <is>
          <t>2026-09-23T09:40:22.950Z</t>
        </is>
      </c>
      <c r="I156" s="4" t="inlineStr">
        <is>
          <t>2026-09-23T09:40:26.916Z</t>
        </is>
      </c>
      <c r="J156" s="20" t="n"/>
      <c r="K156" s="18" t="n">
        <v>99.62990499999999</v>
      </c>
      <c r="L156" s="20" t="n"/>
      <c r="M156" s="4" t="n"/>
      <c r="N156" s="4" t="inlineStr">
        <is>
          <t>best via Relay; 10 venues priced; fees [['Relay fee', 0.320095], ['Bridg fee', 0.05]]</t>
        </is>
      </c>
      <c r="O156" s="4" t="inlineStr">
        <is>
          <t>https://bridg.now/swap/</t>
        </is>
      </c>
    </row>
    <row r="157">
      <c r="A157" s="4" t="inlineStr">
        <is>
          <t>3fdbc5571141</t>
        </is>
      </c>
      <c r="B157" s="4" t="inlineStr">
        <is>
          <t>BSC-&gt;SOL</t>
        </is>
      </c>
      <c r="C157" s="4" t="n">
        <v>1</v>
      </c>
      <c r="D157" s="4" t="inlineStr">
        <is>
          <t>Relay</t>
        </is>
      </c>
      <c r="E157" s="4" t="inlineStr">
        <is>
          <t>venue</t>
        </is>
      </c>
      <c r="F157" s="4" t="inlineStr">
        <is>
          <t>OK</t>
        </is>
      </c>
      <c r="G157" s="4" t="inlineStr">
        <is>
          <t>2026-09-23T09:40:21.976Z</t>
        </is>
      </c>
      <c r="H157" s="4" t="inlineStr">
        <is>
          <t>2026-09-23T09:40:23.510Z</t>
        </is>
      </c>
      <c r="I157" s="4" t="inlineStr">
        <is>
          <t>2026-09-23T09:40:26.003Z</t>
        </is>
      </c>
      <c r="J157" s="20" t="n">
        <v>0.5600000000000001</v>
      </c>
      <c r="K157" s="18" t="n">
        <v>99.885572</v>
      </c>
      <c r="L157" s="20" t="n"/>
      <c r="M157" s="4" t="n"/>
      <c r="N157" s="4" t="inlineStr">
        <is>
          <t>rate=0.9988</t>
        </is>
      </c>
      <c r="O157" s="4" t="inlineStr">
        <is>
          <t>https://relay.link/bridge/solana?fromChainId=56&amp;fromCurrency=0x8ac76a51cc950d9822d68b83fe1ad97b32cd580d&amp;toCurrency=EPjFWdd5AufqSSqeM2qN1xzybapC8G4wEGGkZwyTDt1v</t>
        </is>
      </c>
    </row>
    <row r="158">
      <c r="A158" s="4" t="inlineStr">
        <is>
          <t>3fdbc5571141</t>
        </is>
      </c>
      <c r="B158" s="4" t="inlineStr">
        <is>
          <t>BSC-&gt;SOL</t>
        </is>
      </c>
      <c r="C158" s="4" t="n">
        <v>1</v>
      </c>
      <c r="D158" s="4" t="inlineStr">
        <is>
          <t>deBridge</t>
        </is>
      </c>
      <c r="E158" s="4" t="inlineStr">
        <is>
          <t>venue</t>
        </is>
      </c>
      <c r="F158" s="4" t="inlineStr">
        <is>
          <t>OK</t>
        </is>
      </c>
      <c r="G158" s="4" t="inlineStr">
        <is>
          <t>2026-09-23T09:40:21.976Z</t>
        </is>
      </c>
      <c r="H158" s="4" t="inlineStr">
        <is>
          <t>2026-09-23T09:40:23.510Z</t>
        </is>
      </c>
      <c r="I158" s="4" t="inlineStr">
        <is>
          <t>2026-09-23T09:40:26.002Z</t>
        </is>
      </c>
      <c r="J158" s="20" t="n">
        <v>0.5600000000000001</v>
      </c>
      <c r="K158" s="18" t="n">
        <v>99.920017</v>
      </c>
      <c r="L158" s="20" t="n">
        <v>1.0487</v>
      </c>
      <c r="M158" s="4" t="inlineStr">
        <is>
          <t>USDC</t>
        </is>
      </c>
      <c r="N158" s="4" t="inlineStr">
        <is>
          <t>fixed_fee_on_top=1.0487; fixed_fee_token=USDC</t>
        </is>
      </c>
      <c r="O158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159">
      <c r="A159" s="4" t="inlineStr">
        <is>
          <t>3fdbc5571141</t>
        </is>
      </c>
      <c r="B159" s="4" t="inlineStr">
        <is>
          <t>BSC-&gt;SOL</t>
        </is>
      </c>
      <c r="C159" s="4" t="n">
        <v>1</v>
      </c>
      <c r="D159" s="4" t="inlineStr">
        <is>
          <t>LI.FI (Jumper)</t>
        </is>
      </c>
      <c r="E159" s="4" t="inlineStr">
        <is>
          <t>venue</t>
        </is>
      </c>
      <c r="F159" s="4" t="inlineStr">
        <is>
          <t>OK</t>
        </is>
      </c>
      <c r="G159" s="4" t="inlineStr">
        <is>
          <t>2026-09-23T09:40:21.977Z</t>
        </is>
      </c>
      <c r="H159" s="4" t="inlineStr">
        <is>
          <t>2026-09-23T09:40:23.814Z</t>
        </is>
      </c>
      <c r="I159" s="4" t="inlineStr">
        <is>
          <t>2026-09-23T09:40:25.963Z</t>
        </is>
      </c>
      <c r="J159" s="20" t="n">
        <v>0.864</v>
      </c>
      <c r="K159" s="18" t="n">
        <v>99.885572</v>
      </c>
      <c r="L159" s="20" t="n"/>
      <c r="M159" s="4" t="n"/>
      <c r="N159" s="4" t="inlineStr">
        <is>
          <t>best_return_venue=Relay; max_out=99.885572</t>
        </is>
      </c>
      <c r="O159" s="4" t="inlineStr">
        <is>
          <t>https://jumper.xyz/?fromChain=56&amp;fromToken=0x8ac76a51cc950d9822d68b83fe1ad97b32cd580d&amp;toChain=1151111081099710&amp;toToken=EPjFWdd5AufqSSqeM2qN1xzybapC8G4wEGGkZwyTDt1v</t>
        </is>
      </c>
    </row>
    <row r="160">
      <c r="A160" s="4" t="inlineStr">
        <is>
          <t>3fdbc5571141</t>
        </is>
      </c>
      <c r="B160" s="4" t="inlineStr">
        <is>
          <t>BSC-&gt;SOL</t>
        </is>
      </c>
      <c r="C160" s="4" t="n">
        <v>1</v>
      </c>
      <c r="D160" s="4" t="inlineStr">
        <is>
          <t>Across</t>
        </is>
      </c>
      <c r="E160" s="4" t="inlineStr">
        <is>
          <t>venue</t>
        </is>
      </c>
      <c r="F160" s="4" t="inlineStr">
        <is>
          <t>OK</t>
        </is>
      </c>
      <c r="G160" s="4" t="inlineStr">
        <is>
          <t>2026-09-23T09:40:21.976Z</t>
        </is>
      </c>
      <c r="H160" s="4" t="inlineStr">
        <is>
          <t>2026-09-23T09:40:23.048Z</t>
        </is>
      </c>
      <c r="I160" s="4" t="inlineStr">
        <is>
          <t>2026-09-23T09:40:25.208Z</t>
        </is>
      </c>
      <c r="J160" s="20" t="n">
        <v>0.098</v>
      </c>
      <c r="K160" s="18" t="n">
        <v>99.982074</v>
      </c>
      <c r="L160" s="20" t="n"/>
      <c r="M160" s="4" t="n"/>
      <c r="N160" s="4" t="inlineStr"/>
      <c r="O160" s="4" t="inlineStr">
        <is>
          <t>https://across.to/?from=bsc&amp;to=solana&amp;inputToken=USDC&amp;outputToken=USDC</t>
        </is>
      </c>
    </row>
    <row r="161">
      <c r="A161" s="4" t="inlineStr">
        <is>
          <t>3fdbc5571141</t>
        </is>
      </c>
      <c r="B161" s="4" t="inlineStr">
        <is>
          <t>BSC-&gt;SOL</t>
        </is>
      </c>
      <c r="C161" s="4" t="n">
        <v>1</v>
      </c>
      <c r="D161" s="4" t="inlineStr">
        <is>
          <t>Mayan</t>
        </is>
      </c>
      <c r="E161" s="4" t="inlineStr">
        <is>
          <t>venue</t>
        </is>
      </c>
      <c r="F161" s="4" t="inlineStr">
        <is>
          <t>OK</t>
        </is>
      </c>
      <c r="G161" s="4" t="inlineStr">
        <is>
          <t>2026-09-23T09:40:21.975Z</t>
        </is>
      </c>
      <c r="H161" s="4" t="inlineStr">
        <is>
          <t>2026-09-23T09:40:23.195Z</t>
        </is>
      </c>
      <c r="I161" s="4" t="inlineStr">
        <is>
          <t>2026-09-23T09:40:25.320Z</t>
        </is>
      </c>
      <c r="J161" s="20" t="n">
        <v>0.245</v>
      </c>
      <c r="K161" s="18" t="n">
        <v>99.681</v>
      </c>
      <c r="L161" s="20" t="n"/>
      <c r="M161" s="4" t="n"/>
      <c r="N161" s="4" t="inlineStr">
        <is>
          <t>mode=Swift v2; eta=3s; display_decimals=3</t>
        </is>
      </c>
      <c r="O161" s="4" t="inlineStr">
        <is>
          <t>https://swap.mayan.finance/</t>
        </is>
      </c>
    </row>
    <row r="162">
      <c r="A162" s="4" t="inlineStr">
        <is>
          <t>3fdbc5571141</t>
        </is>
      </c>
      <c r="B162" s="4" t="inlineStr">
        <is>
          <t>BSC-&gt;SOL</t>
        </is>
      </c>
      <c r="C162" s="4" t="n">
        <v>1</v>
      </c>
      <c r="D162" s="4" t="inlineStr">
        <is>
          <t>Husher</t>
        </is>
      </c>
      <c r="E162" s="4" t="inlineStr">
        <is>
          <t>venue</t>
        </is>
      </c>
      <c r="F162" s="4" t="inlineStr">
        <is>
          <t>OK</t>
        </is>
      </c>
      <c r="G162" s="4" t="inlineStr">
        <is>
          <t>2026-09-23T09:40:21.978Z</t>
        </is>
      </c>
      <c r="H162" s="4" t="inlineStr">
        <is>
          <t>2026-09-23T09:40:23.200Z</t>
        </is>
      </c>
      <c r="I162" s="4" t="inlineStr">
        <is>
          <t>2026-09-23T09:40:25.322Z</t>
        </is>
      </c>
      <c r="J162" s="20" t="n">
        <v>0.25</v>
      </c>
      <c r="K162" s="18" t="n">
        <v>99.34999999999999</v>
      </c>
      <c r="L162" s="20" t="n"/>
      <c r="M162" s="4" t="n"/>
      <c r="N162" s="4" t="inlineStr">
        <is>
          <t>out_usd=$99.35; provider=Husher (Best Rate); rate_type=floating; fee_deducted=0.35; network_fee_deducted=0.3; api_receive=99.35000000; eta_s=40; display_decimals=2</t>
        </is>
      </c>
      <c r="O162" s="4" t="inlineStr">
        <is>
          <t>https://www.husher.io/</t>
        </is>
      </c>
    </row>
    <row r="163">
      <c r="A163" s="4" t="inlineStr">
        <is>
          <t>3fdbc5571141</t>
        </is>
      </c>
      <c r="B163" s="4" t="inlineStr">
        <is>
          <t>BSC-&gt;SOL</t>
        </is>
      </c>
      <c r="C163" s="4" t="n">
        <v>1</v>
      </c>
      <c r="D163" s="4" t="inlineStr">
        <is>
          <t>Layerswap</t>
        </is>
      </c>
      <c r="E163" s="4" t="inlineStr">
        <is>
          <t>venue</t>
        </is>
      </c>
      <c r="F163" s="4" t="inlineStr">
        <is>
          <t>OK</t>
        </is>
      </c>
      <c r="G163" s="4" t="inlineStr">
        <is>
          <t>2026-09-23T09:40:21.975Z</t>
        </is>
      </c>
      <c r="H163" s="4" t="inlineStr">
        <is>
          <t>2026-09-23T09:40:23.881Z</t>
        </is>
      </c>
      <c r="I163" s="4" t="inlineStr">
        <is>
          <t>2026-09-23T09:40:26.001Z</t>
        </is>
      </c>
      <c r="J163" s="20" t="n">
        <v>0.931</v>
      </c>
      <c r="K163" s="18" t="n">
        <v>99.625559</v>
      </c>
      <c r="L163" s="20" t="n"/>
      <c r="M163" s="4" t="n"/>
      <c r="N163" s="4" t="inlineStr">
        <is>
          <t>out_usd=$99.62; fee_usd=0.37; slippage=0.00%; eta=22 secs; to_token=USDC; to_chain=Solana; display_decimals=6</t>
        </is>
      </c>
      <c r="O163" s="4" t="inlineStr">
        <is>
          <t>https://layerswap.io/app?from=BSC_MAINNET&amp;to=SOLANA_MAINNET&amp;fromAsset=USDC&amp;toAsset=USDC</t>
        </is>
      </c>
    </row>
    <row r="164">
      <c r="A164" s="4" t="inlineStr">
        <is>
          <t>3fdbc5571141</t>
        </is>
      </c>
      <c r="B164" s="4" t="inlineStr">
        <is>
          <t>BSC-&gt;SOL</t>
        </is>
      </c>
      <c r="C164" s="4" t="n">
        <v>1</v>
      </c>
      <c r="D164" s="4" t="inlineStr">
        <is>
          <t>Meson</t>
        </is>
      </c>
      <c r="E164" s="4" t="inlineStr">
        <is>
          <t>venue</t>
        </is>
      </c>
      <c r="F164" s="4" t="inlineStr">
        <is>
          <t>OK</t>
        </is>
      </c>
      <c r="G164" s="4" t="inlineStr">
        <is>
          <t>2026-09-23T09:40:21.977Z</t>
        </is>
      </c>
      <c r="H164" s="4" t="inlineStr">
        <is>
          <t>2026-09-23T09:40:22.231Z</t>
        </is>
      </c>
      <c r="I164" s="4" t="inlineStr">
        <is>
          <t>2026-09-23T09:40:24.375Z</t>
        </is>
      </c>
      <c r="J164" s="20" t="n">
        <v>0.719</v>
      </c>
      <c r="K164" s="18" t="n">
        <v>99.59999999999999</v>
      </c>
      <c r="L164" s="20" t="n">
        <v>0</v>
      </c>
      <c r="M164" s="4" t="n"/>
      <c r="N164" s="4" t="inlineStr">
        <is>
          <t>fees_deducted=[['Fee', 0.4, 'USDC']]; fee_total=0.4; fixed_fee_on_top=0.0; display_decimals=1</t>
        </is>
      </c>
      <c r="O164" s="4" t="inlineStr">
        <is>
          <t>https://meson.fi/swap</t>
        </is>
      </c>
    </row>
    <row r="165">
      <c r="A165" s="4" t="inlineStr">
        <is>
          <t>3fdbc5571141</t>
        </is>
      </c>
      <c r="B165" s="4" t="inlineStr">
        <is>
          <t>BSC-&gt;SOL</t>
        </is>
      </c>
      <c r="C165" s="4" t="n">
        <v>1</v>
      </c>
      <c r="D165" s="4" t="inlineStr">
        <is>
          <t>SimpleSwap</t>
        </is>
      </c>
      <c r="E165" s="4" t="inlineStr">
        <is>
          <t>venue</t>
        </is>
      </c>
      <c r="F165" s="4" t="inlineStr">
        <is>
          <t>OK</t>
        </is>
      </c>
      <c r="G165" s="4" t="inlineStr">
        <is>
          <t>2026-09-23T09:40:21.977Z</t>
        </is>
      </c>
      <c r="H165" s="4" t="inlineStr">
        <is>
          <t>2026-09-23T09:40:25.045Z</t>
        </is>
      </c>
      <c r="I165" s="4" t="inlineStr">
        <is>
          <t>2026-09-23T09:40:27.304Z</t>
        </is>
      </c>
      <c r="J165" s="20" t="n">
        <v>2.095</v>
      </c>
      <c r="K165" s="18" t="n">
        <v>98.180301</v>
      </c>
      <c r="L165" s="20" t="n">
        <v>0</v>
      </c>
      <c r="M165" s="4" t="inlineStr">
        <is>
          <t>USDC</t>
        </is>
      </c>
      <c r="N165" s="4" t="inlineStr">
        <is>
          <t>best_card_out=98.180301; selected_card=Best rate; rate_type=floating; fixed_fee_on_top=0.0; fixed_fee_token=USDC; display_decimals=6; small_sum_warning=False</t>
        </is>
      </c>
      <c r="O165" s="4" t="inlineStr">
        <is>
          <t>https://simpleswap.io/?from=usdc-bsc&amp;to=usdc-sol</t>
        </is>
      </c>
    </row>
    <row r="166">
      <c r="A166" s="4" t="inlineStr">
        <is>
          <t>3fdbc5571141</t>
        </is>
      </c>
      <c r="B166" s="4" t="inlineStr">
        <is>
          <t>BSC-&gt;SOL</t>
        </is>
      </c>
      <c r="C166" s="4" t="n">
        <v>1</v>
      </c>
      <c r="D166" s="4" t="inlineStr">
        <is>
          <t>Symbiosis</t>
        </is>
      </c>
      <c r="E166" s="4" t="inlineStr">
        <is>
          <t>venue</t>
        </is>
      </c>
      <c r="F166" s="4" t="inlineStr">
        <is>
          <t>OK</t>
        </is>
      </c>
      <c r="G166" s="4" t="inlineStr">
        <is>
          <t>2026-09-23T09:40:21.976Z</t>
        </is>
      </c>
      <c r="H166" s="4" t="inlineStr">
        <is>
          <t>2026-09-23T09:40:24.703Z</t>
        </is>
      </c>
      <c r="I166" s="4" t="inlineStr">
        <is>
          <t>2026-09-23T09:40:26.916Z</t>
        </is>
      </c>
      <c r="J166" s="20" t="n">
        <v>1.753</v>
      </c>
      <c r="K166" s="18" t="n">
        <v>98.417542</v>
      </c>
      <c r="L166" s="20" t="n">
        <v>0</v>
      </c>
      <c r="M166" s="4" t="n"/>
      <c r="N166" s="4" t="inlineStr">
        <is>
          <t>min_received=97.9254; fee_usd_deducted=1.53; eta=2 - 3 Min; price_impact=0%; slippage=2%; route=Bridge to Arbitrum One; fixed_fee_on_top=0.0; display_decimals=6</t>
        </is>
      </c>
      <c r="O166" s="4" t="inlineStr">
        <is>
          <t>https://app.symbiosis.finance/swap?chainIn=BNB&amp;chainOut=Solana&amp;tokenIn=0x8ac76a51cc950d9822d68b83fe1ad97b32cd580d&amp;tokenOut=0x0000000000000000000000000000000000000003</t>
        </is>
      </c>
    </row>
    <row r="167">
      <c r="A167" s="4" t="inlineStr">
        <is>
          <t>af1e1144fb82</t>
        </is>
      </c>
      <c r="B167" s="4" t="inlineStr">
        <is>
          <t>SOL-&gt;Base</t>
        </is>
      </c>
      <c r="C167" s="4" t="n">
        <v>1</v>
      </c>
      <c r="D167" s="4" t="inlineStr">
        <is>
          <t>Bridg</t>
        </is>
      </c>
      <c r="E167" s="4" t="inlineStr">
        <is>
          <t>bridg</t>
        </is>
      </c>
      <c r="F167" s="4" t="inlineStr">
        <is>
          <t>OK</t>
        </is>
      </c>
      <c r="G167" s="4" t="inlineStr">
        <is>
          <t>2026-09-23T09:40:48.497Z</t>
        </is>
      </c>
      <c r="H167" s="4" t="inlineStr">
        <is>
          <t>2026-09-23T09:40:49.547Z</t>
        </is>
      </c>
      <c r="I167" s="4" t="inlineStr">
        <is>
          <t>2026-09-23T09:40:53.024Z</t>
        </is>
      </c>
      <c r="J167" s="20" t="n"/>
      <c r="K167" s="18" t="n">
        <v>99.947174</v>
      </c>
      <c r="L167" s="20" t="n"/>
      <c r="M167" s="4" t="n"/>
      <c r="N167" s="4" t="inlineStr">
        <is>
          <t>best via Skip Go; 15 venues priced; fees [['Skip Go fee', 0.002826], ['Bridg fee', 0.05]]</t>
        </is>
      </c>
      <c r="O167" s="4" t="inlineStr">
        <is>
          <t>https://bridg.now/swap/</t>
        </is>
      </c>
    </row>
    <row r="168">
      <c r="A168" s="4" t="inlineStr">
        <is>
          <t>af1e1144fb82</t>
        </is>
      </c>
      <c r="B168" s="4" t="inlineStr">
        <is>
          <t>SOL-&gt;Base</t>
        </is>
      </c>
      <c r="C168" s="4" t="n">
        <v>1</v>
      </c>
      <c r="D168" s="4" t="inlineStr">
        <is>
          <t>Relay</t>
        </is>
      </c>
      <c r="E168" s="4" t="inlineStr">
        <is>
          <t>venue</t>
        </is>
      </c>
      <c r="F168" s="4" t="inlineStr">
        <is>
          <t>OK</t>
        </is>
      </c>
      <c r="G168" s="4" t="inlineStr">
        <is>
          <t>2026-09-23T09:40:48.497Z</t>
        </is>
      </c>
      <c r="H168" s="4" t="inlineStr">
        <is>
          <t>2026-09-23T09:40:50.085Z</t>
        </is>
      </c>
      <c r="I168" s="4" t="inlineStr">
        <is>
          <t>2026-09-23T09:40:52.341Z</t>
        </is>
      </c>
      <c r="J168" s="20" t="n">
        <v>0.538</v>
      </c>
      <c r="K168" s="18" t="n">
        <v>99.952371</v>
      </c>
      <c r="L168" s="20" t="n"/>
      <c r="M168" s="4" t="n"/>
      <c r="N168" s="4" t="inlineStr">
        <is>
          <t>rate=0.9995</t>
        </is>
      </c>
      <c r="O168" s="4" t="inlineStr">
        <is>
          <t>https://relay.link/bridge/base?fromChainId=792703809&amp;fromCurrency=EPjFWdd5AufqSSqeM2qN1xzybapC8G4wEGGkZwyTDt1v&amp;toCurrency=0x833589fcd6edb6e08f4c7c32d4f71b54bda02913</t>
        </is>
      </c>
    </row>
    <row r="169">
      <c r="A169" s="4" t="inlineStr">
        <is>
          <t>af1e1144fb82</t>
        </is>
      </c>
      <c r="B169" s="4" t="inlineStr">
        <is>
          <t>SOL-&gt;Base</t>
        </is>
      </c>
      <c r="C169" s="4" t="n">
        <v>1</v>
      </c>
      <c r="D169" s="4" t="inlineStr">
        <is>
          <t>deBridge</t>
        </is>
      </c>
      <c r="E169" s="4" t="inlineStr">
        <is>
          <t>venue</t>
        </is>
      </c>
      <c r="F169" s="4" t="inlineStr">
        <is>
          <t>OK</t>
        </is>
      </c>
      <c r="G169" s="4" t="inlineStr">
        <is>
          <t>2026-09-23T09:40:48.498Z</t>
        </is>
      </c>
      <c r="H169" s="4" t="inlineStr">
        <is>
          <t>2026-09-23T09:40:50.036Z</t>
        </is>
      </c>
      <c r="I169" s="4" t="inlineStr">
        <is>
          <t>2026-09-23T09:40:52.342Z</t>
        </is>
      </c>
      <c r="J169" s="20" t="n">
        <v>0.489</v>
      </c>
      <c r="K169" s="18" t="n">
        <v>99.920018</v>
      </c>
      <c r="L169" s="20" t="n">
        <v>1.071</v>
      </c>
      <c r="M169" s="4" t="inlineStr">
        <is>
          <t>USDC</t>
        </is>
      </c>
      <c r="N169" s="4" t="inlineStr">
        <is>
          <t>fixed_fee_on_top=1.071; fixed_fee_token=USDC</t>
        </is>
      </c>
      <c r="O169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70">
      <c r="A170" s="4" t="inlineStr">
        <is>
          <t>af1e1144fb82</t>
        </is>
      </c>
      <c r="B170" s="4" t="inlineStr">
        <is>
          <t>SOL-&gt;Base</t>
        </is>
      </c>
      <c r="C170" s="4" t="n">
        <v>1</v>
      </c>
      <c r="D170" s="4" t="inlineStr">
        <is>
          <t>LI.FI (Jumper)</t>
        </is>
      </c>
      <c r="E170" s="4" t="inlineStr">
        <is>
          <t>venue</t>
        </is>
      </c>
      <c r="F170" s="4" t="inlineStr">
        <is>
          <t>OK</t>
        </is>
      </c>
      <c r="G170" s="4" t="inlineStr">
        <is>
          <t>2026-09-23T09:40:48.499Z</t>
        </is>
      </c>
      <c r="H170" s="4" t="inlineStr">
        <is>
          <t>2026-09-23T09:40:50.792Z</t>
        </is>
      </c>
      <c r="I170" s="4" t="inlineStr">
        <is>
          <t>2026-09-23T09:40:53.009Z</t>
        </is>
      </c>
      <c r="J170" s="20" t="n">
        <v>1.245</v>
      </c>
      <c r="K170" s="18" t="n">
        <v>100</v>
      </c>
      <c r="L170" s="20" t="n"/>
      <c r="M170" s="4" t="n"/>
      <c r="N170" s="4" t="inlineStr">
        <is>
          <t>best_return_venue=Eco; max_out=100.0</t>
        </is>
      </c>
      <c r="O17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71">
      <c r="A171" s="4" t="inlineStr">
        <is>
          <t>af1e1144fb82</t>
        </is>
      </c>
      <c r="B171" s="4" t="inlineStr">
        <is>
          <t>SOL-&gt;Base</t>
        </is>
      </c>
      <c r="C171" s="4" t="n">
        <v>1</v>
      </c>
      <c r="D171" s="4" t="inlineStr">
        <is>
          <t>Across</t>
        </is>
      </c>
      <c r="E171" s="4" t="inlineStr">
        <is>
          <t>venue</t>
        </is>
      </c>
      <c r="F171" s="4" t="inlineStr">
        <is>
          <t>OK</t>
        </is>
      </c>
      <c r="G171" s="4" t="inlineStr">
        <is>
          <t>2026-09-23T09:40:48.496Z</t>
        </is>
      </c>
      <c r="H171" s="4" t="inlineStr">
        <is>
          <t>2026-09-23T09:40:49.609Z</t>
        </is>
      </c>
      <c r="I171" s="4" t="inlineStr">
        <is>
          <t>2026-09-23T09:40:51.734Z</t>
        </is>
      </c>
      <c r="J171" s="20" t="n">
        <v>0.062</v>
      </c>
      <c r="K171" s="18" t="n">
        <v>99.98999999999999</v>
      </c>
      <c r="L171" s="20" t="n"/>
      <c r="M171" s="4" t="n"/>
      <c r="N171" s="4" t="inlineStr"/>
      <c r="O171" s="4" t="inlineStr">
        <is>
          <t>https://across.to/?from=solana&amp;to=base&amp;inputToken=USDC&amp;outputToken=USDC</t>
        </is>
      </c>
    </row>
    <row r="172">
      <c r="A172" s="4" t="inlineStr">
        <is>
          <t>af1e1144fb82</t>
        </is>
      </c>
      <c r="B172" s="4" t="inlineStr">
        <is>
          <t>SOL-&gt;Base</t>
        </is>
      </c>
      <c r="C172" s="4" t="n">
        <v>1</v>
      </c>
      <c r="D172" s="4" t="inlineStr">
        <is>
          <t>Mayan</t>
        </is>
      </c>
      <c r="E172" s="4" t="inlineStr">
        <is>
          <t>venue</t>
        </is>
      </c>
      <c r="F172" s="4" t="inlineStr">
        <is>
          <t>OK</t>
        </is>
      </c>
      <c r="G172" s="4" t="inlineStr">
        <is>
          <t>2026-09-23T09:40:48.495Z</t>
        </is>
      </c>
      <c r="H172" s="4" t="inlineStr">
        <is>
          <t>2026-09-23T09:40:49.780Z</t>
        </is>
      </c>
      <c r="I172" s="4" t="inlineStr">
        <is>
          <t>2026-09-23T09:40:51.904Z</t>
        </is>
      </c>
      <c r="J172" s="20" t="n">
        <v>0.233</v>
      </c>
      <c r="K172" s="18" t="n">
        <v>99.92700000000001</v>
      </c>
      <c r="L172" s="20" t="n"/>
      <c r="M172" s="4" t="n"/>
      <c r="N172" s="4" t="inlineStr">
        <is>
          <t>mode=Swift v2; eta=3s; display_decimals=3</t>
        </is>
      </c>
      <c r="O172" s="4" t="inlineStr">
        <is>
          <t>https://swap.mayan.finance/</t>
        </is>
      </c>
    </row>
    <row r="173">
      <c r="A173" s="4" t="inlineStr">
        <is>
          <t>af1e1144fb82</t>
        </is>
      </c>
      <c r="B173" s="4" t="inlineStr">
        <is>
          <t>SOL-&gt;Base</t>
        </is>
      </c>
      <c r="C173" s="4" t="n">
        <v>1</v>
      </c>
      <c r="D173" s="4" t="inlineStr">
        <is>
          <t>Allbridge Core</t>
        </is>
      </c>
      <c r="E173" s="4" t="inlineStr">
        <is>
          <t>venue</t>
        </is>
      </c>
      <c r="F173" s="4" t="inlineStr">
        <is>
          <t>OK</t>
        </is>
      </c>
      <c r="G173" s="4" t="inlineStr">
        <is>
          <t>2026-09-23T09:40:48.499Z</t>
        </is>
      </c>
      <c r="H173" s="4" t="inlineStr">
        <is>
          <t>2026-09-23T09:40:49.712Z</t>
        </is>
      </c>
      <c r="I173" s="4" t="inlineStr">
        <is>
          <t>2026-09-23T09:40:51.916Z</t>
        </is>
      </c>
      <c r="J173" s="20" t="n">
        <v>0.165</v>
      </c>
      <c r="K173" s="18" t="n">
        <v>99.90000000000001</v>
      </c>
      <c r="L173" s="20" t="n">
        <v>0.002418</v>
      </c>
      <c r="M173" s="4" t="inlineStr">
        <is>
          <t>SOL (relayer fee, fee=native)</t>
        </is>
      </c>
      <c r="N173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173" s="4" t="inlineStr">
        <is>
          <t>https://core.allbridge.io/?fee=native&amp;ft=USDC&amp;tt=USDC&amp;f=SOL&amp;t=BAS</t>
        </is>
      </c>
    </row>
    <row r="174">
      <c r="A174" s="4" t="inlineStr">
        <is>
          <t>af1e1144fb82</t>
        </is>
      </c>
      <c r="B174" s="4" t="inlineStr">
        <is>
          <t>SOL-&gt;Base</t>
        </is>
      </c>
      <c r="C174" s="4" t="n">
        <v>1</v>
      </c>
      <c r="D174" s="4" t="inlineStr">
        <is>
          <t>CCTP (via Portal)</t>
        </is>
      </c>
      <c r="E174" s="4" t="inlineStr">
        <is>
          <t>venue</t>
        </is>
      </c>
      <c r="F174" s="4" t="inlineStr">
        <is>
          <t>OK</t>
        </is>
      </c>
      <c r="G174" s="4" t="inlineStr">
        <is>
          <t>2026-09-23T09:40:48.499Z</t>
        </is>
      </c>
      <c r="H174" s="4" t="inlineStr">
        <is>
          <t>2026-09-23T09:40:51.721Z</t>
        </is>
      </c>
      <c r="I174" s="4" t="inlineStr">
        <is>
          <t>2026-09-23T09:40:53.933Z</t>
        </is>
      </c>
      <c r="J174" s="20" t="n">
        <v>2.174</v>
      </c>
      <c r="K174" s="18" t="n">
        <v>99.98999999999999</v>
      </c>
      <c r="L174" s="20" t="n"/>
      <c r="M174" s="4" t="n"/>
      <c r="N174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74" s="4" t="inlineStr">
        <is>
          <t>https://portalbridge.com/usdc-bridge?fromChain=Solana&amp;fromToken=USDC&amp;toChain=Base&amp;toToken=USDC</t>
        </is>
      </c>
    </row>
    <row r="175">
      <c r="A175" s="4" t="inlineStr">
        <is>
          <t>af1e1144fb82</t>
        </is>
      </c>
      <c r="B175" s="4" t="inlineStr">
        <is>
          <t>SOL-&gt;Base</t>
        </is>
      </c>
      <c r="C175" s="4" t="n">
        <v>1</v>
      </c>
      <c r="D175" s="4" t="inlineStr">
        <is>
          <t>Husher</t>
        </is>
      </c>
      <c r="E175" s="4" t="inlineStr">
        <is>
          <t>venue</t>
        </is>
      </c>
      <c r="F175" s="4" t="inlineStr">
        <is>
          <t>OK</t>
        </is>
      </c>
      <c r="G175" s="4" t="inlineStr">
        <is>
          <t>2026-09-23T09:40:48.501Z</t>
        </is>
      </c>
      <c r="H175" s="4" t="inlineStr">
        <is>
          <t>2026-09-23T09:40:49.834Z</t>
        </is>
      </c>
      <c r="I175" s="4" t="inlineStr">
        <is>
          <t>2026-09-23T09:40:51.972Z</t>
        </is>
      </c>
      <c r="J175" s="20" t="n">
        <v>0.287</v>
      </c>
      <c r="K175" s="18" t="n">
        <v>99.45</v>
      </c>
      <c r="L175" s="20" t="n"/>
      <c r="M175" s="4" t="n"/>
      <c r="N175" s="4" t="inlineStr">
        <is>
          <t>out_usd=$99.45; provider=Husher (Best Rate); rate_type=floating; fee_deducted=0.35; network_fee_deducted=0.2; api_receive=99.45000000; eta_s=40; display_decimals=2</t>
        </is>
      </c>
      <c r="O175" s="4" t="inlineStr">
        <is>
          <t>https://www.husher.io/</t>
        </is>
      </c>
    </row>
    <row r="176">
      <c r="A176" s="4" t="inlineStr">
        <is>
          <t>af1e1144fb82</t>
        </is>
      </c>
      <c r="B176" s="4" t="inlineStr">
        <is>
          <t>SOL-&gt;Base</t>
        </is>
      </c>
      <c r="C176" s="4" t="n">
        <v>1</v>
      </c>
      <c r="D176" s="4" t="inlineStr">
        <is>
          <t>Layerswap</t>
        </is>
      </c>
      <c r="E176" s="4" t="inlineStr">
        <is>
          <t>venue</t>
        </is>
      </c>
      <c r="F176" s="4" t="inlineStr">
        <is>
          <t>OK</t>
        </is>
      </c>
      <c r="G176" s="4" t="inlineStr">
        <is>
          <t>2026-09-23T09:40:48.496Z</t>
        </is>
      </c>
      <c r="H176" s="4" t="inlineStr">
        <is>
          <t>2026-09-23T09:40:50.635Z</t>
        </is>
      </c>
      <c r="I176" s="4" t="inlineStr">
        <is>
          <t>2026-09-23T09:40:52.717Z</t>
        </is>
      </c>
      <c r="J176" s="20" t="n">
        <v>1.088</v>
      </c>
      <c r="K176" s="18" t="n">
        <v>99.8643</v>
      </c>
      <c r="L176" s="20" t="n"/>
      <c r="M176" s="4" t="n"/>
      <c r="N176" s="4" t="inlineStr">
        <is>
          <t>out_usd=$99.85; fee_usd=0.14; slippage=0.00%; eta=5 secs; to_token=USDC; to_chain=Base; display_decimals=4</t>
        </is>
      </c>
      <c r="O176" s="4" t="inlineStr">
        <is>
          <t>https://layerswap.io/app?from=SOLANA_MAINNET&amp;to=BASE_MAINNET&amp;fromAsset=USDC&amp;toAsset=USDC</t>
        </is>
      </c>
    </row>
    <row r="177">
      <c r="A177" s="4" t="inlineStr">
        <is>
          <t>af1e1144fb82</t>
        </is>
      </c>
      <c r="B177" s="4" t="inlineStr">
        <is>
          <t>SOL-&gt;Base</t>
        </is>
      </c>
      <c r="C177" s="4" t="n">
        <v>1</v>
      </c>
      <c r="D177" s="4" t="inlineStr">
        <is>
          <t>Meson</t>
        </is>
      </c>
      <c r="E177" s="4" t="inlineStr">
        <is>
          <t>venue</t>
        </is>
      </c>
      <c r="F177" s="4" t="inlineStr">
        <is>
          <t>OK</t>
        </is>
      </c>
      <c r="G177" s="4" t="inlineStr">
        <is>
          <t>2026-09-23T09:40:48.501Z</t>
        </is>
      </c>
      <c r="H177" s="4" t="inlineStr">
        <is>
          <t>2026-09-23T09:40:48.827Z</t>
        </is>
      </c>
      <c r="I177" s="4" t="inlineStr">
        <is>
          <t>2026-09-23T09:40:50.965Z</t>
        </is>
      </c>
      <c r="J177" s="20" t="n">
        <v>0.72</v>
      </c>
      <c r="K177" s="18" t="n">
        <v>99.86</v>
      </c>
      <c r="L177" s="20" t="n">
        <v>0</v>
      </c>
      <c r="M177" s="4" t="n"/>
      <c r="N177" s="4" t="inlineStr">
        <is>
          <t>fees_deducted=[['Fee', 0.14, 'USDC']]; fee_total=0.14; fixed_fee_on_top=0.0; display_decimals=2</t>
        </is>
      </c>
      <c r="O177" s="4" t="inlineStr">
        <is>
          <t>https://meson.fi/swap</t>
        </is>
      </c>
    </row>
    <row r="178">
      <c r="A178" s="4" t="inlineStr">
        <is>
          <t>af1e1144fb82</t>
        </is>
      </c>
      <c r="B178" s="4" t="inlineStr">
        <is>
          <t>SOL-&gt;Base</t>
        </is>
      </c>
      <c r="C178" s="4" t="n">
        <v>1</v>
      </c>
      <c r="D178" s="4" t="inlineStr">
        <is>
          <t>SimpleSwap</t>
        </is>
      </c>
      <c r="E178" s="4" t="inlineStr">
        <is>
          <t>venue</t>
        </is>
      </c>
      <c r="F178" s="4" t="inlineStr">
        <is>
          <t>OK</t>
        </is>
      </c>
      <c r="G178" s="4" t="inlineStr">
        <is>
          <t>2026-09-23T09:40:48.502Z</t>
        </is>
      </c>
      <c r="H178" s="4" t="inlineStr">
        <is>
          <t>2026-09-23T09:40:51.369Z</t>
        </is>
      </c>
      <c r="I178" s="4" t="inlineStr">
        <is>
          <t>2026-09-23T09:40:53.435Z</t>
        </is>
      </c>
      <c r="J178" s="20" t="n">
        <v>1.822</v>
      </c>
      <c r="K178" s="18" t="n">
        <v>98.48755199999999</v>
      </c>
      <c r="L178" s="20" t="n">
        <v>0</v>
      </c>
      <c r="M178" s="4" t="inlineStr">
        <is>
          <t>USDC</t>
        </is>
      </c>
      <c r="N178" s="4" t="inlineStr">
        <is>
          <t>best_card_out=98.487552; selected_card=Best rate / Decentralized; rate_type=floating; fixed_fee_on_top=0.0; fixed_fee_token=USDC; display_decimals=6; small_sum_warning=False</t>
        </is>
      </c>
      <c r="O178" s="4" t="inlineStr">
        <is>
          <t>https://simpleswap.io/?from=usdc-sol&amp;to=usdc-base</t>
        </is>
      </c>
    </row>
    <row r="179">
      <c r="A179" s="4" t="inlineStr">
        <is>
          <t>af1e1144fb82</t>
        </is>
      </c>
      <c r="B179" s="4" t="inlineStr">
        <is>
          <t>SOL-&gt;Base</t>
        </is>
      </c>
      <c r="C179" s="4" t="n">
        <v>1</v>
      </c>
      <c r="D179" s="4" t="inlineStr">
        <is>
          <t>Skip Go</t>
        </is>
      </c>
      <c r="E179" s="4" t="inlineStr">
        <is>
          <t>venue</t>
        </is>
      </c>
      <c r="F179" s="4" t="inlineStr">
        <is>
          <t>OK</t>
        </is>
      </c>
      <c r="G179" s="4" t="inlineStr">
        <is>
          <t>2026-09-23T09:40:48.498Z</t>
        </is>
      </c>
      <c r="H179" s="4" t="inlineStr">
        <is>
          <t>2026-09-23T09:40:50.874Z</t>
        </is>
      </c>
      <c r="I179" s="4" t="inlineStr">
        <is>
          <t>2026-09-23T09:40:53.021Z</t>
        </is>
      </c>
      <c r="J179" s="20" t="n">
        <v>1.327</v>
      </c>
      <c r="K179" s="18" t="n">
        <v>99.98517</v>
      </c>
      <c r="L179" s="20" t="n"/>
      <c r="M179" s="4" t="n"/>
      <c r="N179" s="4" t="inlineStr">
        <is>
          <t>fees_usd_in_quote=0.02; eta=30 secs; usd_values=['99.99', '99.97']; display_decimals=5</t>
        </is>
      </c>
      <c r="O179" s="4" t="inlineStr">
        <is>
          <t>https://go.skip.build/?src_chain=solana&amp;src_asset=EPjFWdd5AufqSSqeM2qN1xzybapC8G4wEGGkZwyTDt1v&amp;dest_chain=8453&amp;dest_asset=0x833589fcd6edb6e08f4c7c32d4f71b54bda02913</t>
        </is>
      </c>
    </row>
    <row r="180">
      <c r="A180" s="4" t="inlineStr">
        <is>
          <t>be2d1e1e2b4b</t>
        </is>
      </c>
      <c r="B180" s="4" t="inlineStr">
        <is>
          <t>Base-&gt;SOL</t>
        </is>
      </c>
      <c r="C180" s="4" t="n">
        <v>1</v>
      </c>
      <c r="D180" s="4" t="inlineStr">
        <is>
          <t>Bridg</t>
        </is>
      </c>
      <c r="E180" s="4" t="inlineStr">
        <is>
          <t>bridg</t>
        </is>
      </c>
      <c r="F180" s="4" t="inlineStr">
        <is>
          <t>OK</t>
        </is>
      </c>
      <c r="G180" s="4" t="inlineStr">
        <is>
          <t>2026-09-23T09:41:14.842Z</t>
        </is>
      </c>
      <c r="H180" s="4" t="inlineStr">
        <is>
          <t>2026-09-23T09:41:15.825Z</t>
        </is>
      </c>
      <c r="I180" s="4" t="inlineStr">
        <is>
          <t>2026-09-23T09:41:19.691Z</t>
        </is>
      </c>
      <c r="J180" s="20" t="n"/>
      <c r="K180" s="18" t="n">
        <v>99.85005</v>
      </c>
      <c r="L180" s="20" t="n"/>
      <c r="M180" s="4" t="n"/>
      <c r="N180" s="4" t="inlineStr">
        <is>
          <t>best via Allbridge Core; 15 venues priced; fees [['Allbridge Core fee', 0.09995], ['Bridg fee', 0.05]]</t>
        </is>
      </c>
      <c r="O180" s="4" t="inlineStr">
        <is>
          <t>https://bridg.now/swap/</t>
        </is>
      </c>
    </row>
    <row r="181">
      <c r="A181" s="4" t="inlineStr">
        <is>
          <t>be2d1e1e2b4b</t>
        </is>
      </c>
      <c r="B181" s="4" t="inlineStr">
        <is>
          <t>Base-&gt;SOL</t>
        </is>
      </c>
      <c r="C181" s="4" t="n">
        <v>1</v>
      </c>
      <c r="D181" s="4" t="inlineStr">
        <is>
          <t>Relay</t>
        </is>
      </c>
      <c r="E181" s="4" t="inlineStr">
        <is>
          <t>venue</t>
        </is>
      </c>
      <c r="F181" s="4" t="inlineStr">
        <is>
          <t>OK</t>
        </is>
      </c>
      <c r="G181" s="4" t="inlineStr">
        <is>
          <t>2026-09-23T09:41:14.842Z</t>
        </is>
      </c>
      <c r="H181" s="4" t="inlineStr">
        <is>
          <t>2026-09-23T09:41:16.729Z</t>
        </is>
      </c>
      <c r="I181" s="4" t="inlineStr">
        <is>
          <t>2026-09-23T09:41:19.082Z</t>
        </is>
      </c>
      <c r="J181" s="20" t="n">
        <v>0.904</v>
      </c>
      <c r="K181" s="18" t="n">
        <v>99.94557399999999</v>
      </c>
      <c r="L181" s="20" t="n"/>
      <c r="M181" s="4" t="n"/>
      <c r="N181" s="4" t="inlineStr">
        <is>
          <t>rate=0.9994</t>
        </is>
      </c>
      <c r="O181" s="4" t="inlineStr">
        <is>
          <t>https://relay.link/bridge/solana?fromChainId=8453&amp;fromCurrency=0x833589fcd6edb6e08f4c7c32d4f71b54bda02913&amp;toCurrency=EPjFWdd5AufqSSqeM2qN1xzybapC8G4wEGGkZwyTDt1v</t>
        </is>
      </c>
    </row>
    <row r="182">
      <c r="A182" s="4" t="inlineStr">
        <is>
          <t>be2d1e1e2b4b</t>
        </is>
      </c>
      <c r="B182" s="4" t="inlineStr">
        <is>
          <t>Base-&gt;SOL</t>
        </is>
      </c>
      <c r="C182" s="4" t="n">
        <v>1</v>
      </c>
      <c r="D182" s="4" t="inlineStr">
        <is>
          <t>deBridge</t>
        </is>
      </c>
      <c r="E182" s="4" t="inlineStr">
        <is>
          <t>venue</t>
        </is>
      </c>
      <c r="F182" s="4" t="inlineStr">
        <is>
          <t>OK</t>
        </is>
      </c>
      <c r="G182" s="4" t="inlineStr">
        <is>
          <t>2026-09-23T09:41:14.843Z</t>
        </is>
      </c>
      <c r="H182" s="4" t="inlineStr">
        <is>
          <t>2026-09-23T09:41:16.411Z</t>
        </is>
      </c>
      <c r="I182" s="4" t="inlineStr">
        <is>
          <t>2026-09-23T09:41:18.664Z</t>
        </is>
      </c>
      <c r="J182" s="20" t="n">
        <v>0.586</v>
      </c>
      <c r="K182" s="18" t="n">
        <v>99.920018</v>
      </c>
      <c r="L182" s="20" t="n">
        <v>1.0412</v>
      </c>
      <c r="M182" s="4" t="inlineStr">
        <is>
          <t>USDC</t>
        </is>
      </c>
      <c r="N182" s="4" t="inlineStr">
        <is>
          <t>fixed_fee_on_top=1.0412; fixed_fee_token=USDC</t>
        </is>
      </c>
      <c r="O182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83">
      <c r="A183" s="4" t="inlineStr">
        <is>
          <t>be2d1e1e2b4b</t>
        </is>
      </c>
      <c r="B183" s="4" t="inlineStr">
        <is>
          <t>Base-&gt;SOL</t>
        </is>
      </c>
      <c r="C183" s="4" t="n">
        <v>1</v>
      </c>
      <c r="D183" s="4" t="inlineStr">
        <is>
          <t>LI.FI (Jumper)</t>
        </is>
      </c>
      <c r="E183" s="4" t="inlineStr">
        <is>
          <t>venue</t>
        </is>
      </c>
      <c r="F183" s="4" t="inlineStr">
        <is>
          <t>OK</t>
        </is>
      </c>
      <c r="G183" s="4" t="inlineStr">
        <is>
          <t>2026-09-23T09:41:14.844Z</t>
        </is>
      </c>
      <c r="H183" s="4" t="inlineStr">
        <is>
          <t>2026-09-23T09:41:16.908Z</t>
        </is>
      </c>
      <c r="I183" s="4" t="inlineStr">
        <is>
          <t>2026-09-23T09:41:19.069Z</t>
        </is>
      </c>
      <c r="J183" s="20" t="n">
        <v>1.083</v>
      </c>
      <c r="K183" s="18" t="n">
        <v>100</v>
      </c>
      <c r="L183" s="20" t="n"/>
      <c r="M183" s="4" t="n"/>
      <c r="N183" s="4" t="inlineStr">
        <is>
          <t>best_return_venue=Polymer (Standard); max_out=100.0</t>
        </is>
      </c>
      <c r="O183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84">
      <c r="A184" s="4" t="inlineStr">
        <is>
          <t>be2d1e1e2b4b</t>
        </is>
      </c>
      <c r="B184" s="4" t="inlineStr">
        <is>
          <t>Base-&gt;SOL</t>
        </is>
      </c>
      <c r="C184" s="4" t="n">
        <v>1</v>
      </c>
      <c r="D184" s="4" t="inlineStr">
        <is>
          <t>Across</t>
        </is>
      </c>
      <c r="E184" s="4" t="inlineStr">
        <is>
          <t>venue</t>
        </is>
      </c>
      <c r="F184" s="4" t="inlineStr">
        <is>
          <t>OK</t>
        </is>
      </c>
      <c r="G184" s="4" t="inlineStr">
        <is>
          <t>2026-09-23T09:41:14.842Z</t>
        </is>
      </c>
      <c r="H184" s="4" t="inlineStr">
        <is>
          <t>2026-09-23T09:41:15.919Z</t>
        </is>
      </c>
      <c r="I184" s="4" t="inlineStr">
        <is>
          <t>2026-09-23T09:41:18.044Z</t>
        </is>
      </c>
      <c r="J184" s="20" t="n">
        <v>0.094</v>
      </c>
      <c r="K184" s="18" t="n">
        <v>99.98699999999999</v>
      </c>
      <c r="L184" s="20" t="n"/>
      <c r="M184" s="4" t="n"/>
      <c r="N184" s="4" t="inlineStr"/>
      <c r="O184" s="4" t="inlineStr">
        <is>
          <t>https://across.to/?from=base&amp;to=solana&amp;inputToken=USDC&amp;outputToken=USDC</t>
        </is>
      </c>
    </row>
    <row r="185">
      <c r="A185" s="4" t="inlineStr">
        <is>
          <t>be2d1e1e2b4b</t>
        </is>
      </c>
      <c r="B185" s="4" t="inlineStr">
        <is>
          <t>Base-&gt;SOL</t>
        </is>
      </c>
      <c r="C185" s="4" t="n">
        <v>1</v>
      </c>
      <c r="D185" s="4" t="inlineStr">
        <is>
          <t>Mayan</t>
        </is>
      </c>
      <c r="E185" s="4" t="inlineStr">
        <is>
          <t>venue</t>
        </is>
      </c>
      <c r="F185" s="4" t="inlineStr">
        <is>
          <t>OK</t>
        </is>
      </c>
      <c r="G185" s="4" t="inlineStr">
        <is>
          <t>2026-09-23T09:41:14.841Z</t>
        </is>
      </c>
      <c r="H185" s="4" t="inlineStr">
        <is>
          <t>2026-09-23T09:41:16.092Z</t>
        </is>
      </c>
      <c r="I185" s="4" t="inlineStr">
        <is>
          <t>2026-09-23T09:41:18.216Z</t>
        </is>
      </c>
      <c r="J185" s="20" t="n">
        <v>0.267</v>
      </c>
      <c r="K185" s="18" t="n">
        <v>99.68000000000001</v>
      </c>
      <c r="L185" s="20" t="n"/>
      <c r="M185" s="4" t="n"/>
      <c r="N185" s="4" t="inlineStr">
        <is>
          <t>mode=Swift v2; eta=3s; display_decimals=2</t>
        </is>
      </c>
      <c r="O185" s="4" t="inlineStr">
        <is>
          <t>https://swap.mayan.finance/</t>
        </is>
      </c>
    </row>
    <row r="186">
      <c r="A186" s="4" t="inlineStr">
        <is>
          <t>be2d1e1e2b4b</t>
        </is>
      </c>
      <c r="B186" s="4" t="inlineStr">
        <is>
          <t>Base-&gt;SOL</t>
        </is>
      </c>
      <c r="C186" s="4" t="n">
        <v>1</v>
      </c>
      <c r="D186" s="4" t="inlineStr">
        <is>
          <t>Allbridge Core</t>
        </is>
      </c>
      <c r="E186" s="4" t="inlineStr">
        <is>
          <t>venue</t>
        </is>
      </c>
      <c r="F186" s="4" t="inlineStr">
        <is>
          <t>OK</t>
        </is>
      </c>
      <c r="G186" s="4" t="inlineStr">
        <is>
          <t>2026-09-23T09:41:14.843Z</t>
        </is>
      </c>
      <c r="H186" s="4" t="inlineStr">
        <is>
          <t>2026-09-23T09:41:15.995Z</t>
        </is>
      </c>
      <c r="I186" s="4" t="inlineStr">
        <is>
          <t>2026-09-23T09:41:18.201Z</t>
        </is>
      </c>
      <c r="J186" s="20" t="n">
        <v>0.17</v>
      </c>
      <c r="K186" s="18" t="n">
        <v>99.90000000000001</v>
      </c>
      <c r="L186" s="20" t="n">
        <v>0.000136</v>
      </c>
      <c r="M186" s="4" t="inlineStr">
        <is>
          <t>ETH (relayer fee, fee=native)</t>
        </is>
      </c>
      <c r="N186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186" s="4" t="inlineStr">
        <is>
          <t>https://core.allbridge.io/?fee=native&amp;ft=USDC&amp;tt=USDC&amp;f=BAS&amp;t=SOL</t>
        </is>
      </c>
    </row>
    <row r="187">
      <c r="A187" s="4" t="inlineStr">
        <is>
          <t>be2d1e1e2b4b</t>
        </is>
      </c>
      <c r="B187" s="4" t="inlineStr">
        <is>
          <t>Base-&gt;SOL</t>
        </is>
      </c>
      <c r="C187" s="4" t="n">
        <v>1</v>
      </c>
      <c r="D187" s="4" t="inlineStr">
        <is>
          <t>CCTP (via Portal)</t>
        </is>
      </c>
      <c r="E187" s="4" t="inlineStr">
        <is>
          <t>venue</t>
        </is>
      </c>
      <c r="F187" s="4" t="inlineStr">
        <is>
          <t>OK</t>
        </is>
      </c>
      <c r="G187" s="4" t="inlineStr">
        <is>
          <t>2026-09-23T09:41:14.844Z</t>
        </is>
      </c>
      <c r="H187" s="4" t="inlineStr">
        <is>
          <t>2026-09-23T09:41:18.426Z</t>
        </is>
      </c>
      <c r="I187" s="4" t="inlineStr">
        <is>
          <t>2026-09-23T09:41:20.906Z</t>
        </is>
      </c>
      <c r="J187" s="20" t="n">
        <v>2.601</v>
      </c>
      <c r="K187" s="18" t="n">
        <v>99.977001</v>
      </c>
      <c r="L187" s="20" t="n"/>
      <c r="M187" s="4" t="n"/>
      <c r="N187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187" s="4" t="inlineStr">
        <is>
          <t>https://portalbridge.com/usdc-bridge?fromChain=Base&amp;fromToken=USDC&amp;toChain=Solana&amp;toToken=USDC</t>
        </is>
      </c>
    </row>
    <row r="188">
      <c r="A188" s="4" t="inlineStr">
        <is>
          <t>be2d1e1e2b4b</t>
        </is>
      </c>
      <c r="B188" s="4" t="inlineStr">
        <is>
          <t>Base-&gt;SOL</t>
        </is>
      </c>
      <c r="C188" s="4" t="n">
        <v>1</v>
      </c>
      <c r="D188" s="4" t="inlineStr">
        <is>
          <t>Husher</t>
        </is>
      </c>
      <c r="E188" s="4" t="inlineStr">
        <is>
          <t>venue</t>
        </is>
      </c>
      <c r="F188" s="4" t="inlineStr">
        <is>
          <t>OK</t>
        </is>
      </c>
      <c r="G188" s="4" t="inlineStr">
        <is>
          <t>2026-09-23T09:41:14.845Z</t>
        </is>
      </c>
      <c r="H188" s="4" t="inlineStr">
        <is>
          <t>2026-09-23T09:41:16.157Z</t>
        </is>
      </c>
      <c r="I188" s="4" t="inlineStr">
        <is>
          <t>2026-09-23T09:41:18.664Z</t>
        </is>
      </c>
      <c r="J188" s="20" t="n">
        <v>0.332</v>
      </c>
      <c r="K188" s="18" t="n">
        <v>99.34999999999999</v>
      </c>
      <c r="L188" s="20" t="n"/>
      <c r="M188" s="4" t="n"/>
      <c r="N188" s="4" t="inlineStr">
        <is>
          <t>out_usd=$99.35; provider=Husher (Best Rate); rate_type=floating; fee_deducted=0.35; network_fee_deducted=0.3; api_receive=99.35000000; eta_s=40; display_decimals=2</t>
        </is>
      </c>
      <c r="O188" s="4" t="inlineStr">
        <is>
          <t>https://www.husher.io/</t>
        </is>
      </c>
    </row>
    <row r="189">
      <c r="A189" s="4" t="inlineStr">
        <is>
          <t>be2d1e1e2b4b</t>
        </is>
      </c>
      <c r="B189" s="4" t="inlineStr">
        <is>
          <t>Base-&gt;SOL</t>
        </is>
      </c>
      <c r="C189" s="4" t="n">
        <v>1</v>
      </c>
      <c r="D189" s="4" t="inlineStr">
        <is>
          <t>Layerswap</t>
        </is>
      </c>
      <c r="E189" s="4" t="inlineStr">
        <is>
          <t>venue</t>
        </is>
      </c>
      <c r="F189" s="4" t="inlineStr">
        <is>
          <t>OK</t>
        </is>
      </c>
      <c r="G189" s="4" t="inlineStr">
        <is>
          <t>2026-09-23T09:41:14.842Z</t>
        </is>
      </c>
      <c r="H189" s="4" t="inlineStr">
        <is>
          <t>2026-09-23T09:41:17.296Z</t>
        </is>
      </c>
      <c r="I189" s="4" t="inlineStr">
        <is>
          <t>2026-09-23T09:41:19.385Z</t>
        </is>
      </c>
      <c r="J189" s="20" t="n">
        <v>1.471</v>
      </c>
      <c r="K189" s="18" t="n">
        <v>99.67345899999999</v>
      </c>
      <c r="L189" s="20" t="n"/>
      <c r="M189" s="4" t="n"/>
      <c r="N189" s="4" t="inlineStr">
        <is>
          <t>out_usd=$99.66; fee_usd=0.33; slippage=0.00%; eta=22 secs; to_token=USDC; to_chain=Solana; display_decimals=6</t>
        </is>
      </c>
      <c r="O189" s="4" t="inlineStr">
        <is>
          <t>https://layerswap.io/app?from=BASE_MAINNET&amp;to=SOLANA_MAINNET&amp;fromAsset=USDC&amp;toAsset=USDC</t>
        </is>
      </c>
    </row>
    <row r="190">
      <c r="A190" s="4" t="inlineStr">
        <is>
          <t>be2d1e1e2b4b</t>
        </is>
      </c>
      <c r="B190" s="4" t="inlineStr">
        <is>
          <t>Base-&gt;SOL</t>
        </is>
      </c>
      <c r="C190" s="4" t="n">
        <v>1</v>
      </c>
      <c r="D190" s="4" t="inlineStr">
        <is>
          <t>Meson</t>
        </is>
      </c>
      <c r="E190" s="4" t="inlineStr">
        <is>
          <t>venue</t>
        </is>
      </c>
      <c r="F190" s="4" t="inlineStr">
        <is>
          <t>OK</t>
        </is>
      </c>
      <c r="G190" s="4" t="inlineStr">
        <is>
          <t>2026-09-23T09:41:14.845Z</t>
        </is>
      </c>
      <c r="H190" s="4" t="inlineStr">
        <is>
          <t>2026-09-23T09:41:15.144Z</t>
        </is>
      </c>
      <c r="I190" s="4" t="inlineStr">
        <is>
          <t>2026-09-23T09:41:17.293Z</t>
        </is>
      </c>
      <c r="J190" s="20" t="n">
        <v>0.681</v>
      </c>
      <c r="K190" s="18" t="n">
        <v>99.59999999999999</v>
      </c>
      <c r="L190" s="20" t="n">
        <v>0</v>
      </c>
      <c r="M190" s="4" t="n"/>
      <c r="N190" s="4" t="inlineStr">
        <is>
          <t>fees_deducted=[['Fee', 0.4, 'USDC']]; fee_total=0.4; fixed_fee_on_top=0.0; display_decimals=1</t>
        </is>
      </c>
      <c r="O190" s="4" t="inlineStr">
        <is>
          <t>https://meson.fi/swap</t>
        </is>
      </c>
    </row>
    <row r="191">
      <c r="A191" s="4" t="inlineStr">
        <is>
          <t>be2d1e1e2b4b</t>
        </is>
      </c>
      <c r="B191" s="4" t="inlineStr">
        <is>
          <t>Base-&gt;SOL</t>
        </is>
      </c>
      <c r="C191" s="4" t="n">
        <v>1</v>
      </c>
      <c r="D191" s="4" t="inlineStr">
        <is>
          <t>SimpleSwap</t>
        </is>
      </c>
      <c r="E191" s="4" t="inlineStr">
        <is>
          <t>venue</t>
        </is>
      </c>
      <c r="F191" s="4" t="inlineStr">
        <is>
          <t>NO_QUOTE</t>
        </is>
      </c>
      <c r="G191" s="4" t="inlineStr">
        <is>
          <t>2026-09-23T09:41:14.845Z</t>
        </is>
      </c>
      <c r="H191" s="4" t="n"/>
      <c r="I191" s="4" t="inlineStr">
        <is>
          <t>2026-09-23T09:42:00.242Z</t>
        </is>
      </c>
      <c r="J191" s="20" t="n"/>
      <c r="K191" s="18" t="n"/>
      <c r="L191" s="20" t="n"/>
      <c r="M191" s="4" t="n"/>
      <c r="N191" s="4" t="inlineStr"/>
      <c r="O191" s="4" t="inlineStr">
        <is>
          <t>https://simpleswap.io/?from=usdc-base&amp;to=usdc-sol</t>
        </is>
      </c>
    </row>
    <row r="192">
      <c r="A192" s="4" t="inlineStr">
        <is>
          <t>be2d1e1e2b4b</t>
        </is>
      </c>
      <c r="B192" s="4" t="inlineStr">
        <is>
          <t>Base-&gt;SOL</t>
        </is>
      </c>
      <c r="C192" s="4" t="n">
        <v>1</v>
      </c>
      <c r="D192" s="4" t="inlineStr">
        <is>
          <t>Skip Go</t>
        </is>
      </c>
      <c r="E192" s="4" t="inlineStr">
        <is>
          <t>venue</t>
        </is>
      </c>
      <c r="F192" s="4" t="inlineStr">
        <is>
          <t>OK</t>
        </is>
      </c>
      <c r="G192" s="4" t="inlineStr">
        <is>
          <t>2026-09-23T09:41:14.844Z</t>
        </is>
      </c>
      <c r="H192" s="4" t="inlineStr">
        <is>
          <t>2026-09-23T09:41:16.800Z</t>
        </is>
      </c>
      <c r="I192" s="4" t="inlineStr">
        <is>
          <t>2026-09-23T09:41:19.081Z</t>
        </is>
      </c>
      <c r="J192" s="20" t="n">
        <v>0.975</v>
      </c>
      <c r="K192" s="18" t="n">
        <v>99.71571</v>
      </c>
      <c r="L192" s="20" t="n"/>
      <c r="M192" s="4" t="n"/>
      <c r="N192" s="4" t="inlineStr">
        <is>
          <t>fees_usd_in_quote=0.29; eta=2 mins; usd_values=['99.99', '99.70']; display_decimals=5</t>
        </is>
      </c>
      <c r="O192" s="4" t="inlineStr">
        <is>
          <t>https://go.skip.build/?src_chain=8453&amp;src_asset=0x833589fcd6edb6e08f4c7c32d4f71b54bda02913&amp;dest_chain=solana&amp;dest_asset=EPjFWdd5AufqSSqeM2qN1xzybapC8G4wEGGkZwyTDt1v</t>
        </is>
      </c>
    </row>
    <row r="193">
      <c r="A193" s="4" t="inlineStr">
        <is>
          <t>be2d1e1e2b4b</t>
        </is>
      </c>
      <c r="B193" s="4" t="inlineStr">
        <is>
          <t>Base-&gt;SOL</t>
        </is>
      </c>
      <c r="C193" s="4" t="n">
        <v>1</v>
      </c>
      <c r="D193" s="4" t="inlineStr">
        <is>
          <t>Symbiosis</t>
        </is>
      </c>
      <c r="E193" s="4" t="inlineStr">
        <is>
          <t>venue</t>
        </is>
      </c>
      <c r="F193" s="4" t="inlineStr">
        <is>
          <t>OK</t>
        </is>
      </c>
      <c r="G193" s="4" t="inlineStr">
        <is>
          <t>2026-09-23T09:41:14.842Z</t>
        </is>
      </c>
      <c r="H193" s="4" t="inlineStr">
        <is>
          <t>2026-09-23T09:41:17.856Z</t>
        </is>
      </c>
      <c r="I193" s="4" t="inlineStr">
        <is>
          <t>2026-09-23T09:41:19.994Z</t>
        </is>
      </c>
      <c r="J193" s="20" t="n">
        <v>2.031</v>
      </c>
      <c r="K193" s="18" t="n">
        <v>98.40936000000001</v>
      </c>
      <c r="L193" s="20" t="n">
        <v>0</v>
      </c>
      <c r="M193" s="4" t="n"/>
      <c r="N193" s="4" t="inlineStr">
        <is>
          <t>min_received=97.9173; fee_usd_deducted=1.53; eta=2 - 3 Min; price_impact=0%; slippage=2%; route=Swap on Base; fixed_fee_on_top=0.0; display_decimals=6</t>
        </is>
      </c>
      <c r="O193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194">
      <c r="A194" s="4" t="inlineStr">
        <is>
          <t>014447f2fd40</t>
        </is>
      </c>
      <c r="B194" s="4" t="inlineStr">
        <is>
          <t>SOL-&gt;ETH</t>
        </is>
      </c>
      <c r="C194" s="4" t="n">
        <v>2</v>
      </c>
      <c r="D194" s="4" t="inlineStr">
        <is>
          <t>Bridg</t>
        </is>
      </c>
      <c r="E194" s="4" t="inlineStr">
        <is>
          <t>bridg</t>
        </is>
      </c>
      <c r="F194" s="4" t="inlineStr">
        <is>
          <t>OK</t>
        </is>
      </c>
      <c r="G194" s="4" t="inlineStr">
        <is>
          <t>2026-09-23T09:42:20.971Z</t>
        </is>
      </c>
      <c r="H194" s="4" t="inlineStr">
        <is>
          <t>2026-09-23T09:42:22.015Z</t>
        </is>
      </c>
      <c r="I194" s="4" t="inlineStr">
        <is>
          <t>2026-09-23T09:42:26.500Z</t>
        </is>
      </c>
      <c r="J194" s="20" t="n"/>
      <c r="K194" s="18" t="n">
        <v>99.940005</v>
      </c>
      <c r="L194" s="20" t="n"/>
      <c r="M194" s="4" t="n"/>
      <c r="N194" s="4" t="inlineStr">
        <is>
          <t>best via Across; 16 venues priced; fees [['Across fee', 0.009995], ['Bridg fee', 0.05]]</t>
        </is>
      </c>
      <c r="O194" s="4" t="inlineStr">
        <is>
          <t>https://bridg.now/swap/</t>
        </is>
      </c>
    </row>
    <row r="195">
      <c r="A195" s="4" t="inlineStr">
        <is>
          <t>014447f2fd40</t>
        </is>
      </c>
      <c r="B195" s="4" t="inlineStr">
        <is>
          <t>SOL-&gt;ETH</t>
        </is>
      </c>
      <c r="C195" s="4" t="n">
        <v>2</v>
      </c>
      <c r="D195" s="4" t="inlineStr">
        <is>
          <t>Relay</t>
        </is>
      </c>
      <c r="E195" s="4" t="inlineStr">
        <is>
          <t>venue</t>
        </is>
      </c>
      <c r="F195" s="4" t="inlineStr">
        <is>
          <t>OK</t>
        </is>
      </c>
      <c r="G195" s="4" t="inlineStr">
        <is>
          <t>2026-09-23T09:42:20.972Z</t>
        </is>
      </c>
      <c r="H195" s="4" t="inlineStr">
        <is>
          <t>2026-09-23T09:42:22.881Z</t>
        </is>
      </c>
      <c r="I195" s="4" t="inlineStr">
        <is>
          <t>2026-09-23T09:42:25.409Z</t>
        </is>
      </c>
      <c r="J195" s="20" t="n">
        <v>0.866</v>
      </c>
      <c r="K195" s="18" t="n">
        <v>99.889167</v>
      </c>
      <c r="L195" s="20" t="n"/>
      <c r="M195" s="4" t="n"/>
      <c r="N195" s="4" t="inlineStr">
        <is>
          <t>rate=0.9988</t>
        </is>
      </c>
      <c r="O195" s="4" t="inlineStr">
        <is>
          <t>https://relay.link/bridge/ethereum?fromChainId=792703809&amp;fromCurrency=EPjFWdd5AufqSSqeM2qN1xzybapC8G4wEGGkZwyTDt1v&amp;toCurrency=0xa0b86991c6218b36c1d19d4a2e9eb0ce3606eb48</t>
        </is>
      </c>
    </row>
    <row r="196">
      <c r="A196" s="4" t="inlineStr">
        <is>
          <t>014447f2fd40</t>
        </is>
      </c>
      <c r="B196" s="4" t="inlineStr">
        <is>
          <t>SOL-&gt;ETH</t>
        </is>
      </c>
      <c r="C196" s="4" t="n">
        <v>2</v>
      </c>
      <c r="D196" s="4" t="inlineStr">
        <is>
          <t>deBridge</t>
        </is>
      </c>
      <c r="E196" s="4" t="inlineStr">
        <is>
          <t>venue</t>
        </is>
      </c>
      <c r="F196" s="4" t="inlineStr">
        <is>
          <t>OK</t>
        </is>
      </c>
      <c r="G196" s="4" t="inlineStr">
        <is>
          <t>2026-09-23T09:42:20.973Z</t>
        </is>
      </c>
      <c r="H196" s="4" t="inlineStr">
        <is>
          <t>2026-09-23T09:42:22.549Z</t>
        </is>
      </c>
      <c r="I196" s="4" t="inlineStr">
        <is>
          <t>2026-09-23T09:42:24.848Z</t>
        </is>
      </c>
      <c r="J196" s="20" t="n">
        <v>0.534</v>
      </c>
      <c r="K196" s="18" t="n">
        <v>99.920018</v>
      </c>
      <c r="L196" s="20" t="n">
        <v>1.2432</v>
      </c>
      <c r="M196" s="4" t="inlineStr">
        <is>
          <t>USDC</t>
        </is>
      </c>
      <c r="N196" s="4" t="inlineStr">
        <is>
          <t>fixed_fee_on_top=1.2432; fixed_fee_token=USDC</t>
        </is>
      </c>
      <c r="O196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97">
      <c r="A197" s="4" t="inlineStr">
        <is>
          <t>014447f2fd40</t>
        </is>
      </c>
      <c r="B197" s="4" t="inlineStr">
        <is>
          <t>SOL-&gt;ETH</t>
        </is>
      </c>
      <c r="C197" s="4" t="n">
        <v>2</v>
      </c>
      <c r="D197" s="4" t="inlineStr">
        <is>
          <t>LI.FI (Jumper)</t>
        </is>
      </c>
      <c r="E197" s="4" t="inlineStr">
        <is>
          <t>venue</t>
        </is>
      </c>
      <c r="F197" s="4" t="inlineStr">
        <is>
          <t>OK</t>
        </is>
      </c>
      <c r="G197" s="4" t="inlineStr">
        <is>
          <t>2026-09-23T09:42:20.974Z</t>
        </is>
      </c>
      <c r="H197" s="4" t="inlineStr">
        <is>
          <t>2026-09-23T09:42:24.869Z</t>
        </is>
      </c>
      <c r="I197" s="4" t="inlineStr">
        <is>
          <t>2026-09-23T09:42:27.038Z</t>
        </is>
      </c>
      <c r="J197" s="20" t="n">
        <v>2.854</v>
      </c>
      <c r="K197" s="18" t="n">
        <v>99.889167</v>
      </c>
      <c r="L197" s="20" t="n"/>
      <c r="M197" s="4" t="n"/>
      <c r="N197" s="4" t="inlineStr">
        <is>
          <t>best_return_venue=Relay; max_out=99.99</t>
        </is>
      </c>
      <c r="O197" s="4" t="inlineStr">
        <is>
          <t>https://jumper.xyz/?fromChain=1151111081099710&amp;fromToken=EPjFWdd5AufqSSqeM2qN1xzybapC8G4wEGGkZwyTDt1v&amp;toChain=1&amp;toToken=0xa0b86991c6218b36c1d19d4a2e9eb0ce3606eb48</t>
        </is>
      </c>
    </row>
    <row r="198">
      <c r="A198" s="4" t="inlineStr">
        <is>
          <t>014447f2fd40</t>
        </is>
      </c>
      <c r="B198" s="4" t="inlineStr">
        <is>
          <t>SOL-&gt;ETH</t>
        </is>
      </c>
      <c r="C198" s="4" t="n">
        <v>2</v>
      </c>
      <c r="D198" s="4" t="inlineStr">
        <is>
          <t>Across</t>
        </is>
      </c>
      <c r="E198" s="4" t="inlineStr">
        <is>
          <t>venue</t>
        </is>
      </c>
      <c r="F198" s="4" t="inlineStr">
        <is>
          <t>OK</t>
        </is>
      </c>
      <c r="G198" s="4" t="inlineStr">
        <is>
          <t>2026-09-23T09:42:20.970Z</t>
        </is>
      </c>
      <c r="H198" s="4" t="inlineStr">
        <is>
          <t>2026-09-23T09:42:22.650Z</t>
        </is>
      </c>
      <c r="I198" s="4" t="inlineStr">
        <is>
          <t>2026-09-23T09:42:24.834Z</t>
        </is>
      </c>
      <c r="J198" s="20" t="n">
        <v>0.635</v>
      </c>
      <c r="K198" s="18" t="n">
        <v>99.98999999999999</v>
      </c>
      <c r="L198" s="20" t="n"/>
      <c r="M198" s="4" t="n"/>
      <c r="N198" s="4" t="inlineStr"/>
      <c r="O198" s="4" t="inlineStr">
        <is>
          <t>https://across.to/?from=solana&amp;to=ethereum&amp;inputToken=USDC&amp;outputToken=USDC</t>
        </is>
      </c>
    </row>
    <row r="199">
      <c r="A199" s="4" t="inlineStr">
        <is>
          <t>014447f2fd40</t>
        </is>
      </c>
      <c r="B199" s="4" t="inlineStr">
        <is>
          <t>SOL-&gt;ETH</t>
        </is>
      </c>
      <c r="C199" s="4" t="n">
        <v>2</v>
      </c>
      <c r="D199" s="4" t="inlineStr">
        <is>
          <t>Mayan</t>
        </is>
      </c>
      <c r="E199" s="4" t="inlineStr">
        <is>
          <t>venue</t>
        </is>
      </c>
      <c r="F199" s="4" t="inlineStr">
        <is>
          <t>OK</t>
        </is>
      </c>
      <c r="G199" s="4" t="inlineStr">
        <is>
          <t>2026-09-23T09:42:20.969Z</t>
        </is>
      </c>
      <c r="H199" s="4" t="inlineStr">
        <is>
          <t>2026-09-23T09:42:22.517Z</t>
        </is>
      </c>
      <c r="I199" s="4" t="inlineStr">
        <is>
          <t>2026-09-23T09:42:24.831Z</t>
        </is>
      </c>
      <c r="J199" s="20" t="n">
        <v>0.502</v>
      </c>
      <c r="K199" s="18" t="n">
        <v>99.3006</v>
      </c>
      <c r="L199" s="20" t="n"/>
      <c r="M199" s="4" t="n"/>
      <c r="N199" s="4" t="inlineStr">
        <is>
          <t>mode=Swift v2; eta=3s; display_decimals=4</t>
        </is>
      </c>
      <c r="O199" s="4" t="inlineStr">
        <is>
          <t>https://swap.mayan.finance/</t>
        </is>
      </c>
    </row>
    <row r="200">
      <c r="A200" s="4" t="inlineStr">
        <is>
          <t>014447f2fd40</t>
        </is>
      </c>
      <c r="B200" s="4" t="inlineStr">
        <is>
          <t>SOL-&gt;ETH</t>
        </is>
      </c>
      <c r="C200" s="4" t="n">
        <v>2</v>
      </c>
      <c r="D200" s="4" t="inlineStr">
        <is>
          <t>Allbridge Core</t>
        </is>
      </c>
      <c r="E200" s="4" t="inlineStr">
        <is>
          <t>venue</t>
        </is>
      </c>
      <c r="F200" s="4" t="inlineStr">
        <is>
          <t>OK</t>
        </is>
      </c>
      <c r="G200" s="4" t="inlineStr">
        <is>
          <t>2026-09-23T09:42:20.974Z</t>
        </is>
      </c>
      <c r="H200" s="4" t="inlineStr">
        <is>
          <t>2026-09-23T09:42:22.097Z</t>
        </is>
      </c>
      <c r="I200" s="4" t="inlineStr">
        <is>
          <t>2026-09-23T09:42:24.310Z</t>
        </is>
      </c>
      <c r="J200" s="20" t="n">
        <v>0.082</v>
      </c>
      <c r="K200" s="18" t="n">
        <v>99.90000000000001</v>
      </c>
      <c r="L200" s="20" t="n">
        <v>0.014509</v>
      </c>
      <c r="M200" s="4" t="inlineStr">
        <is>
          <t>SOL (relayer fee, fee=native)</t>
        </is>
      </c>
      <c r="N200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00" s="4" t="inlineStr">
        <is>
          <t>https://core.allbridge.io/?fee=native&amp;ft=USDC&amp;tt=USDC&amp;f=SOL&amp;t=ETH</t>
        </is>
      </c>
    </row>
    <row r="201">
      <c r="A201" s="4" t="inlineStr">
        <is>
          <t>014447f2fd40</t>
        </is>
      </c>
      <c r="B201" s="4" t="inlineStr">
        <is>
          <t>SOL-&gt;ETH</t>
        </is>
      </c>
      <c r="C201" s="4" t="n">
        <v>2</v>
      </c>
      <c r="D201" s="4" t="inlineStr">
        <is>
          <t>CCTP (via Portal)</t>
        </is>
      </c>
      <c r="E201" s="4" t="inlineStr">
        <is>
          <t>venue</t>
        </is>
      </c>
      <c r="F201" s="4" t="inlineStr">
        <is>
          <t>OK</t>
        </is>
      </c>
      <c r="G201" s="4" t="inlineStr">
        <is>
          <t>2026-09-23T09:42:20.975Z</t>
        </is>
      </c>
      <c r="H201" s="4" t="inlineStr">
        <is>
          <t>2026-09-23T09:42:24.302Z</t>
        </is>
      </c>
      <c r="I201" s="4" t="inlineStr">
        <is>
          <t>2026-09-23T09:42:26.499Z</t>
        </is>
      </c>
      <c r="J201" s="20" t="n">
        <v>2.287</v>
      </c>
      <c r="K201" s="18" t="n">
        <v>99.98999999999999</v>
      </c>
      <c r="L201" s="20" t="n"/>
      <c r="M201" s="4" t="n"/>
      <c r="N201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01" s="4" t="inlineStr">
        <is>
          <t>https://portalbridge.com/usdc-bridge?fromChain=Solana&amp;fromToken=USDC&amp;toChain=Ethereum&amp;toToken=USDC</t>
        </is>
      </c>
    </row>
    <row r="202">
      <c r="A202" s="4" t="inlineStr">
        <is>
          <t>014447f2fd40</t>
        </is>
      </c>
      <c r="B202" s="4" t="inlineStr">
        <is>
          <t>SOL-&gt;ETH</t>
        </is>
      </c>
      <c r="C202" s="4" t="n">
        <v>2</v>
      </c>
      <c r="D202" s="4" t="inlineStr">
        <is>
          <t>Husher</t>
        </is>
      </c>
      <c r="E202" s="4" t="inlineStr">
        <is>
          <t>venue</t>
        </is>
      </c>
      <c r="F202" s="4" t="inlineStr">
        <is>
          <t>OK</t>
        </is>
      </c>
      <c r="G202" s="4" t="inlineStr">
        <is>
          <t>2026-09-23T09:42:20.976Z</t>
        </is>
      </c>
      <c r="H202" s="4" t="inlineStr">
        <is>
          <t>2026-09-23T09:42:22.295Z</t>
        </is>
      </c>
      <c r="I202" s="4" t="inlineStr">
        <is>
          <t>2026-09-23T09:42:24.438Z</t>
        </is>
      </c>
      <c r="J202" s="20" t="n">
        <v>0.28</v>
      </c>
      <c r="K202" s="18" t="n">
        <v>99.05</v>
      </c>
      <c r="L202" s="20" t="n"/>
      <c r="M202" s="4" t="n"/>
      <c r="N202" s="4" t="inlineStr">
        <is>
          <t>out_usd=$99.05; provider=Husher (Best Rate); rate_type=floating; fee_deducted=0.35; network_fee_deducted=0.6; api_receive=99.05000000; eta_s=40; display_decimals=2</t>
        </is>
      </c>
      <c r="O202" s="4" t="inlineStr">
        <is>
          <t>https://www.husher.io/</t>
        </is>
      </c>
    </row>
    <row r="203">
      <c r="A203" s="4" t="inlineStr">
        <is>
          <t>014447f2fd40</t>
        </is>
      </c>
      <c r="B203" s="4" t="inlineStr">
        <is>
          <t>SOL-&gt;ETH</t>
        </is>
      </c>
      <c r="C203" s="4" t="n">
        <v>2</v>
      </c>
      <c r="D203" s="4" t="inlineStr">
        <is>
          <t>Layerswap</t>
        </is>
      </c>
      <c r="E203" s="4" t="inlineStr">
        <is>
          <t>venue</t>
        </is>
      </c>
      <c r="F203" s="4" t="inlineStr">
        <is>
          <t>OK</t>
        </is>
      </c>
      <c r="G203" s="4" t="inlineStr">
        <is>
          <t>2026-09-23T09:42:20.970Z</t>
        </is>
      </c>
      <c r="H203" s="4" t="inlineStr">
        <is>
          <t>2026-09-23T09:42:23.416Z</t>
        </is>
      </c>
      <c r="I203" s="4" t="inlineStr">
        <is>
          <t>2026-09-23T09:42:25.713Z</t>
        </is>
      </c>
      <c r="J203" s="20" t="n">
        <v>1.401</v>
      </c>
      <c r="K203" s="18" t="n">
        <v>99.730237</v>
      </c>
      <c r="L203" s="20" t="n"/>
      <c r="M203" s="4" t="n"/>
      <c r="N203" s="4" t="inlineStr">
        <is>
          <t>out_usd=$99.72; fee_usd=0.27; slippage=0.00%; eta=25 secs; to_token=USDC; to_chain=Ethereum; display_decimals=6</t>
        </is>
      </c>
      <c r="O203" s="4" t="inlineStr">
        <is>
          <t>https://layerswap.io/app?from=SOLANA_MAINNET&amp;to=ETHEREUM_MAINNET&amp;fromAsset=USDC&amp;toAsset=USDC</t>
        </is>
      </c>
    </row>
    <row r="204">
      <c r="A204" s="4" t="inlineStr">
        <is>
          <t>014447f2fd40</t>
        </is>
      </c>
      <c r="B204" s="4" t="inlineStr">
        <is>
          <t>SOL-&gt;ETH</t>
        </is>
      </c>
      <c r="C204" s="4" t="n">
        <v>2</v>
      </c>
      <c r="D204" s="4" t="inlineStr">
        <is>
          <t>Meson</t>
        </is>
      </c>
      <c r="E204" s="4" t="inlineStr">
        <is>
          <t>venue</t>
        </is>
      </c>
      <c r="F204" s="4" t="inlineStr">
        <is>
          <t>OK</t>
        </is>
      </c>
      <c r="G204" s="4" t="inlineStr">
        <is>
          <t>2026-09-23T09:42:20.976Z</t>
        </is>
      </c>
      <c r="H204" s="4" t="inlineStr">
        <is>
          <t>2026-09-23T09:42:21.238Z</t>
        </is>
      </c>
      <c r="I204" s="4" t="inlineStr">
        <is>
          <t>2026-09-23T09:42:23.374Z</t>
        </is>
      </c>
      <c r="J204" s="20" t="n">
        <v>0.777</v>
      </c>
      <c r="K204" s="18" t="n">
        <v>99.70999999999999</v>
      </c>
      <c r="L204" s="20" t="n">
        <v>0</v>
      </c>
      <c r="M204" s="4" t="n"/>
      <c r="N204" s="4" t="inlineStr">
        <is>
          <t>fees_deducted=[['Fee', 0.29, 'USDC']]; fee_total=0.29; fixed_fee_on_top=0.0; display_decimals=2</t>
        </is>
      </c>
      <c r="O204" s="4" t="inlineStr">
        <is>
          <t>https://meson.fi/swap</t>
        </is>
      </c>
    </row>
    <row r="205">
      <c r="A205" s="4" t="inlineStr">
        <is>
          <t>014447f2fd40</t>
        </is>
      </c>
      <c r="B205" s="4" t="inlineStr">
        <is>
          <t>SOL-&gt;ETH</t>
        </is>
      </c>
      <c r="C205" s="4" t="n">
        <v>2</v>
      </c>
      <c r="D205" s="4" t="inlineStr">
        <is>
          <t>SimpleSwap</t>
        </is>
      </c>
      <c r="E205" s="4" t="inlineStr">
        <is>
          <t>venue</t>
        </is>
      </c>
      <c r="F205" s="4" t="inlineStr">
        <is>
          <t>OK</t>
        </is>
      </c>
      <c r="G205" s="4" t="inlineStr">
        <is>
          <t>2026-09-23T09:42:20.976Z</t>
        </is>
      </c>
      <c r="H205" s="4" t="inlineStr">
        <is>
          <t>2026-09-23T09:42:23.616Z</t>
        </is>
      </c>
      <c r="I205" s="4" t="inlineStr">
        <is>
          <t>2026-09-23T09:42:25.756Z</t>
        </is>
      </c>
      <c r="J205" s="20" t="n">
        <v>1.601</v>
      </c>
      <c r="K205" s="18" t="n">
        <v>98.19900699999999</v>
      </c>
      <c r="L205" s="20" t="n">
        <v>0</v>
      </c>
      <c r="M205" s="4" t="inlineStr">
        <is>
          <t>USDC</t>
        </is>
      </c>
      <c r="N205" s="4" t="inlineStr">
        <is>
          <t>best_card_out=98.199007; selected_card=Best rate / Decentralized; rate_type=floating; fixed_fee_on_top=0.0; fixed_fee_token=USDC; display_decimals=6; small_sum_warning=False</t>
        </is>
      </c>
      <c r="O205" s="4" t="inlineStr">
        <is>
          <t>https://simpleswap.io/?from=usdc-sol&amp;to=usdc-eth</t>
        </is>
      </c>
    </row>
    <row r="206">
      <c r="A206" s="4" t="inlineStr">
        <is>
          <t>014447f2fd40</t>
        </is>
      </c>
      <c r="B206" s="4" t="inlineStr">
        <is>
          <t>SOL-&gt;ETH</t>
        </is>
      </c>
      <c r="C206" s="4" t="n">
        <v>2</v>
      </c>
      <c r="D206" s="4" t="inlineStr">
        <is>
          <t>Skip Go</t>
        </is>
      </c>
      <c r="E206" s="4" t="inlineStr">
        <is>
          <t>venue</t>
        </is>
      </c>
      <c r="F206" s="4" t="inlineStr">
        <is>
          <t>OK</t>
        </is>
      </c>
      <c r="G206" s="4" t="inlineStr">
        <is>
          <t>2026-09-23T09:42:20.974Z</t>
        </is>
      </c>
      <c r="H206" s="4" t="inlineStr">
        <is>
          <t>2026-09-23T09:42:23.476Z</t>
        </is>
      </c>
      <c r="I206" s="4" t="inlineStr">
        <is>
          <t>2026-09-23T09:42:25.722Z</t>
        </is>
      </c>
      <c r="J206" s="20" t="n">
        <v>1.461</v>
      </c>
      <c r="K206" s="18" t="n">
        <v>99.72108</v>
      </c>
      <c r="L206" s="20" t="n"/>
      <c r="M206" s="4" t="n"/>
      <c r="N206" s="4" t="inlineStr">
        <is>
          <t>fees_usd_in_quote=0.28; eta=30 secs; usd_values=['99.98', '99.71']; display_decimals=5</t>
        </is>
      </c>
      <c r="O206" s="4" t="inlineStr">
        <is>
          <t>https://go.skip.build/?src_chain=solana&amp;src_asset=EPjFWdd5AufqSSqeM2qN1xzybapC8G4wEGGkZwyTDt1v&amp;dest_chain=1&amp;dest_asset=0xa0b86991c6218b36c1d19d4a2e9eb0ce3606eb48</t>
        </is>
      </c>
    </row>
    <row r="207">
      <c r="A207" s="4" t="inlineStr">
        <is>
          <t>014447f2fd40</t>
        </is>
      </c>
      <c r="B207" s="4" t="inlineStr">
        <is>
          <t>SOL-&gt;ETH</t>
        </is>
      </c>
      <c r="C207" s="4" t="n">
        <v>2</v>
      </c>
      <c r="D207" s="4" t="inlineStr">
        <is>
          <t>Symbiosis</t>
        </is>
      </c>
      <c r="E207" s="4" t="inlineStr">
        <is>
          <t>venue</t>
        </is>
      </c>
      <c r="F207" s="4" t="inlineStr">
        <is>
          <t>OK</t>
        </is>
      </c>
      <c r="G207" s="4" t="inlineStr">
        <is>
          <t>2026-09-23T09:42:20.973Z</t>
        </is>
      </c>
      <c r="H207" s="4" t="inlineStr">
        <is>
          <t>2026-09-23T09:42:24.100Z</t>
        </is>
      </c>
      <c r="I207" s="4" t="inlineStr">
        <is>
          <t>2026-09-23T09:42:26.195Z</t>
        </is>
      </c>
      <c r="J207" s="20" t="n">
        <v>2.085</v>
      </c>
      <c r="K207" s="18" t="n">
        <v>98.913042</v>
      </c>
      <c r="L207" s="20" t="n">
        <v>0</v>
      </c>
      <c r="M207" s="4" t="n"/>
      <c r="N207" s="4" t="inlineStr">
        <is>
          <t>min_received=98.4184; fee_usd_deducted=1.07; eta=1 - 3 Min; price_impact=-1.1%; slippage=2%; route=Bridge to Ethereum; fixed_fee_on_top=0.0; display_decimals=6</t>
        </is>
      </c>
      <c r="O207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08">
      <c r="A208" s="4" t="inlineStr">
        <is>
          <t>6ea70639e8a8</t>
        </is>
      </c>
      <c r="B208" s="4" t="inlineStr">
        <is>
          <t>ETH-&gt;SOL</t>
        </is>
      </c>
      <c r="C208" s="4" t="n">
        <v>2</v>
      </c>
      <c r="D208" s="4" t="inlineStr">
        <is>
          <t>Bridg</t>
        </is>
      </c>
      <c r="E208" s="4" t="inlineStr">
        <is>
          <t>bridg</t>
        </is>
      </c>
      <c r="F208" s="4" t="inlineStr">
        <is>
          <t>OK</t>
        </is>
      </c>
      <c r="G208" s="4" t="inlineStr">
        <is>
          <t>2026-09-23T09:42:50.107Z</t>
        </is>
      </c>
      <c r="H208" s="4" t="inlineStr">
        <is>
          <t>2026-09-23T09:42:51.234Z</t>
        </is>
      </c>
      <c r="I208" s="4" t="inlineStr">
        <is>
          <t>2026-09-23T09:42:55.057Z</t>
        </is>
      </c>
      <c r="J208" s="20" t="n"/>
      <c r="K208" s="18" t="n">
        <v>99.85005</v>
      </c>
      <c r="L208" s="20" t="n"/>
      <c r="M208" s="4" t="n"/>
      <c r="N208" s="4" t="inlineStr">
        <is>
          <t>best via Allbridge Core; 15 venues priced; fees [['Allbridge Core fee', 0.09995], ['Bridg fee', 0.05]]</t>
        </is>
      </c>
      <c r="O208" s="4" t="inlineStr">
        <is>
          <t>https://bridg.now/swap/</t>
        </is>
      </c>
    </row>
    <row r="209">
      <c r="A209" s="4" t="inlineStr">
        <is>
          <t>6ea70639e8a8</t>
        </is>
      </c>
      <c r="B209" s="4" t="inlineStr">
        <is>
          <t>ETH-&gt;SOL</t>
        </is>
      </c>
      <c r="C209" s="4" t="n">
        <v>2</v>
      </c>
      <c r="D209" s="4" t="inlineStr">
        <is>
          <t>Relay</t>
        </is>
      </c>
      <c r="E209" s="4" t="inlineStr">
        <is>
          <t>venue</t>
        </is>
      </c>
      <c r="F209" s="4" t="inlineStr">
        <is>
          <t>OK</t>
        </is>
      </c>
      <c r="G209" s="4" t="inlineStr">
        <is>
          <t>2026-09-23T09:42:50.108Z</t>
        </is>
      </c>
      <c r="H209" s="4" t="inlineStr">
        <is>
          <t>2026-09-23T09:42:51.989Z</t>
        </is>
      </c>
      <c r="I209" s="4" t="inlineStr">
        <is>
          <t>2026-09-23T09:42:54.012Z</t>
        </is>
      </c>
      <c r="J209" s="20" t="n">
        <v>0.755</v>
      </c>
      <c r="K209" s="18" t="n">
        <v>99.94557399999999</v>
      </c>
      <c r="L209" s="20" t="n"/>
      <c r="M209" s="4" t="n"/>
      <c r="N209" s="4" t="inlineStr">
        <is>
          <t>rate=0.9994</t>
        </is>
      </c>
      <c r="O209" s="4" t="inlineStr">
        <is>
          <t>https://relay.link/bridge/solana?fromChainId=1&amp;fromCurrency=0xa0b86991c6218b36c1d19d4a2e9eb0ce3606eb48&amp;toCurrency=EPjFWdd5AufqSSqeM2qN1xzybapC8G4wEGGkZwyTDt1v</t>
        </is>
      </c>
    </row>
    <row r="210">
      <c r="A210" s="4" t="inlineStr">
        <is>
          <t>6ea70639e8a8</t>
        </is>
      </c>
      <c r="B210" s="4" t="inlineStr">
        <is>
          <t>ETH-&gt;SOL</t>
        </is>
      </c>
      <c r="C210" s="4" t="n">
        <v>2</v>
      </c>
      <c r="D210" s="4" t="inlineStr">
        <is>
          <t>deBridge</t>
        </is>
      </c>
      <c r="E210" s="4" t="inlineStr">
        <is>
          <t>venue</t>
        </is>
      </c>
      <c r="F210" s="4" t="inlineStr">
        <is>
          <t>OK</t>
        </is>
      </c>
      <c r="G210" s="4" t="inlineStr">
        <is>
          <t>2026-09-23T09:42:50.109Z</t>
        </is>
      </c>
      <c r="H210" s="4" t="inlineStr">
        <is>
          <t>2026-09-23T09:42:52.228Z</t>
        </is>
      </c>
      <c r="I210" s="4" t="inlineStr">
        <is>
          <t>2026-09-23T09:42:54.435Z</t>
        </is>
      </c>
      <c r="J210" s="20" t="n">
        <v>0.994</v>
      </c>
      <c r="K210" s="18" t="n">
        <v>99.920018</v>
      </c>
      <c r="L210" s="20" t="n">
        <v>1.1417</v>
      </c>
      <c r="M210" s="4" t="inlineStr">
        <is>
          <t>USDC</t>
        </is>
      </c>
      <c r="N210" s="4" t="inlineStr">
        <is>
          <t>fixed_fee_on_top=1.1417; fixed_fee_token=USDC</t>
        </is>
      </c>
      <c r="O210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11">
      <c r="A211" s="4" t="inlineStr">
        <is>
          <t>6ea70639e8a8</t>
        </is>
      </c>
      <c r="B211" s="4" t="inlineStr">
        <is>
          <t>ETH-&gt;SOL</t>
        </is>
      </c>
      <c r="C211" s="4" t="n">
        <v>2</v>
      </c>
      <c r="D211" s="4" t="inlineStr">
        <is>
          <t>LI.FI (Jumper)</t>
        </is>
      </c>
      <c r="E211" s="4" t="inlineStr">
        <is>
          <t>venue</t>
        </is>
      </c>
      <c r="F211" s="4" t="inlineStr">
        <is>
          <t>OK</t>
        </is>
      </c>
      <c r="G211" s="4" t="inlineStr">
        <is>
          <t>2026-09-23T09:42:50.110Z</t>
        </is>
      </c>
      <c r="H211" s="4" t="inlineStr">
        <is>
          <t>2026-09-23T09:42:52.248Z</t>
        </is>
      </c>
      <c r="I211" s="4" t="inlineStr">
        <is>
          <t>2026-09-23T09:42:54.416Z</t>
        </is>
      </c>
      <c r="J211" s="20" t="n">
        <v>1.014</v>
      </c>
      <c r="K211" s="18" t="n">
        <v>99.94557399999999</v>
      </c>
      <c r="L211" s="20" t="n"/>
      <c r="M211" s="4" t="n"/>
      <c r="N211" s="4" t="inlineStr">
        <is>
          <t>best_return_venue=Relay; max_out=100.0</t>
        </is>
      </c>
      <c r="O211" s="4" t="inlineStr">
        <is>
          <t>https://jumper.xyz/?fromChain=1&amp;fromToken=0xa0b86991c6218b36c1d19d4a2e9eb0ce3606eb48&amp;toChain=1151111081099710&amp;toToken=EPjFWdd5AufqSSqeM2qN1xzybapC8G4wEGGkZwyTDt1v</t>
        </is>
      </c>
    </row>
    <row r="212">
      <c r="A212" s="4" t="inlineStr">
        <is>
          <t>6ea70639e8a8</t>
        </is>
      </c>
      <c r="B212" s="4" t="inlineStr">
        <is>
          <t>ETH-&gt;SOL</t>
        </is>
      </c>
      <c r="C212" s="4" t="n">
        <v>2</v>
      </c>
      <c r="D212" s="4" t="inlineStr">
        <is>
          <t>Across</t>
        </is>
      </c>
      <c r="E212" s="4" t="inlineStr">
        <is>
          <t>venue</t>
        </is>
      </c>
      <c r="F212" s="4" t="inlineStr">
        <is>
          <t>OK</t>
        </is>
      </c>
      <c r="G212" s="4" t="inlineStr">
        <is>
          <t>2026-09-23T09:42:50.110Z</t>
        </is>
      </c>
      <c r="H212" s="4" t="inlineStr">
        <is>
          <t>2026-09-23T09:42:51.268Z</t>
        </is>
      </c>
      <c r="I212" s="4" t="inlineStr">
        <is>
          <t>2026-09-23T09:42:53.402Z</t>
        </is>
      </c>
      <c r="J212" s="20" t="n">
        <v>0.034</v>
      </c>
      <c r="K212" s="18" t="n">
        <v>99.98999999999999</v>
      </c>
      <c r="L212" s="20" t="n"/>
      <c r="M212" s="4" t="n"/>
      <c r="N212" s="4" t="inlineStr"/>
      <c r="O212" s="4" t="inlineStr">
        <is>
          <t>https://across.to/?from=ethereum&amp;to=solana&amp;inputToken=USDC&amp;outputToken=USDC</t>
        </is>
      </c>
    </row>
    <row r="213">
      <c r="A213" s="4" t="inlineStr">
        <is>
          <t>6ea70639e8a8</t>
        </is>
      </c>
      <c r="B213" s="4" t="inlineStr">
        <is>
          <t>ETH-&gt;SOL</t>
        </is>
      </c>
      <c r="C213" s="4" t="n">
        <v>2</v>
      </c>
      <c r="D213" s="4" t="inlineStr">
        <is>
          <t>Mayan</t>
        </is>
      </c>
      <c r="E213" s="4" t="inlineStr">
        <is>
          <t>venue</t>
        </is>
      </c>
      <c r="F213" s="4" t="inlineStr">
        <is>
          <t>OK</t>
        </is>
      </c>
      <c r="G213" s="4" t="inlineStr">
        <is>
          <t>2026-09-23T09:42:50.106Z</t>
        </is>
      </c>
      <c r="H213" s="4" t="inlineStr">
        <is>
          <t>2026-09-23T09:42:51.412Z</t>
        </is>
      </c>
      <c r="I213" s="4" t="inlineStr">
        <is>
          <t>2026-09-23T09:42:53.529Z</t>
        </is>
      </c>
      <c r="J213" s="20" t="n">
        <v>0.178</v>
      </c>
      <c r="K213" s="18" t="n">
        <v>99.54600000000001</v>
      </c>
      <c r="L213" s="20" t="n"/>
      <c r="M213" s="4" t="n"/>
      <c r="N213" s="4" t="inlineStr">
        <is>
          <t>mode=Swift v2; eta=3s; display_decimals=3</t>
        </is>
      </c>
      <c r="O213" s="4" t="inlineStr">
        <is>
          <t>https://swap.mayan.finance/</t>
        </is>
      </c>
    </row>
    <row r="214">
      <c r="A214" s="4" t="inlineStr">
        <is>
          <t>6ea70639e8a8</t>
        </is>
      </c>
      <c r="B214" s="4" t="inlineStr">
        <is>
          <t>ETH-&gt;SOL</t>
        </is>
      </c>
      <c r="C214" s="4" t="n">
        <v>2</v>
      </c>
      <c r="D214" s="4" t="inlineStr">
        <is>
          <t>Allbridge Core</t>
        </is>
      </c>
      <c r="E214" s="4" t="inlineStr">
        <is>
          <t>venue</t>
        </is>
      </c>
      <c r="F214" s="4" t="inlineStr">
        <is>
          <t>OK</t>
        </is>
      </c>
      <c r="G214" s="4" t="inlineStr">
        <is>
          <t>2026-09-23T09:42:50.110Z</t>
        </is>
      </c>
      <c r="H214" s="4" t="inlineStr">
        <is>
          <t>2026-09-23T09:42:51.302Z</t>
        </is>
      </c>
      <c r="I214" s="4" t="inlineStr">
        <is>
          <t>2026-09-23T09:42:53.503Z</t>
        </is>
      </c>
      <c r="J214" s="20" t="n">
        <v>0.068</v>
      </c>
      <c r="K214" s="18" t="n">
        <v>99.90000000000001</v>
      </c>
      <c r="L214" s="20" t="n">
        <v>0.000137</v>
      </c>
      <c r="M214" s="4" t="inlineStr">
        <is>
          <t>ETH (relayer fee, fee=native)</t>
        </is>
      </c>
      <c r="N214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14" s="4" t="inlineStr">
        <is>
          <t>https://core.allbridge.io/?fee=native&amp;ft=USDC&amp;tt=USDC&amp;f=ETH&amp;t=SOL</t>
        </is>
      </c>
    </row>
    <row r="215">
      <c r="A215" s="4" t="inlineStr">
        <is>
          <t>6ea70639e8a8</t>
        </is>
      </c>
      <c r="B215" s="4" t="inlineStr">
        <is>
          <t>ETH-&gt;SOL</t>
        </is>
      </c>
      <c r="C215" s="4" t="n">
        <v>2</v>
      </c>
      <c r="D215" s="4" t="inlineStr">
        <is>
          <t>CCTP (via Portal)</t>
        </is>
      </c>
      <c r="E215" s="4" t="inlineStr">
        <is>
          <t>venue</t>
        </is>
      </c>
      <c r="F215" s="4" t="inlineStr">
        <is>
          <t>OK</t>
        </is>
      </c>
      <c r="G215" s="4" t="inlineStr">
        <is>
          <t>2026-09-23T09:42:50.111Z</t>
        </is>
      </c>
      <c r="H215" s="4" t="inlineStr">
        <is>
          <t>2026-09-23T09:42:54.652Z</t>
        </is>
      </c>
      <c r="I215" s="4" t="inlineStr">
        <is>
          <t>2026-09-23T09:42:56.799Z</t>
        </is>
      </c>
      <c r="J215" s="20" t="n">
        <v>3.418</v>
      </c>
      <c r="K215" s="18" t="n">
        <v>99.980001</v>
      </c>
      <c r="L215" s="20" t="n"/>
      <c r="M215" s="4" t="n"/>
      <c r="N215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15" s="4" t="inlineStr">
        <is>
          <t>https://portalbridge.com/usdc-bridge?fromChain=Ethereum&amp;fromToken=USDC&amp;toChain=Solana&amp;toToken=USDC</t>
        </is>
      </c>
    </row>
    <row r="216">
      <c r="A216" s="4" t="inlineStr">
        <is>
          <t>6ea70639e8a8</t>
        </is>
      </c>
      <c r="B216" s="4" t="inlineStr">
        <is>
          <t>ETH-&gt;SOL</t>
        </is>
      </c>
      <c r="C216" s="4" t="n">
        <v>2</v>
      </c>
      <c r="D216" s="4" t="inlineStr">
        <is>
          <t>Husher</t>
        </is>
      </c>
      <c r="E216" s="4" t="inlineStr">
        <is>
          <t>venue</t>
        </is>
      </c>
      <c r="F216" s="4" t="inlineStr">
        <is>
          <t>OK</t>
        </is>
      </c>
      <c r="G216" s="4" t="inlineStr">
        <is>
          <t>2026-09-23T09:42:50.111Z</t>
        </is>
      </c>
      <c r="H216" s="4" t="inlineStr">
        <is>
          <t>2026-09-23T09:42:51.436Z</t>
        </is>
      </c>
      <c r="I216" s="4" t="inlineStr">
        <is>
          <t>2026-09-23T09:42:53.569Z</t>
        </is>
      </c>
      <c r="J216" s="20" t="n">
        <v>0.202</v>
      </c>
      <c r="K216" s="18" t="n">
        <v>99.34999999999999</v>
      </c>
      <c r="L216" s="20" t="n"/>
      <c r="M216" s="4" t="n"/>
      <c r="N216" s="4" t="inlineStr">
        <is>
          <t>out_usd=$99.35; provider=Husher (Best Rate); rate_type=floating; fee_deducted=0.35; network_fee_deducted=0.3; api_receive=99.35000000; eta_s=40; display_decimals=2</t>
        </is>
      </c>
      <c r="O216" s="4" t="inlineStr">
        <is>
          <t>https://www.husher.io/</t>
        </is>
      </c>
    </row>
    <row r="217">
      <c r="A217" s="4" t="inlineStr">
        <is>
          <t>6ea70639e8a8</t>
        </is>
      </c>
      <c r="B217" s="4" t="inlineStr">
        <is>
          <t>ETH-&gt;SOL</t>
        </is>
      </c>
      <c r="C217" s="4" t="n">
        <v>2</v>
      </c>
      <c r="D217" s="4" t="inlineStr">
        <is>
          <t>Layerswap</t>
        </is>
      </c>
      <c r="E217" s="4" t="inlineStr">
        <is>
          <t>venue</t>
        </is>
      </c>
      <c r="F217" s="4" t="inlineStr">
        <is>
          <t>OK</t>
        </is>
      </c>
      <c r="G217" s="4" t="inlineStr">
        <is>
          <t>2026-09-23T09:42:50.107Z</t>
        </is>
      </c>
      <c r="H217" s="4" t="inlineStr">
        <is>
          <t>2026-09-23T09:42:52.419Z</t>
        </is>
      </c>
      <c r="I217" s="4" t="inlineStr">
        <is>
          <t>2026-09-23T09:42:54.438Z</t>
        </is>
      </c>
      <c r="J217" s="20" t="n">
        <v>1.185</v>
      </c>
      <c r="K217" s="18" t="n">
        <v>99.67358299999999</v>
      </c>
      <c r="L217" s="20" t="n"/>
      <c r="M217" s="4" t="n"/>
      <c r="N217" s="4" t="inlineStr">
        <is>
          <t>out_usd=$99.66; fee_usd=0.33; slippage=0.00%; eta=22 secs; to_token=USDC; to_chain=Solana; display_decimals=6</t>
        </is>
      </c>
      <c r="O217" s="4" t="inlineStr">
        <is>
          <t>https://layerswap.io/app?from=ETHEREUM_MAINNET&amp;to=SOLANA_MAINNET&amp;fromAsset=USDC&amp;toAsset=USDC</t>
        </is>
      </c>
    </row>
    <row r="218">
      <c r="A218" s="4" t="inlineStr">
        <is>
          <t>6ea70639e8a8</t>
        </is>
      </c>
      <c r="B218" s="4" t="inlineStr">
        <is>
          <t>ETH-&gt;SOL</t>
        </is>
      </c>
      <c r="C218" s="4" t="n">
        <v>2</v>
      </c>
      <c r="D218" s="4" t="inlineStr">
        <is>
          <t>Meson</t>
        </is>
      </c>
      <c r="E218" s="4" t="inlineStr">
        <is>
          <t>venue</t>
        </is>
      </c>
      <c r="F218" s="4" t="inlineStr">
        <is>
          <t>OK</t>
        </is>
      </c>
      <c r="G218" s="4" t="inlineStr">
        <is>
          <t>2026-09-23T09:42:50.111Z</t>
        </is>
      </c>
      <c r="H218" s="4" t="inlineStr">
        <is>
          <t>2026-09-23T09:42:50.487Z</t>
        </is>
      </c>
      <c r="I218" s="4" t="inlineStr">
        <is>
          <t>2026-09-23T09:42:52.620Z</t>
        </is>
      </c>
      <c r="J218" s="20" t="n">
        <v>0.747</v>
      </c>
      <c r="K218" s="18" t="n">
        <v>99.09999999999999</v>
      </c>
      <c r="L218" s="20" t="n">
        <v>0</v>
      </c>
      <c r="M218" s="4" t="n"/>
      <c r="N218" s="4" t="inlineStr">
        <is>
          <t>fees_deducted=[['Fee', 0.9, 'USDC']]; fee_total=0.9; fixed_fee_on_top=0.0; display_decimals=1</t>
        </is>
      </c>
      <c r="O218" s="4" t="inlineStr">
        <is>
          <t>https://meson.fi/swap</t>
        </is>
      </c>
    </row>
    <row r="219">
      <c r="A219" s="4" t="inlineStr">
        <is>
          <t>6ea70639e8a8</t>
        </is>
      </c>
      <c r="B219" s="4" t="inlineStr">
        <is>
          <t>ETH-&gt;SOL</t>
        </is>
      </c>
      <c r="C219" s="4" t="n">
        <v>2</v>
      </c>
      <c r="D219" s="4" t="inlineStr">
        <is>
          <t>SimpleSwap</t>
        </is>
      </c>
      <c r="E219" s="4" t="inlineStr">
        <is>
          <t>venue</t>
        </is>
      </c>
      <c r="F219" s="4" t="inlineStr">
        <is>
          <t>OK</t>
        </is>
      </c>
      <c r="G219" s="4" t="inlineStr">
        <is>
          <t>2026-09-23T09:42:50.111Z</t>
        </is>
      </c>
      <c r="H219" s="4" t="inlineStr">
        <is>
          <t>2026-09-23T09:42:53.059Z</t>
        </is>
      </c>
      <c r="I219" s="4" t="inlineStr">
        <is>
          <t>2026-09-23T09:42:55.098Z</t>
        </is>
      </c>
      <c r="J219" s="20" t="n">
        <v>1.825</v>
      </c>
      <c r="K219" s="18" t="n">
        <v>98.485659</v>
      </c>
      <c r="L219" s="20" t="n">
        <v>0</v>
      </c>
      <c r="M219" s="4" t="inlineStr">
        <is>
          <t>USDC</t>
        </is>
      </c>
      <c r="N219" s="4" t="inlineStr">
        <is>
          <t>best_card_out=98.485659; selected_card=Best rate / Decentralized; rate_type=floating; fixed_fee_on_top=0.0; fixed_fee_token=USDC; display_decimals=6; small_sum_warning=False</t>
        </is>
      </c>
      <c r="O219" s="4" t="inlineStr">
        <is>
          <t>https://simpleswap.io/?from=usdc-eth&amp;to=usdc-sol</t>
        </is>
      </c>
    </row>
    <row r="220">
      <c r="A220" s="4" t="inlineStr">
        <is>
          <t>6ea70639e8a8</t>
        </is>
      </c>
      <c r="B220" s="4" t="inlineStr">
        <is>
          <t>ETH-&gt;SOL</t>
        </is>
      </c>
      <c r="C220" s="4" t="n">
        <v>2</v>
      </c>
      <c r="D220" s="4" t="inlineStr">
        <is>
          <t>Skip Go</t>
        </is>
      </c>
      <c r="E220" s="4" t="inlineStr">
        <is>
          <t>venue</t>
        </is>
      </c>
      <c r="F220" s="4" t="inlineStr">
        <is>
          <t>OK</t>
        </is>
      </c>
      <c r="G220" s="4" t="inlineStr">
        <is>
          <t>2026-09-23T09:42:50.110Z</t>
        </is>
      </c>
      <c r="H220" s="4" t="inlineStr">
        <is>
          <t>2026-09-23T09:42:52.510Z</t>
        </is>
      </c>
      <c r="I220" s="4" t="inlineStr">
        <is>
          <t>2026-09-23T09:42:54.750Z</t>
        </is>
      </c>
      <c r="J220" s="20" t="n">
        <v>1.276</v>
      </c>
      <c r="K220" s="18" t="n">
        <v>99.71930999999999</v>
      </c>
      <c r="L220" s="20" t="n"/>
      <c r="M220" s="4" t="n"/>
      <c r="N220" s="4" t="inlineStr">
        <is>
          <t>fees_usd_in_quote=0.28; eta=2 mins; usd_values=['99.99', '99.71']; display_decimals=5</t>
        </is>
      </c>
      <c r="O220" s="4" t="inlineStr">
        <is>
          <t>https://go.skip.build/?src_chain=1&amp;src_asset=0xa0b86991c6218b36c1d19d4a2e9eb0ce3606eb48&amp;dest_chain=solana&amp;dest_asset=EPjFWdd5AufqSSqeM2qN1xzybapC8G4wEGGkZwyTDt1v</t>
        </is>
      </c>
    </row>
    <row r="221">
      <c r="A221" s="4" t="inlineStr">
        <is>
          <t>6ea70639e8a8</t>
        </is>
      </c>
      <c r="B221" s="4" t="inlineStr">
        <is>
          <t>ETH-&gt;SOL</t>
        </is>
      </c>
      <c r="C221" s="4" t="n">
        <v>2</v>
      </c>
      <c r="D221" s="4" t="inlineStr">
        <is>
          <t>Symbiosis</t>
        </is>
      </c>
      <c r="E221" s="4" t="inlineStr">
        <is>
          <t>venue</t>
        </is>
      </c>
      <c r="F221" s="4" t="inlineStr">
        <is>
          <t>OK</t>
        </is>
      </c>
      <c r="G221" s="4" t="inlineStr">
        <is>
          <t>2026-09-23T09:42:50.109Z</t>
        </is>
      </c>
      <c r="H221" s="4" t="inlineStr">
        <is>
          <t>2026-09-23T09:42:52.608Z</t>
        </is>
      </c>
      <c r="I221" s="4" t="inlineStr">
        <is>
          <t>2026-09-23T09:42:54.750Z</t>
        </is>
      </c>
      <c r="J221" s="20" t="n">
        <v>1.374</v>
      </c>
      <c r="K221" s="18" t="n">
        <v>98.960719</v>
      </c>
      <c r="L221" s="20" t="n">
        <v>0</v>
      </c>
      <c r="M221" s="4" t="n"/>
      <c r="N221" s="4" t="inlineStr">
        <is>
          <t>min_received=98.4659; fee_usd_deducted=1.03; eta=2 - 3 Min; price_impact=0%; slippage=2%; route=Bridge to Solana; fixed_fee_on_top=0.0; display_decimals=6</t>
        </is>
      </c>
      <c r="O221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222">
      <c r="A222" s="4" t="inlineStr">
        <is>
          <t>c849590c52fe</t>
        </is>
      </c>
      <c r="B222" s="4" t="inlineStr">
        <is>
          <t>SOL-&gt;BSC</t>
        </is>
      </c>
      <c r="C222" s="4" t="n">
        <v>2</v>
      </c>
      <c r="D222" s="4" t="inlineStr">
        <is>
          <t>Bridg</t>
        </is>
      </c>
      <c r="E222" s="4" t="inlineStr">
        <is>
          <t>bridg</t>
        </is>
      </c>
      <c r="F222" s="4" t="inlineStr">
        <is>
          <t>OK</t>
        </is>
      </c>
      <c r="G222" s="4" t="inlineStr">
        <is>
          <t>2026-09-23T09:43:17.020Z</t>
        </is>
      </c>
      <c r="H222" s="4" t="inlineStr">
        <is>
          <t>2026-09-23T09:43:17.796Z</t>
        </is>
      </c>
      <c r="I222" s="4" t="inlineStr">
        <is>
          <t>2026-09-23T09:43:21.756Z</t>
        </is>
      </c>
      <c r="J222" s="20" t="n"/>
      <c r="K222" s="18" t="n">
        <v>99.87003900000001</v>
      </c>
      <c r="L222" s="20" t="n"/>
      <c r="M222" s="4" t="n"/>
      <c r="N222" s="4" t="inlineStr">
        <is>
          <t>best via Rhino; 9 venues priced; fees [['Rhino fee', 0.079961], ['Bridg fee', 0.05]]</t>
        </is>
      </c>
      <c r="O222" s="4" t="inlineStr">
        <is>
          <t>https://bridg.now/swap/</t>
        </is>
      </c>
    </row>
    <row r="223">
      <c r="A223" s="4" t="inlineStr">
        <is>
          <t>c849590c52fe</t>
        </is>
      </c>
      <c r="B223" s="4" t="inlineStr">
        <is>
          <t>SOL-&gt;BSC</t>
        </is>
      </c>
      <c r="C223" s="4" t="n">
        <v>2</v>
      </c>
      <c r="D223" s="4" t="inlineStr">
        <is>
          <t>Relay</t>
        </is>
      </c>
      <c r="E223" s="4" t="inlineStr">
        <is>
          <t>venue</t>
        </is>
      </c>
      <c r="F223" s="4" t="inlineStr">
        <is>
          <t>OK</t>
        </is>
      </c>
      <c r="G223" s="4" t="inlineStr">
        <is>
          <t>2026-09-23T09:43:17.021Z</t>
        </is>
      </c>
      <c r="H223" s="4" t="inlineStr">
        <is>
          <t>2026-09-23T09:43:18.574Z</t>
        </is>
      </c>
      <c r="I223" s="4" t="inlineStr">
        <is>
          <t>2026-09-23T09:43:20.830Z</t>
        </is>
      </c>
      <c r="J223" s="20" t="n">
        <v>0.778</v>
      </c>
      <c r="K223" s="18" t="n">
        <v>99.64806</v>
      </c>
      <c r="L223" s="20" t="n"/>
      <c r="M223" s="4" t="n"/>
      <c r="N223" s="4" t="inlineStr">
        <is>
          <t>rate=0.9964</t>
        </is>
      </c>
      <c r="O223" s="4" t="inlineStr">
        <is>
          <t>https://relay.link/bridge/bsc?fromChainId=792703809&amp;fromCurrency=EPjFWdd5AufqSSqeM2qN1xzybapC8G4wEGGkZwyTDt1v&amp;toCurrency=0x8ac76a51cc950d9822d68b83fe1ad97b32cd580d</t>
        </is>
      </c>
    </row>
    <row r="224">
      <c r="A224" s="4" t="inlineStr">
        <is>
          <t>c849590c52fe</t>
        </is>
      </c>
      <c r="B224" s="4" t="inlineStr">
        <is>
          <t>SOL-&gt;BSC</t>
        </is>
      </c>
      <c r="C224" s="4" t="n">
        <v>2</v>
      </c>
      <c r="D224" s="4" t="inlineStr">
        <is>
          <t>deBridge</t>
        </is>
      </c>
      <c r="E224" s="4" t="inlineStr">
        <is>
          <t>venue</t>
        </is>
      </c>
      <c r="F224" s="4" t="inlineStr">
        <is>
          <t>OK</t>
        </is>
      </c>
      <c r="G224" s="4" t="inlineStr">
        <is>
          <t>2026-09-23T09:43:17.021Z</t>
        </is>
      </c>
      <c r="H224" s="4" t="inlineStr">
        <is>
          <t>2026-09-23T09:43:18.581Z</t>
        </is>
      </c>
      <c r="I224" s="4" t="inlineStr">
        <is>
          <t>2026-09-23T09:43:20.830Z</t>
        </is>
      </c>
      <c r="J224" s="20" t="n">
        <v>0.785</v>
      </c>
      <c r="K224" s="18" t="n">
        <v>99.92001500000001</v>
      </c>
      <c r="L224" s="20" t="n">
        <v>1.2754</v>
      </c>
      <c r="M224" s="4" t="inlineStr">
        <is>
          <t>USDC</t>
        </is>
      </c>
      <c r="N224" s="4" t="inlineStr">
        <is>
          <t>fixed_fee_on_top=1.2754; fixed_fee_token=USDC</t>
        </is>
      </c>
      <c r="O22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25">
      <c r="A225" s="4" t="inlineStr">
        <is>
          <t>c849590c52fe</t>
        </is>
      </c>
      <c r="B225" s="4" t="inlineStr">
        <is>
          <t>SOL-&gt;BSC</t>
        </is>
      </c>
      <c r="C225" s="4" t="n">
        <v>2</v>
      </c>
      <c r="D225" s="4" t="inlineStr">
        <is>
          <t>LI.FI (Jumper)</t>
        </is>
      </c>
      <c r="E225" s="4" t="inlineStr">
        <is>
          <t>venue</t>
        </is>
      </c>
      <c r="F225" s="4" t="inlineStr">
        <is>
          <t>OK</t>
        </is>
      </c>
      <c r="G225" s="4" t="inlineStr">
        <is>
          <t>2026-09-23T09:43:17.021Z</t>
        </is>
      </c>
      <c r="H225" s="4" t="inlineStr">
        <is>
          <t>2026-09-23T09:43:18.612Z</t>
        </is>
      </c>
      <c r="I225" s="4" t="inlineStr">
        <is>
          <t>2026-09-23T09:43:20.822Z</t>
        </is>
      </c>
      <c r="J225" s="20" t="n">
        <v>0.8159999999999999</v>
      </c>
      <c r="K225" s="18" t="n">
        <v>99.930665</v>
      </c>
      <c r="L225" s="20" t="n"/>
      <c r="M225" s="4" t="n"/>
      <c r="N225" s="4" t="inlineStr">
        <is>
          <t>best_return_venue=Mayan (Swift); max_out=99.930665</t>
        </is>
      </c>
      <c r="O225" s="4" t="inlineStr">
        <is>
          <t>https://jumper.xyz/?fromChain=1151111081099710&amp;fromToken=EPjFWdd5AufqSSqeM2qN1xzybapC8G4wEGGkZwyTDt1v&amp;toChain=56&amp;toToken=0x8ac76a51cc950d9822d68b83fe1ad97b32cd580d</t>
        </is>
      </c>
    </row>
    <row r="226">
      <c r="A226" s="4" t="inlineStr">
        <is>
          <t>c849590c52fe</t>
        </is>
      </c>
      <c r="B226" s="4" t="inlineStr">
        <is>
          <t>SOL-&gt;BSC</t>
        </is>
      </c>
      <c r="C226" s="4" t="n">
        <v>2</v>
      </c>
      <c r="D226" s="4" t="inlineStr">
        <is>
          <t>Across</t>
        </is>
      </c>
      <c r="E226" s="4" t="inlineStr">
        <is>
          <t>venue</t>
        </is>
      </c>
      <c r="F226" s="4" t="inlineStr">
        <is>
          <t>NO_QUOTE</t>
        </is>
      </c>
      <c r="G226" s="4" t="inlineStr">
        <is>
          <t>2026-09-23T09:43:17.020Z</t>
        </is>
      </c>
      <c r="H226" s="4" t="n"/>
      <c r="I226" s="4" t="inlineStr">
        <is>
          <t>2026-09-23T09:44:02.436Z</t>
        </is>
      </c>
      <c r="J226" s="20" t="n"/>
      <c r="K226" s="18" t="n"/>
      <c r="L226" s="20" t="n"/>
      <c r="M226" s="4" t="n"/>
      <c r="N226" s="4" t="inlineStr"/>
      <c r="O226" s="4" t="inlineStr">
        <is>
          <t>https://across.to/?from=solana&amp;to=bsc&amp;inputToken=USDC&amp;outputToken=USDC</t>
        </is>
      </c>
    </row>
    <row r="227">
      <c r="A227" s="4" t="inlineStr">
        <is>
          <t>c849590c52fe</t>
        </is>
      </c>
      <c r="B227" s="4" t="inlineStr">
        <is>
          <t>SOL-&gt;BSC</t>
        </is>
      </c>
      <c r="C227" s="4" t="n">
        <v>2</v>
      </c>
      <c r="D227" s="4" t="inlineStr">
        <is>
          <t>Mayan</t>
        </is>
      </c>
      <c r="E227" s="4" t="inlineStr">
        <is>
          <t>venue</t>
        </is>
      </c>
      <c r="F227" s="4" t="inlineStr">
        <is>
          <t>OK</t>
        </is>
      </c>
      <c r="G227" s="4" t="inlineStr">
        <is>
          <t>2026-09-23T09:43:17.020Z</t>
        </is>
      </c>
      <c r="H227" s="4" t="inlineStr">
        <is>
          <t>2026-09-23T09:43:18.170Z</t>
        </is>
      </c>
      <c r="I227" s="4" t="inlineStr">
        <is>
          <t>2026-09-23T09:43:20.295Z</t>
        </is>
      </c>
      <c r="J227" s="20" t="n">
        <v>0.374</v>
      </c>
      <c r="K227" s="18" t="n">
        <v>99.93000000000001</v>
      </c>
      <c r="L227" s="20" t="n"/>
      <c r="M227" s="4" t="n"/>
      <c r="N227" s="4" t="inlineStr">
        <is>
          <t>mode=Swift v2; eta=3s; display_decimals=2</t>
        </is>
      </c>
      <c r="O227" s="4" t="inlineStr">
        <is>
          <t>https://swap.mayan.finance/</t>
        </is>
      </c>
    </row>
    <row r="228">
      <c r="A228" s="4" t="inlineStr">
        <is>
          <t>c849590c52fe</t>
        </is>
      </c>
      <c r="B228" s="4" t="inlineStr">
        <is>
          <t>SOL-&gt;BSC</t>
        </is>
      </c>
      <c r="C228" s="4" t="n">
        <v>2</v>
      </c>
      <c r="D228" s="4" t="inlineStr">
        <is>
          <t>Husher</t>
        </is>
      </c>
      <c r="E228" s="4" t="inlineStr">
        <is>
          <t>venue</t>
        </is>
      </c>
      <c r="F228" s="4" t="inlineStr">
        <is>
          <t>OK</t>
        </is>
      </c>
      <c r="G228" s="4" t="inlineStr">
        <is>
          <t>2026-09-23T09:43:17.022Z</t>
        </is>
      </c>
      <c r="H228" s="4" t="inlineStr">
        <is>
          <t>2026-09-23T09:43:18.302Z</t>
        </is>
      </c>
      <c r="I228" s="4" t="inlineStr">
        <is>
          <t>2026-09-23T09:43:20.433Z</t>
        </is>
      </c>
      <c r="J228" s="20" t="n">
        <v>0.506</v>
      </c>
      <c r="K228" s="18" t="n">
        <v>99.65000000000001</v>
      </c>
      <c r="L228" s="20" t="n"/>
      <c r="M228" s="4" t="n"/>
      <c r="N228" s="4" t="inlineStr">
        <is>
          <t>out_usd=$99.65; provider=Husher (Best Rate); rate_type=floating; fee_deducted=0.35; network_fee_deducted=0.0; api_receive=99.65000000; eta_s=40; display_decimals=2</t>
        </is>
      </c>
      <c r="O228" s="4" t="inlineStr">
        <is>
          <t>https://www.husher.io/</t>
        </is>
      </c>
    </row>
    <row r="229">
      <c r="A229" s="4" t="inlineStr">
        <is>
          <t>c849590c52fe</t>
        </is>
      </c>
      <c r="B229" s="4" t="inlineStr">
        <is>
          <t>SOL-&gt;BSC</t>
        </is>
      </c>
      <c r="C229" s="4" t="n">
        <v>2</v>
      </c>
      <c r="D229" s="4" t="inlineStr">
        <is>
          <t>Layerswap</t>
        </is>
      </c>
      <c r="E229" s="4" t="inlineStr">
        <is>
          <t>venue</t>
        </is>
      </c>
      <c r="F229" s="4" t="inlineStr">
        <is>
          <t>OK</t>
        </is>
      </c>
      <c r="G229" s="4" t="inlineStr">
        <is>
          <t>2026-09-23T09:43:17.020Z</t>
        </is>
      </c>
      <c r="H229" s="4" t="inlineStr">
        <is>
          <t>2026-09-23T09:43:18.986Z</t>
        </is>
      </c>
      <c r="I229" s="4" t="inlineStr">
        <is>
          <t>2026-09-23T09:43:21.143Z</t>
        </is>
      </c>
      <c r="J229" s="20" t="n">
        <v>1.19</v>
      </c>
      <c r="K229" s="18" t="n">
        <v>99.863078</v>
      </c>
      <c r="L229" s="20" t="n"/>
      <c r="M229" s="4" t="n"/>
      <c r="N229" s="4" t="inlineStr">
        <is>
          <t>out_usd=$99.85; fee_usd=0.14; slippage=0.00%; eta=3 secs; to_token=USDC; to_chain=BSC; display_decimals=6</t>
        </is>
      </c>
      <c r="O229" s="4" t="inlineStr">
        <is>
          <t>https://layerswap.io/app?from=SOLANA_MAINNET&amp;to=BSC_MAINNET&amp;fromAsset=USDC&amp;toAsset=USDC</t>
        </is>
      </c>
    </row>
    <row r="230">
      <c r="A230" s="4" t="inlineStr">
        <is>
          <t>c849590c52fe</t>
        </is>
      </c>
      <c r="B230" s="4" t="inlineStr">
        <is>
          <t>SOL-&gt;BSC</t>
        </is>
      </c>
      <c r="C230" s="4" t="n">
        <v>2</v>
      </c>
      <c r="D230" s="4" t="inlineStr">
        <is>
          <t>Meson</t>
        </is>
      </c>
      <c r="E230" s="4" t="inlineStr">
        <is>
          <t>venue</t>
        </is>
      </c>
      <c r="F230" s="4" t="inlineStr">
        <is>
          <t>OK</t>
        </is>
      </c>
      <c r="G230" s="4" t="inlineStr">
        <is>
          <t>2026-09-23T09:43:17.021Z</t>
        </is>
      </c>
      <c r="H230" s="4" t="inlineStr">
        <is>
          <t>2026-09-23T09:43:17.313Z</t>
        </is>
      </c>
      <c r="I230" s="4" t="inlineStr">
        <is>
          <t>2026-09-23T09:43:19.448Z</t>
        </is>
      </c>
      <c r="J230" s="20" t="n">
        <v>0.483</v>
      </c>
      <c r="K230" s="18" t="n">
        <v>99.88</v>
      </c>
      <c r="L230" s="20" t="n">
        <v>0</v>
      </c>
      <c r="M230" s="4" t="n"/>
      <c r="N230" s="4" t="inlineStr">
        <is>
          <t>fees_deducted=[['Fee', 0.12, 'USDC']]; fee_total=0.12; fixed_fee_on_top=0.0; display_decimals=2</t>
        </is>
      </c>
      <c r="O230" s="4" t="inlineStr">
        <is>
          <t>https://meson.fi/swap</t>
        </is>
      </c>
    </row>
    <row r="231">
      <c r="A231" s="4" t="inlineStr">
        <is>
          <t>c849590c52fe</t>
        </is>
      </c>
      <c r="B231" s="4" t="inlineStr">
        <is>
          <t>SOL-&gt;BSC</t>
        </is>
      </c>
      <c r="C231" s="4" t="n">
        <v>2</v>
      </c>
      <c r="D231" s="4" t="inlineStr">
        <is>
          <t>SimpleSwap</t>
        </is>
      </c>
      <c r="E231" s="4" t="inlineStr">
        <is>
          <t>venue</t>
        </is>
      </c>
      <c r="F231" s="4" t="inlineStr">
        <is>
          <t>OK</t>
        </is>
      </c>
      <c r="G231" s="4" t="inlineStr">
        <is>
          <t>2026-09-23T09:43:17.022Z</t>
        </is>
      </c>
      <c r="H231" s="4" t="inlineStr">
        <is>
          <t>2026-09-23T09:43:19.477Z</t>
        </is>
      </c>
      <c r="I231" s="4" t="inlineStr">
        <is>
          <t>2026-09-23T09:43:21.771Z</t>
        </is>
      </c>
      <c r="J231" s="20" t="n">
        <v>1.681</v>
      </c>
      <c r="K231" s="18" t="n">
        <v>98.13889500000001</v>
      </c>
      <c r="L231" s="20" t="n">
        <v>0</v>
      </c>
      <c r="M231" s="4" t="inlineStr">
        <is>
          <t>USDC</t>
        </is>
      </c>
      <c r="N231" s="4" t="inlineStr">
        <is>
          <t>best_card_out=98.138895; selected_card=Best rate; rate_type=floating; fixed_fee_on_top=0.0; fixed_fee_token=USDC; display_decimals=6; small_sum_warning=False</t>
        </is>
      </c>
      <c r="O231" s="4" t="inlineStr">
        <is>
          <t>https://simpleswap.io/?from=usdc-sol&amp;to=usdc-bsc</t>
        </is>
      </c>
    </row>
    <row r="232">
      <c r="A232" s="4" t="inlineStr">
        <is>
          <t>4c509af09dcc</t>
        </is>
      </c>
      <c r="B232" s="4" t="inlineStr">
        <is>
          <t>BSC-&gt;SOL</t>
        </is>
      </c>
      <c r="C232" s="4" t="n">
        <v>2</v>
      </c>
      <c r="D232" s="4" t="inlineStr">
        <is>
          <t>Bridg</t>
        </is>
      </c>
      <c r="E232" s="4" t="inlineStr">
        <is>
          <t>bridg</t>
        </is>
      </c>
      <c r="F232" s="4" t="inlineStr">
        <is>
          <t>OK</t>
        </is>
      </c>
      <c r="G232" s="4" t="inlineStr">
        <is>
          <t>2026-09-23T09:44:22.225Z</t>
        </is>
      </c>
      <c r="H232" s="4" t="inlineStr">
        <is>
          <t>2026-09-23T09:44:23.229Z</t>
        </is>
      </c>
      <c r="I232" s="4" t="inlineStr">
        <is>
          <t>2026-09-23T09:44:26.369Z</t>
        </is>
      </c>
      <c r="J232" s="20" t="n"/>
      <c r="K232" s="18" t="n">
        <v>99.629901</v>
      </c>
      <c r="L232" s="20" t="n"/>
      <c r="M232" s="4" t="n"/>
      <c r="N232" s="4" t="inlineStr">
        <is>
          <t>best via Relay; 10 venues priced; fees [['Relay fee', 0.320099], ['Bridg fee', 0.05]]</t>
        </is>
      </c>
      <c r="O232" s="4" t="inlineStr">
        <is>
          <t>https://bridg.now/swap/</t>
        </is>
      </c>
    </row>
    <row r="233">
      <c r="A233" s="4" t="inlineStr">
        <is>
          <t>4c509af09dcc</t>
        </is>
      </c>
      <c r="B233" s="4" t="inlineStr">
        <is>
          <t>BSC-&gt;SOL</t>
        </is>
      </c>
      <c r="C233" s="4" t="n">
        <v>2</v>
      </c>
      <c r="D233" s="4" t="inlineStr">
        <is>
          <t>Relay</t>
        </is>
      </c>
      <c r="E233" s="4" t="inlineStr">
        <is>
          <t>venue</t>
        </is>
      </c>
      <c r="F233" s="4" t="inlineStr">
        <is>
          <t>OK</t>
        </is>
      </c>
      <c r="G233" s="4" t="inlineStr">
        <is>
          <t>2026-09-23T09:44:22.225Z</t>
        </is>
      </c>
      <c r="H233" s="4" t="inlineStr">
        <is>
          <t>2026-09-23T09:44:23.984Z</t>
        </is>
      </c>
      <c r="I233" s="4" t="inlineStr">
        <is>
          <t>2026-09-23T09:44:26.366Z</t>
        </is>
      </c>
      <c r="J233" s="20" t="n">
        <v>0.755</v>
      </c>
      <c r="K233" s="18" t="n">
        <v>99.885572</v>
      </c>
      <c r="L233" s="20" t="n"/>
      <c r="M233" s="4" t="n"/>
      <c r="N233" s="4" t="inlineStr">
        <is>
          <t>rate=0.9988</t>
        </is>
      </c>
      <c r="O233" s="4" t="inlineStr">
        <is>
          <t>https://relay.link/bridge/solana?fromChainId=56&amp;fromCurrency=0x8ac76a51cc950d9822d68b83fe1ad97b32cd580d&amp;toCurrency=EPjFWdd5AufqSSqeM2qN1xzybapC8G4wEGGkZwyTDt1v</t>
        </is>
      </c>
    </row>
    <row r="234">
      <c r="A234" s="4" t="inlineStr">
        <is>
          <t>4c509af09dcc</t>
        </is>
      </c>
      <c r="B234" s="4" t="inlineStr">
        <is>
          <t>BSC-&gt;SOL</t>
        </is>
      </c>
      <c r="C234" s="4" t="n">
        <v>2</v>
      </c>
      <c r="D234" s="4" t="inlineStr">
        <is>
          <t>deBridge</t>
        </is>
      </c>
      <c r="E234" s="4" t="inlineStr">
        <is>
          <t>venue</t>
        </is>
      </c>
      <c r="F234" s="4" t="inlineStr">
        <is>
          <t>OK</t>
        </is>
      </c>
      <c r="G234" s="4" t="inlineStr">
        <is>
          <t>2026-09-23T09:44:22.226Z</t>
        </is>
      </c>
      <c r="H234" s="4" t="inlineStr">
        <is>
          <t>2026-09-23T09:44:24.492Z</t>
        </is>
      </c>
      <c r="I234" s="4" t="inlineStr">
        <is>
          <t>2026-09-23T09:44:26.675Z</t>
        </is>
      </c>
      <c r="J234" s="20" t="n">
        <v>1.263</v>
      </c>
      <c r="K234" s="18" t="n">
        <v>99.880032</v>
      </c>
      <c r="L234" s="20" t="n">
        <v>1.0712</v>
      </c>
      <c r="M234" s="4" t="inlineStr">
        <is>
          <t>USDC</t>
        </is>
      </c>
      <c r="N234" s="4" t="inlineStr">
        <is>
          <t>fixed_fee_on_top=1.0712; fixed_fee_token=USDC</t>
        </is>
      </c>
      <c r="O23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35">
      <c r="A235" s="4" t="inlineStr">
        <is>
          <t>4c509af09dcc</t>
        </is>
      </c>
      <c r="B235" s="4" t="inlineStr">
        <is>
          <t>BSC-&gt;SOL</t>
        </is>
      </c>
      <c r="C235" s="4" t="n">
        <v>2</v>
      </c>
      <c r="D235" s="4" t="inlineStr">
        <is>
          <t>LI.FI (Jumper)</t>
        </is>
      </c>
      <c r="E235" s="4" t="inlineStr">
        <is>
          <t>venue</t>
        </is>
      </c>
      <c r="F235" s="4" t="inlineStr">
        <is>
          <t>OK</t>
        </is>
      </c>
      <c r="G235" s="4" t="inlineStr">
        <is>
          <t>2026-09-23T09:44:22.226Z</t>
        </is>
      </c>
      <c r="H235" s="4" t="inlineStr">
        <is>
          <t>2026-09-23T09:44:23.934Z</t>
        </is>
      </c>
      <c r="I235" s="4" t="inlineStr">
        <is>
          <t>2026-09-23T09:44:26.334Z</t>
        </is>
      </c>
      <c r="J235" s="20" t="n">
        <v>0.705</v>
      </c>
      <c r="K235" s="18" t="n">
        <v>99.885572</v>
      </c>
      <c r="L235" s="20" t="n"/>
      <c r="M235" s="4" t="n"/>
      <c r="N235" s="4" t="inlineStr">
        <is>
          <t>best_return_venue=Relay; max_out=99.885572</t>
        </is>
      </c>
      <c r="O235" s="4" t="inlineStr">
        <is>
          <t>https://jumper.xyz/?fromChain=56&amp;fromToken=0x8ac76a51cc950d9822d68b83fe1ad97b32cd580d&amp;toChain=1151111081099710&amp;toToken=EPjFWdd5AufqSSqeM2qN1xzybapC8G4wEGGkZwyTDt1v</t>
        </is>
      </c>
    </row>
    <row r="236">
      <c r="A236" s="4" t="inlineStr">
        <is>
          <t>4c509af09dcc</t>
        </is>
      </c>
      <c r="B236" s="4" t="inlineStr">
        <is>
          <t>BSC-&gt;SOL</t>
        </is>
      </c>
      <c r="C236" s="4" t="n">
        <v>2</v>
      </c>
      <c r="D236" s="4" t="inlineStr">
        <is>
          <t>Across</t>
        </is>
      </c>
      <c r="E236" s="4" t="inlineStr">
        <is>
          <t>venue</t>
        </is>
      </c>
      <c r="F236" s="4" t="inlineStr">
        <is>
          <t>OK</t>
        </is>
      </c>
      <c r="G236" s="4" t="inlineStr">
        <is>
          <t>2026-09-23T09:44:22.225Z</t>
        </is>
      </c>
      <c r="H236" s="4" t="inlineStr">
        <is>
          <t>2026-09-23T09:44:23.481Z</t>
        </is>
      </c>
      <c r="I236" s="4" t="inlineStr">
        <is>
          <t>2026-09-23T09:44:25.615Z</t>
        </is>
      </c>
      <c r="J236" s="20" t="n">
        <v>0.252</v>
      </c>
      <c r="K236" s="18" t="n">
        <v>99.982045</v>
      </c>
      <c r="L236" s="20" t="n"/>
      <c r="M236" s="4" t="n"/>
      <c r="N236" s="4" t="inlineStr"/>
      <c r="O236" s="4" t="inlineStr">
        <is>
          <t>https://across.to/?from=bsc&amp;to=solana&amp;inputToken=USDC&amp;outputToken=USDC</t>
        </is>
      </c>
    </row>
    <row r="237">
      <c r="A237" s="4" t="inlineStr">
        <is>
          <t>4c509af09dcc</t>
        </is>
      </c>
      <c r="B237" s="4" t="inlineStr">
        <is>
          <t>BSC-&gt;SOL</t>
        </is>
      </c>
      <c r="C237" s="4" t="n">
        <v>2</v>
      </c>
      <c r="D237" s="4" t="inlineStr">
        <is>
          <t>Mayan</t>
        </is>
      </c>
      <c r="E237" s="4" t="inlineStr">
        <is>
          <t>venue</t>
        </is>
      </c>
      <c r="F237" s="4" t="inlineStr">
        <is>
          <t>OK</t>
        </is>
      </c>
      <c r="G237" s="4" t="inlineStr">
        <is>
          <t>2026-09-23T09:44:22.224Z</t>
        </is>
      </c>
      <c r="H237" s="4" t="inlineStr">
        <is>
          <t>2026-09-23T09:44:23.435Z</t>
        </is>
      </c>
      <c r="I237" s="4" t="inlineStr">
        <is>
          <t>2026-09-23T09:44:25.558Z</t>
        </is>
      </c>
      <c r="J237" s="20" t="n">
        <v>0.206</v>
      </c>
      <c r="K237" s="18" t="n">
        <v>99.681</v>
      </c>
      <c r="L237" s="20" t="n"/>
      <c r="M237" s="4" t="n"/>
      <c r="N237" s="4" t="inlineStr">
        <is>
          <t>mode=Swift v2; eta=3s; display_decimals=3</t>
        </is>
      </c>
      <c r="O237" s="4" t="inlineStr">
        <is>
          <t>https://swap.mayan.finance/</t>
        </is>
      </c>
    </row>
    <row r="238">
      <c r="A238" s="4" t="inlineStr">
        <is>
          <t>4c509af09dcc</t>
        </is>
      </c>
      <c r="B238" s="4" t="inlineStr">
        <is>
          <t>BSC-&gt;SOL</t>
        </is>
      </c>
      <c r="C238" s="4" t="n">
        <v>2</v>
      </c>
      <c r="D238" s="4" t="inlineStr">
        <is>
          <t>Husher</t>
        </is>
      </c>
      <c r="E238" s="4" t="inlineStr">
        <is>
          <t>venue</t>
        </is>
      </c>
      <c r="F238" s="4" t="inlineStr">
        <is>
          <t>OK</t>
        </is>
      </c>
      <c r="G238" s="4" t="inlineStr">
        <is>
          <t>2026-09-23T09:44:22.227Z</t>
        </is>
      </c>
      <c r="H238" s="4" t="inlineStr">
        <is>
          <t>2026-09-23T09:44:23.481Z</t>
        </is>
      </c>
      <c r="I238" s="4" t="inlineStr">
        <is>
          <t>2026-09-23T09:44:25.616Z</t>
        </is>
      </c>
      <c r="J238" s="20" t="n">
        <v>0.252</v>
      </c>
      <c r="K238" s="18" t="n">
        <v>99.34999999999999</v>
      </c>
      <c r="L238" s="20" t="n"/>
      <c r="M238" s="4" t="n"/>
      <c r="N238" s="4" t="inlineStr">
        <is>
          <t>out_usd=$99.35; provider=Husher (Best Rate); rate_type=floating; fee_deducted=0.35; network_fee_deducted=0.3; api_receive=99.35000000; eta_s=40; display_decimals=2</t>
        </is>
      </c>
      <c r="O238" s="4" t="inlineStr">
        <is>
          <t>https://www.husher.io/</t>
        </is>
      </c>
    </row>
    <row r="239">
      <c r="A239" s="4" t="inlineStr">
        <is>
          <t>4c509af09dcc</t>
        </is>
      </c>
      <c r="B239" s="4" t="inlineStr">
        <is>
          <t>BSC-&gt;SOL</t>
        </is>
      </c>
      <c r="C239" s="4" t="n">
        <v>2</v>
      </c>
      <c r="D239" s="4" t="inlineStr">
        <is>
          <t>Layerswap</t>
        </is>
      </c>
      <c r="E239" s="4" t="inlineStr">
        <is>
          <t>venue</t>
        </is>
      </c>
      <c r="F239" s="4" t="inlineStr">
        <is>
          <t>OK</t>
        </is>
      </c>
      <c r="G239" s="4" t="inlineStr">
        <is>
          <t>2026-09-23T09:44:22.224Z</t>
        </is>
      </c>
      <c r="H239" s="4" t="inlineStr">
        <is>
          <t>2026-09-23T09:44:24.135Z</t>
        </is>
      </c>
      <c r="I239" s="4" t="inlineStr">
        <is>
          <t>2026-09-23T09:44:26.367Z</t>
        </is>
      </c>
      <c r="J239" s="20" t="n">
        <v>0.906</v>
      </c>
      <c r="K239" s="18" t="n">
        <v>99.625749</v>
      </c>
      <c r="L239" s="20" t="n"/>
      <c r="M239" s="4" t="n"/>
      <c r="N239" s="4" t="inlineStr">
        <is>
          <t>out_usd=$99.61; fee_usd=0.37; slippage=0.00%; eta=22 secs; to_token=USDC; to_chain=Solana; display_decimals=6</t>
        </is>
      </c>
      <c r="O239" s="4" t="inlineStr">
        <is>
          <t>https://layerswap.io/app?from=BSC_MAINNET&amp;to=SOLANA_MAINNET&amp;fromAsset=USDC&amp;toAsset=USDC</t>
        </is>
      </c>
    </row>
    <row r="240">
      <c r="A240" s="4" t="inlineStr">
        <is>
          <t>4c509af09dcc</t>
        </is>
      </c>
      <c r="B240" s="4" t="inlineStr">
        <is>
          <t>BSC-&gt;SOL</t>
        </is>
      </c>
      <c r="C240" s="4" t="n">
        <v>2</v>
      </c>
      <c r="D240" s="4" t="inlineStr">
        <is>
          <t>Meson</t>
        </is>
      </c>
      <c r="E240" s="4" t="inlineStr">
        <is>
          <t>venue</t>
        </is>
      </c>
      <c r="F240" s="4" t="inlineStr">
        <is>
          <t>OK</t>
        </is>
      </c>
      <c r="G240" s="4" t="inlineStr">
        <is>
          <t>2026-09-23T09:44:22.227Z</t>
        </is>
      </c>
      <c r="H240" s="4" t="inlineStr">
        <is>
          <t>2026-09-23T09:44:22.459Z</t>
        </is>
      </c>
      <c r="I240" s="4" t="inlineStr">
        <is>
          <t>2026-09-23T09:44:24.609Z</t>
        </is>
      </c>
      <c r="J240" s="20" t="n">
        <v>0.77</v>
      </c>
      <c r="K240" s="18" t="n">
        <v>99.59999999999999</v>
      </c>
      <c r="L240" s="20" t="n">
        <v>0</v>
      </c>
      <c r="M240" s="4" t="n"/>
      <c r="N240" s="4" t="inlineStr">
        <is>
          <t>fees_deducted=[['Fee', 0.4, 'USDC']]; fee_total=0.4; fixed_fee_on_top=0.0; display_decimals=1</t>
        </is>
      </c>
      <c r="O240" s="4" t="inlineStr">
        <is>
          <t>https://meson.fi/swap</t>
        </is>
      </c>
    </row>
    <row r="241">
      <c r="A241" s="4" t="inlineStr">
        <is>
          <t>4c509af09dcc</t>
        </is>
      </c>
      <c r="B241" s="4" t="inlineStr">
        <is>
          <t>BSC-&gt;SOL</t>
        </is>
      </c>
      <c r="C241" s="4" t="n">
        <v>2</v>
      </c>
      <c r="D241" s="4" t="inlineStr">
        <is>
          <t>SimpleSwap</t>
        </is>
      </c>
      <c r="E241" s="4" t="inlineStr">
        <is>
          <t>venue</t>
        </is>
      </c>
      <c r="F241" s="4" t="inlineStr">
        <is>
          <t>OK</t>
        </is>
      </c>
      <c r="G241" s="4" t="inlineStr">
        <is>
          <t>2026-09-23T09:44:22.226Z</t>
        </is>
      </c>
      <c r="H241" s="4" t="inlineStr">
        <is>
          <t>2026-09-23T09:44:24.454Z</t>
        </is>
      </c>
      <c r="I241" s="4" t="inlineStr">
        <is>
          <t>2026-09-23T09:44:26.691Z</t>
        </is>
      </c>
      <c r="J241" s="20" t="n">
        <v>1.225</v>
      </c>
      <c r="K241" s="18" t="n">
        <v>98.180301</v>
      </c>
      <c r="L241" s="20" t="n">
        <v>0</v>
      </c>
      <c r="M241" s="4" t="inlineStr">
        <is>
          <t>USDC</t>
        </is>
      </c>
      <c r="N241" s="4" t="inlineStr">
        <is>
          <t>best_card_out=98.180301; selected_card=Best rate; rate_type=floating; fixed_fee_on_top=0.0; fixed_fee_token=USDC; display_decimals=6; small_sum_warning=False</t>
        </is>
      </c>
      <c r="O241" s="4" t="inlineStr">
        <is>
          <t>https://simpleswap.io/?from=usdc-bsc&amp;to=usdc-sol</t>
        </is>
      </c>
    </row>
    <row r="242">
      <c r="A242" s="4" t="inlineStr">
        <is>
          <t>4c509af09dcc</t>
        </is>
      </c>
      <c r="B242" s="4" t="inlineStr">
        <is>
          <t>BSC-&gt;SOL</t>
        </is>
      </c>
      <c r="C242" s="4" t="n">
        <v>2</v>
      </c>
      <c r="D242" s="4" t="inlineStr">
        <is>
          <t>Symbiosis</t>
        </is>
      </c>
      <c r="E242" s="4" t="inlineStr">
        <is>
          <t>venue</t>
        </is>
      </c>
      <c r="F242" s="4" t="inlineStr">
        <is>
          <t>OK</t>
        </is>
      </c>
      <c r="G242" s="4" t="inlineStr">
        <is>
          <t>2026-09-23T09:44:22.226Z</t>
        </is>
      </c>
      <c r="H242" s="4" t="inlineStr">
        <is>
          <t>2026-09-23T09:44:24.889Z</t>
        </is>
      </c>
      <c r="I242" s="4" t="inlineStr">
        <is>
          <t>2026-09-23T09:44:27.098Z</t>
        </is>
      </c>
      <c r="J242" s="20" t="n">
        <v>1.66</v>
      </c>
      <c r="K242" s="18" t="n">
        <v>98.42948699999999</v>
      </c>
      <c r="L242" s="20" t="n">
        <v>0</v>
      </c>
      <c r="M242" s="4" t="n"/>
      <c r="N242" s="4" t="inlineStr">
        <is>
          <t>min_received=97.9373; fee_usd_deducted=1.53; eta=2 - 3 Min; price_impact=0%; slippage=2%; route=Bridge to Arbitrum One; fixed_fee_on_top=0.0; display_decimals=6</t>
        </is>
      </c>
      <c r="O242" s="4" t="inlineStr">
        <is>
          <t>https://app.symbiosis.finance/swap?chainIn=BNB&amp;chainOut=Solana&amp;tokenIn=0x8ac76a51cc950d9822d68b83fe1ad97b32cd580d&amp;tokenOut=0x0000000000000000000000000000000000000003</t>
        </is>
      </c>
    </row>
    <row r="243">
      <c r="A243" s="4" t="inlineStr">
        <is>
          <t>b815d6e34da9</t>
        </is>
      </c>
      <c r="B243" s="4" t="inlineStr">
        <is>
          <t>SOL-&gt;Base</t>
        </is>
      </c>
      <c r="C243" s="4" t="n">
        <v>2</v>
      </c>
      <c r="D243" s="4" t="inlineStr">
        <is>
          <t>Bridg</t>
        </is>
      </c>
      <c r="E243" s="4" t="inlineStr">
        <is>
          <t>bridg</t>
        </is>
      </c>
      <c r="F243" s="4" t="inlineStr">
        <is>
          <t>OK</t>
        </is>
      </c>
      <c r="G243" s="4" t="inlineStr">
        <is>
          <t>2026-09-23T09:44:48.291Z</t>
        </is>
      </c>
      <c r="H243" s="4" t="inlineStr">
        <is>
          <t>2026-09-23T09:44:49.251Z</t>
        </is>
      </c>
      <c r="I243" s="4" t="inlineStr">
        <is>
          <t>2026-09-23T09:44:52.667Z</t>
        </is>
      </c>
      <c r="J243" s="20" t="n"/>
      <c r="K243" s="18" t="n">
        <v>99.947174</v>
      </c>
      <c r="L243" s="20" t="n"/>
      <c r="M243" s="4" t="n"/>
      <c r="N243" s="4" t="inlineStr">
        <is>
          <t>best via Skip Go; 15 venues priced; fees [['Skip Go fee', 0.002826], ['Bridg fee', 0.05]]</t>
        </is>
      </c>
      <c r="O243" s="4" t="inlineStr">
        <is>
          <t>https://bridg.now/swap/</t>
        </is>
      </c>
    </row>
    <row r="244">
      <c r="A244" s="4" t="inlineStr">
        <is>
          <t>b815d6e34da9</t>
        </is>
      </c>
      <c r="B244" s="4" t="inlineStr">
        <is>
          <t>SOL-&gt;Base</t>
        </is>
      </c>
      <c r="C244" s="4" t="n">
        <v>2</v>
      </c>
      <c r="D244" s="4" t="inlineStr">
        <is>
          <t>Relay</t>
        </is>
      </c>
      <c r="E244" s="4" t="inlineStr">
        <is>
          <t>venue</t>
        </is>
      </c>
      <c r="F244" s="4" t="inlineStr">
        <is>
          <t>OK</t>
        </is>
      </c>
      <c r="G244" s="4" t="inlineStr">
        <is>
          <t>2026-09-23T09:44:48.292Z</t>
        </is>
      </c>
      <c r="H244" s="4" t="inlineStr">
        <is>
          <t>2026-09-23T09:44:49.817Z</t>
        </is>
      </c>
      <c r="I244" s="4" t="inlineStr">
        <is>
          <t>2026-09-23T09:44:51.934Z</t>
        </is>
      </c>
      <c r="J244" s="20" t="n">
        <v>0.5659999999999999</v>
      </c>
      <c r="K244" s="18" t="n">
        <v>99.953163</v>
      </c>
      <c r="L244" s="20" t="n"/>
      <c r="M244" s="4" t="n"/>
      <c r="N244" s="4" t="inlineStr">
        <is>
          <t>rate=0.9995</t>
        </is>
      </c>
      <c r="O244" s="4" t="inlineStr">
        <is>
          <t>https://relay.link/bridge/base?fromChainId=792703809&amp;fromCurrency=EPjFWdd5AufqSSqeM2qN1xzybapC8G4wEGGkZwyTDt1v&amp;toCurrency=0x833589fcd6edb6e08f4c7c32d4f71b54bda02913</t>
        </is>
      </c>
    </row>
    <row r="245">
      <c r="A245" s="4" t="inlineStr">
        <is>
          <t>b815d6e34da9</t>
        </is>
      </c>
      <c r="B245" s="4" t="inlineStr">
        <is>
          <t>SOL-&gt;Base</t>
        </is>
      </c>
      <c r="C245" s="4" t="n">
        <v>2</v>
      </c>
      <c r="D245" s="4" t="inlineStr">
        <is>
          <t>deBridge</t>
        </is>
      </c>
      <c r="E245" s="4" t="inlineStr">
        <is>
          <t>venue</t>
        </is>
      </c>
      <c r="F245" s="4" t="inlineStr">
        <is>
          <t>OK</t>
        </is>
      </c>
      <c r="G245" s="4" t="inlineStr">
        <is>
          <t>2026-09-23T09:44:48.292Z</t>
        </is>
      </c>
      <c r="H245" s="4" t="inlineStr">
        <is>
          <t>2026-09-23T09:44:50.411Z</t>
        </is>
      </c>
      <c r="I245" s="4" t="inlineStr">
        <is>
          <t>2026-09-23T09:44:52.667Z</t>
        </is>
      </c>
      <c r="J245" s="20" t="n">
        <v>1.16</v>
      </c>
      <c r="K245" s="18" t="n">
        <v>99.880033</v>
      </c>
      <c r="L245" s="20" t="n">
        <v>1.5699</v>
      </c>
      <c r="M245" s="4" t="inlineStr">
        <is>
          <t>USDC</t>
        </is>
      </c>
      <c r="N245" s="4" t="inlineStr">
        <is>
          <t>fixed_fee_on_top=1.5699; fixed_fee_token=USDC</t>
        </is>
      </c>
      <c r="O24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246">
      <c r="A246" s="4" t="inlineStr">
        <is>
          <t>b815d6e34da9</t>
        </is>
      </c>
      <c r="B246" s="4" t="inlineStr">
        <is>
          <t>SOL-&gt;Base</t>
        </is>
      </c>
      <c r="C246" s="4" t="n">
        <v>2</v>
      </c>
      <c r="D246" s="4" t="inlineStr">
        <is>
          <t>LI.FI (Jumper)</t>
        </is>
      </c>
      <c r="E246" s="4" t="inlineStr">
        <is>
          <t>venue</t>
        </is>
      </c>
      <c r="F246" s="4" t="inlineStr">
        <is>
          <t>OK</t>
        </is>
      </c>
      <c r="G246" s="4" t="inlineStr">
        <is>
          <t>2026-09-23T09:44:48.293Z</t>
        </is>
      </c>
      <c r="H246" s="4" t="inlineStr">
        <is>
          <t>2026-09-23T09:44:50.611Z</t>
        </is>
      </c>
      <c r="I246" s="4" t="inlineStr">
        <is>
          <t>2026-09-23T09:44:52.656Z</t>
        </is>
      </c>
      <c r="J246" s="20" t="n">
        <v>1.36</v>
      </c>
      <c r="K246" s="18" t="n">
        <v>100</v>
      </c>
      <c r="L246" s="20" t="n"/>
      <c r="M246" s="4" t="n"/>
      <c r="N246" s="4" t="inlineStr">
        <is>
          <t>best_return_venue=Eco; max_out=100.0</t>
        </is>
      </c>
      <c r="O24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247">
      <c r="A247" s="4" t="inlineStr">
        <is>
          <t>b815d6e34da9</t>
        </is>
      </c>
      <c r="B247" s="4" t="inlineStr">
        <is>
          <t>SOL-&gt;Base</t>
        </is>
      </c>
      <c r="C247" s="4" t="n">
        <v>2</v>
      </c>
      <c r="D247" s="4" t="inlineStr">
        <is>
          <t>Across</t>
        </is>
      </c>
      <c r="E247" s="4" t="inlineStr">
        <is>
          <t>venue</t>
        </is>
      </c>
      <c r="F247" s="4" t="inlineStr">
        <is>
          <t>OK</t>
        </is>
      </c>
      <c r="G247" s="4" t="inlineStr">
        <is>
          <t>2026-09-23T09:44:48.291Z</t>
        </is>
      </c>
      <c r="H247" s="4" t="inlineStr">
        <is>
          <t>2026-09-23T09:44:49.282Z</t>
        </is>
      </c>
      <c r="I247" s="4" t="inlineStr">
        <is>
          <t>2026-09-23T09:44:51.408Z</t>
        </is>
      </c>
      <c r="J247" s="20" t="n">
        <v>0.031</v>
      </c>
      <c r="K247" s="18" t="n">
        <v>99.98999999999999</v>
      </c>
      <c r="L247" s="20" t="n"/>
      <c r="M247" s="4" t="n"/>
      <c r="N247" s="4" t="inlineStr"/>
      <c r="O247" s="4" t="inlineStr">
        <is>
          <t>https://across.to/?from=solana&amp;to=base&amp;inputToken=USDC&amp;outputToken=USDC</t>
        </is>
      </c>
    </row>
    <row r="248">
      <c r="A248" s="4" t="inlineStr">
        <is>
          <t>b815d6e34da9</t>
        </is>
      </c>
      <c r="B248" s="4" t="inlineStr">
        <is>
          <t>SOL-&gt;Base</t>
        </is>
      </c>
      <c r="C248" s="4" t="n">
        <v>2</v>
      </c>
      <c r="D248" s="4" t="inlineStr">
        <is>
          <t>Mayan</t>
        </is>
      </c>
      <c r="E248" s="4" t="inlineStr">
        <is>
          <t>venue</t>
        </is>
      </c>
      <c r="F248" s="4" t="inlineStr">
        <is>
          <t>OK</t>
        </is>
      </c>
      <c r="G248" s="4" t="inlineStr">
        <is>
          <t>2026-09-23T09:44:48.290Z</t>
        </is>
      </c>
      <c r="H248" s="4" t="inlineStr">
        <is>
          <t>2026-09-23T09:44:49.534Z</t>
        </is>
      </c>
      <c r="I248" s="4" t="inlineStr">
        <is>
          <t>2026-09-23T09:44:51.908Z</t>
        </is>
      </c>
      <c r="J248" s="20" t="n">
        <v>0.283</v>
      </c>
      <c r="K248" s="18" t="n">
        <v>99.92700000000001</v>
      </c>
      <c r="L248" s="20" t="n"/>
      <c r="M248" s="4" t="n"/>
      <c r="N248" s="4" t="inlineStr">
        <is>
          <t>mode=Swift v2; eta=3s; display_decimals=3</t>
        </is>
      </c>
      <c r="O248" s="4" t="inlineStr">
        <is>
          <t>https://swap.mayan.finance/</t>
        </is>
      </c>
    </row>
    <row r="249">
      <c r="A249" s="4" t="inlineStr">
        <is>
          <t>b815d6e34da9</t>
        </is>
      </c>
      <c r="B249" s="4" t="inlineStr">
        <is>
          <t>SOL-&gt;Base</t>
        </is>
      </c>
      <c r="C249" s="4" t="n">
        <v>2</v>
      </c>
      <c r="D249" s="4" t="inlineStr">
        <is>
          <t>Allbridge Core</t>
        </is>
      </c>
      <c r="E249" s="4" t="inlineStr">
        <is>
          <t>venue</t>
        </is>
      </c>
      <c r="F249" s="4" t="inlineStr">
        <is>
          <t>OK</t>
        </is>
      </c>
      <c r="G249" s="4" t="inlineStr">
        <is>
          <t>2026-09-23T09:44:48.293Z</t>
        </is>
      </c>
      <c r="H249" s="4" t="inlineStr">
        <is>
          <t>2026-09-23T09:44:49.466Z</t>
        </is>
      </c>
      <c r="I249" s="4" t="inlineStr">
        <is>
          <t>2026-09-23T09:44:51.949Z</t>
        </is>
      </c>
      <c r="J249" s="20" t="n">
        <v>0.215</v>
      </c>
      <c r="K249" s="18" t="n">
        <v>99.90000000000001</v>
      </c>
      <c r="L249" s="20" t="n">
        <v>0.002418</v>
      </c>
      <c r="M249" s="4" t="inlineStr">
        <is>
          <t>SOL (relayer fee, fee=native)</t>
        </is>
      </c>
      <c r="N24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249" s="4" t="inlineStr">
        <is>
          <t>https://core.allbridge.io/?fee=native&amp;ft=USDC&amp;tt=USDC&amp;f=SOL&amp;t=BAS</t>
        </is>
      </c>
    </row>
    <row r="250">
      <c r="A250" s="4" t="inlineStr">
        <is>
          <t>b815d6e34da9</t>
        </is>
      </c>
      <c r="B250" s="4" t="inlineStr">
        <is>
          <t>SOL-&gt;Base</t>
        </is>
      </c>
      <c r="C250" s="4" t="n">
        <v>2</v>
      </c>
      <c r="D250" s="4" t="inlineStr">
        <is>
          <t>CCTP (via Portal)</t>
        </is>
      </c>
      <c r="E250" s="4" t="inlineStr">
        <is>
          <t>venue</t>
        </is>
      </c>
      <c r="F250" s="4" t="inlineStr">
        <is>
          <t>OK</t>
        </is>
      </c>
      <c r="G250" s="4" t="inlineStr">
        <is>
          <t>2026-09-23T09:44:48.293Z</t>
        </is>
      </c>
      <c r="H250" s="4" t="inlineStr">
        <is>
          <t>2026-09-23T09:44:51.619Z</t>
        </is>
      </c>
      <c r="I250" s="4" t="inlineStr">
        <is>
          <t>2026-09-23T09:44:54.205Z</t>
        </is>
      </c>
      <c r="J250" s="20" t="n">
        <v>2.368</v>
      </c>
      <c r="K250" s="18" t="n">
        <v>99.98999999999999</v>
      </c>
      <c r="L250" s="20" t="n"/>
      <c r="M250" s="4" t="n"/>
      <c r="N25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50" s="4" t="inlineStr">
        <is>
          <t>https://portalbridge.com/usdc-bridge?fromChain=Solana&amp;fromToken=USDC&amp;toChain=Base&amp;toToken=USDC</t>
        </is>
      </c>
    </row>
    <row r="251">
      <c r="A251" s="4" t="inlineStr">
        <is>
          <t>b815d6e34da9</t>
        </is>
      </c>
      <c r="B251" s="4" t="inlineStr">
        <is>
          <t>SOL-&gt;Base</t>
        </is>
      </c>
      <c r="C251" s="4" t="n">
        <v>2</v>
      </c>
      <c r="D251" s="4" t="inlineStr">
        <is>
          <t>Husher</t>
        </is>
      </c>
      <c r="E251" s="4" t="inlineStr">
        <is>
          <t>venue</t>
        </is>
      </c>
      <c r="F251" s="4" t="inlineStr">
        <is>
          <t>OK</t>
        </is>
      </c>
      <c r="G251" s="4" t="inlineStr">
        <is>
          <t>2026-09-23T09:44:48.294Z</t>
        </is>
      </c>
      <c r="H251" s="4" t="inlineStr">
        <is>
          <t>2026-09-23T09:44:49.586Z</t>
        </is>
      </c>
      <c r="I251" s="4" t="inlineStr">
        <is>
          <t>2026-09-23T09:44:51.935Z</t>
        </is>
      </c>
      <c r="J251" s="20" t="n">
        <v>0.335</v>
      </c>
      <c r="K251" s="18" t="n">
        <v>99.45</v>
      </c>
      <c r="L251" s="20" t="n"/>
      <c r="M251" s="4" t="n"/>
      <c r="N251" s="4" t="inlineStr">
        <is>
          <t>out_usd=$99.45; provider=Husher (Best Rate); rate_type=floating; fee_deducted=0.35; network_fee_deducted=0.2; api_receive=99.45000000; eta_s=40; display_decimals=2</t>
        </is>
      </c>
      <c r="O251" s="4" t="inlineStr">
        <is>
          <t>https://www.husher.io/</t>
        </is>
      </c>
    </row>
    <row r="252">
      <c r="A252" s="4" t="inlineStr">
        <is>
          <t>b815d6e34da9</t>
        </is>
      </c>
      <c r="B252" s="4" t="inlineStr">
        <is>
          <t>SOL-&gt;Base</t>
        </is>
      </c>
      <c r="C252" s="4" t="n">
        <v>2</v>
      </c>
      <c r="D252" s="4" t="inlineStr">
        <is>
          <t>Layerswap</t>
        </is>
      </c>
      <c r="E252" s="4" t="inlineStr">
        <is>
          <t>venue</t>
        </is>
      </c>
      <c r="F252" s="4" t="inlineStr">
        <is>
          <t>OK</t>
        </is>
      </c>
      <c r="G252" s="4" t="inlineStr">
        <is>
          <t>2026-09-23T09:44:48.290Z</t>
        </is>
      </c>
      <c r="H252" s="4" t="inlineStr">
        <is>
          <t>2026-09-23T09:44:50.508Z</t>
        </is>
      </c>
      <c r="I252" s="4" t="inlineStr">
        <is>
          <t>2026-09-23T09:44:52.667Z</t>
        </is>
      </c>
      <c r="J252" s="20" t="n">
        <v>1.257</v>
      </c>
      <c r="K252" s="18" t="n">
        <v>99.864299</v>
      </c>
      <c r="L252" s="20" t="n"/>
      <c r="M252" s="4" t="n"/>
      <c r="N252" s="4" t="inlineStr">
        <is>
          <t>out_usd=$99.85; fee_usd=0.14; slippage=0.00%; eta=5 secs; to_token=USDC; to_chain=Base; display_decimals=6</t>
        </is>
      </c>
      <c r="O252" s="4" t="inlineStr">
        <is>
          <t>https://layerswap.io/app?from=SOLANA_MAINNET&amp;to=BASE_MAINNET&amp;fromAsset=USDC&amp;toAsset=USDC</t>
        </is>
      </c>
    </row>
    <row r="253">
      <c r="A253" s="4" t="inlineStr">
        <is>
          <t>b815d6e34da9</t>
        </is>
      </c>
      <c r="B253" s="4" t="inlineStr">
        <is>
          <t>SOL-&gt;Base</t>
        </is>
      </c>
      <c r="C253" s="4" t="n">
        <v>2</v>
      </c>
      <c r="D253" s="4" t="inlineStr">
        <is>
          <t>Meson</t>
        </is>
      </c>
      <c r="E253" s="4" t="inlineStr">
        <is>
          <t>venue</t>
        </is>
      </c>
      <c r="F253" s="4" t="inlineStr">
        <is>
          <t>OK</t>
        </is>
      </c>
      <c r="G253" s="4" t="inlineStr">
        <is>
          <t>2026-09-23T09:44:48.294Z</t>
        </is>
      </c>
      <c r="H253" s="4" t="inlineStr">
        <is>
          <t>2026-09-23T09:44:48.634Z</t>
        </is>
      </c>
      <c r="I253" s="4" t="inlineStr">
        <is>
          <t>2026-09-23T09:44:50.785Z</t>
        </is>
      </c>
      <c r="J253" s="20" t="n">
        <v>0.617</v>
      </c>
      <c r="K253" s="18" t="n">
        <v>99.86</v>
      </c>
      <c r="L253" s="20" t="n">
        <v>0</v>
      </c>
      <c r="M253" s="4" t="n"/>
      <c r="N253" s="4" t="inlineStr">
        <is>
          <t>fees_deducted=[['Fee', 0.14, 'USDC']]; fee_total=0.14; fixed_fee_on_top=0.0; display_decimals=2</t>
        </is>
      </c>
      <c r="O253" s="4" t="inlineStr">
        <is>
          <t>https://meson.fi/swap</t>
        </is>
      </c>
    </row>
    <row r="254">
      <c r="A254" s="4" t="inlineStr">
        <is>
          <t>b815d6e34da9</t>
        </is>
      </c>
      <c r="B254" s="4" t="inlineStr">
        <is>
          <t>SOL-&gt;Base</t>
        </is>
      </c>
      <c r="C254" s="4" t="n">
        <v>2</v>
      </c>
      <c r="D254" s="4" t="inlineStr">
        <is>
          <t>SimpleSwap</t>
        </is>
      </c>
      <c r="E254" s="4" t="inlineStr">
        <is>
          <t>venue</t>
        </is>
      </c>
      <c r="F254" s="4" t="inlineStr">
        <is>
          <t>OK</t>
        </is>
      </c>
      <c r="G254" s="4" t="inlineStr">
        <is>
          <t>2026-09-23T09:44:48.295Z</t>
        </is>
      </c>
      <c r="H254" s="4" t="inlineStr">
        <is>
          <t>2026-09-23T09:44:50.862Z</t>
        </is>
      </c>
      <c r="I254" s="4" t="inlineStr">
        <is>
          <t>2026-09-23T09:44:53.169Z</t>
        </is>
      </c>
      <c r="J254" s="20" t="n">
        <v>1.611</v>
      </c>
      <c r="K254" s="18" t="n">
        <v>98.48755199999999</v>
      </c>
      <c r="L254" s="20" t="n">
        <v>0</v>
      </c>
      <c r="M254" s="4" t="inlineStr">
        <is>
          <t>USDC</t>
        </is>
      </c>
      <c r="N254" s="4" t="inlineStr">
        <is>
          <t>best_card_out=98.487552; selected_card=Best rate / Decentralized; rate_type=floating; fixed_fee_on_top=0.0; fixed_fee_token=USDC; display_decimals=6; small_sum_warning=False</t>
        </is>
      </c>
      <c r="O254" s="4" t="inlineStr">
        <is>
          <t>https://simpleswap.io/?from=usdc-sol&amp;to=usdc-base</t>
        </is>
      </c>
    </row>
    <row r="255">
      <c r="A255" s="4" t="inlineStr">
        <is>
          <t>b815d6e34da9</t>
        </is>
      </c>
      <c r="B255" s="4" t="inlineStr">
        <is>
          <t>SOL-&gt;Base</t>
        </is>
      </c>
      <c r="C255" s="4" t="n">
        <v>2</v>
      </c>
      <c r="D255" s="4" t="inlineStr">
        <is>
          <t>Skip Go</t>
        </is>
      </c>
      <c r="E255" s="4" t="inlineStr">
        <is>
          <t>venue</t>
        </is>
      </c>
      <c r="F255" s="4" t="inlineStr">
        <is>
          <t>OK</t>
        </is>
      </c>
      <c r="G255" s="4" t="inlineStr">
        <is>
          <t>2026-09-23T09:44:48.292Z</t>
        </is>
      </c>
      <c r="H255" s="4" t="inlineStr">
        <is>
          <t>2026-09-23T09:44:50.481Z</t>
        </is>
      </c>
      <c r="I255" s="4" t="inlineStr">
        <is>
          <t>2026-09-23T09:44:52.668Z</t>
        </is>
      </c>
      <c r="J255" s="20" t="n">
        <v>1.23</v>
      </c>
      <c r="K255" s="18" t="n">
        <v>99.98517</v>
      </c>
      <c r="L255" s="20" t="n"/>
      <c r="M255" s="4" t="n"/>
      <c r="N255" s="4" t="inlineStr">
        <is>
          <t>fees_usd_in_quote=0.02; eta=30 secs; usd_values=['99.99', '99.97']; display_decimals=5</t>
        </is>
      </c>
      <c r="O255" s="4" t="inlineStr">
        <is>
          <t>https://go.skip.build/?src_chain=solana&amp;src_asset=EPjFWdd5AufqSSqeM2qN1xzybapC8G4wEGGkZwyTDt1v&amp;dest_chain=8453&amp;dest_asset=0x833589fcd6edb6e08f4c7c32d4f71b54bda02913</t>
        </is>
      </c>
    </row>
    <row r="256">
      <c r="A256" s="4" t="inlineStr">
        <is>
          <t>c08f790918d2</t>
        </is>
      </c>
      <c r="B256" s="4" t="inlineStr">
        <is>
          <t>Base-&gt;SOL</t>
        </is>
      </c>
      <c r="C256" s="4" t="n">
        <v>2</v>
      </c>
      <c r="D256" s="4" t="inlineStr">
        <is>
          <t>Bridg</t>
        </is>
      </c>
      <c r="E256" s="4" t="inlineStr">
        <is>
          <t>bridg</t>
        </is>
      </c>
      <c r="F256" s="4" t="inlineStr">
        <is>
          <t>OK</t>
        </is>
      </c>
      <c r="G256" s="4" t="inlineStr">
        <is>
          <t>2026-09-23T09:45:14.883Z</t>
        </is>
      </c>
      <c r="H256" s="4" t="inlineStr">
        <is>
          <t>2026-09-23T09:45:16.035Z</t>
        </is>
      </c>
      <c r="I256" s="4" t="inlineStr">
        <is>
          <t>2026-09-23T09:45:20.039Z</t>
        </is>
      </c>
      <c r="J256" s="20" t="n"/>
      <c r="K256" s="18" t="n">
        <v>99.85005</v>
      </c>
      <c r="L256" s="20" t="n"/>
      <c r="M256" s="4" t="n"/>
      <c r="N256" s="4" t="inlineStr">
        <is>
          <t>best via Allbridge Core; 15 venues priced; fees [['Allbridge Core fee', 0.09995], ['Bridg fee', 0.05]]</t>
        </is>
      </c>
      <c r="O256" s="4" t="inlineStr">
        <is>
          <t>https://bridg.now/swap/</t>
        </is>
      </c>
    </row>
    <row r="257">
      <c r="A257" s="4" t="inlineStr">
        <is>
          <t>c08f790918d2</t>
        </is>
      </c>
      <c r="B257" s="4" t="inlineStr">
        <is>
          <t>Base-&gt;SOL</t>
        </is>
      </c>
      <c r="C257" s="4" t="n">
        <v>2</v>
      </c>
      <c r="D257" s="4" t="inlineStr">
        <is>
          <t>Relay</t>
        </is>
      </c>
      <c r="E257" s="4" t="inlineStr">
        <is>
          <t>venue</t>
        </is>
      </c>
      <c r="F257" s="4" t="inlineStr">
        <is>
          <t>OK</t>
        </is>
      </c>
      <c r="G257" s="4" t="inlineStr">
        <is>
          <t>2026-09-23T09:45:14.882Z</t>
        </is>
      </c>
      <c r="H257" s="4" t="inlineStr">
        <is>
          <t>2026-09-23T09:45:16.541Z</t>
        </is>
      </c>
      <c r="I257" s="4" t="inlineStr">
        <is>
          <t>2026-09-23T09:45:19.122Z</t>
        </is>
      </c>
      <c r="J257" s="20" t="n">
        <v>0.506</v>
      </c>
      <c r="K257" s="18" t="n">
        <v>99.94557500000001</v>
      </c>
      <c r="L257" s="20" t="n"/>
      <c r="M257" s="4" t="n"/>
      <c r="N257" s="4" t="inlineStr">
        <is>
          <t>rate=0.9994</t>
        </is>
      </c>
      <c r="O257" s="4" t="inlineStr">
        <is>
          <t>https://relay.link/bridge/solana?fromChainId=8453&amp;fromCurrency=0x833589fcd6edb6e08f4c7c32d4f71b54bda02913&amp;toCurrency=EPjFWdd5AufqSSqeM2qN1xzybapC8G4wEGGkZwyTDt1v</t>
        </is>
      </c>
    </row>
    <row r="258">
      <c r="A258" s="4" t="inlineStr">
        <is>
          <t>c08f790918d2</t>
        </is>
      </c>
      <c r="B258" s="4" t="inlineStr">
        <is>
          <t>Base-&gt;SOL</t>
        </is>
      </c>
      <c r="C258" s="4" t="n">
        <v>2</v>
      </c>
      <c r="D258" s="4" t="inlineStr">
        <is>
          <t>deBridge</t>
        </is>
      </c>
      <c r="E258" s="4" t="inlineStr">
        <is>
          <t>venue</t>
        </is>
      </c>
      <c r="F258" s="4" t="inlineStr">
        <is>
          <t>OK</t>
        </is>
      </c>
      <c r="G258" s="4" t="inlineStr">
        <is>
          <t>2026-09-23T09:45:14.883Z</t>
        </is>
      </c>
      <c r="H258" s="4" t="inlineStr">
        <is>
          <t>2026-09-23T09:45:16.541Z</t>
        </is>
      </c>
      <c r="I258" s="4" t="inlineStr">
        <is>
          <t>2026-09-23T09:45:19.125Z</t>
        </is>
      </c>
      <c r="J258" s="20" t="n">
        <v>0.506</v>
      </c>
      <c r="K258" s="18" t="n">
        <v>99.920018</v>
      </c>
      <c r="L258" s="20" t="n">
        <v>1.0458</v>
      </c>
      <c r="M258" s="4" t="inlineStr">
        <is>
          <t>USDC</t>
        </is>
      </c>
      <c r="N258" s="4" t="inlineStr">
        <is>
          <t>fixed_fee_on_top=1.0458; fixed_fee_token=USDC</t>
        </is>
      </c>
      <c r="O258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259">
      <c r="A259" s="4" t="inlineStr">
        <is>
          <t>c08f790918d2</t>
        </is>
      </c>
      <c r="B259" s="4" t="inlineStr">
        <is>
          <t>Base-&gt;SOL</t>
        </is>
      </c>
      <c r="C259" s="4" t="n">
        <v>2</v>
      </c>
      <c r="D259" s="4" t="inlineStr">
        <is>
          <t>LI.FI (Jumper)</t>
        </is>
      </c>
      <c r="E259" s="4" t="inlineStr">
        <is>
          <t>venue</t>
        </is>
      </c>
      <c r="F259" s="4" t="inlineStr">
        <is>
          <t>OK</t>
        </is>
      </c>
      <c r="G259" s="4" t="inlineStr">
        <is>
          <t>2026-09-23T09:45:14.885Z</t>
        </is>
      </c>
      <c r="H259" s="4" t="inlineStr">
        <is>
          <t>2026-09-23T09:45:16.966Z</t>
        </is>
      </c>
      <c r="I259" s="4" t="inlineStr">
        <is>
          <t>2026-09-23T09:45:19.085Z</t>
        </is>
      </c>
      <c r="J259" s="20" t="n">
        <v>0.931</v>
      </c>
      <c r="K259" s="18" t="n">
        <v>100</v>
      </c>
      <c r="L259" s="20" t="n"/>
      <c r="M259" s="4" t="n"/>
      <c r="N259" s="4" t="inlineStr">
        <is>
          <t>best_return_venue=Polymer (Standard); max_out=100.0</t>
        </is>
      </c>
      <c r="O259" s="4" t="inlineStr">
        <is>
          <t>https://jumper.xyz/?fromChain=8453&amp;fromToken=0x833589fcd6edb6e08f4c7c32d4f71b54bda02913&amp;toChain=1151111081099710&amp;toToken=EPjFWdd5AufqSSqeM2qN1xzybapC8G4wEGGkZwyTDt1v</t>
        </is>
      </c>
    </row>
    <row r="260">
      <c r="A260" s="4" t="inlineStr">
        <is>
          <t>c08f790918d2</t>
        </is>
      </c>
      <c r="B260" s="4" t="inlineStr">
        <is>
          <t>Base-&gt;SOL</t>
        </is>
      </c>
      <c r="C260" s="4" t="n">
        <v>2</v>
      </c>
      <c r="D260" s="4" t="inlineStr">
        <is>
          <t>Across</t>
        </is>
      </c>
      <c r="E260" s="4" t="inlineStr">
        <is>
          <t>venue</t>
        </is>
      </c>
      <c r="F260" s="4" t="inlineStr">
        <is>
          <t>OK</t>
        </is>
      </c>
      <c r="G260" s="4" t="inlineStr">
        <is>
          <t>2026-09-23T09:45:14.882Z</t>
        </is>
      </c>
      <c r="H260" s="4" t="inlineStr">
        <is>
          <t>2026-09-23T09:45:16.153Z</t>
        </is>
      </c>
      <c r="I260" s="4" t="inlineStr">
        <is>
          <t>2026-09-23T09:45:18.286Z</t>
        </is>
      </c>
      <c r="J260" s="20" t="n">
        <v>0.118</v>
      </c>
      <c r="K260" s="18" t="n">
        <v>99.98699999999999</v>
      </c>
      <c r="L260" s="20" t="n"/>
      <c r="M260" s="4" t="n"/>
      <c r="N260" s="4" t="inlineStr"/>
      <c r="O260" s="4" t="inlineStr">
        <is>
          <t>https://across.to/?from=base&amp;to=solana&amp;inputToken=USDC&amp;outputToken=USDC</t>
        </is>
      </c>
    </row>
    <row r="261">
      <c r="A261" s="4" t="inlineStr">
        <is>
          <t>c08f790918d2</t>
        </is>
      </c>
      <c r="B261" s="4" t="inlineStr">
        <is>
          <t>Base-&gt;SOL</t>
        </is>
      </c>
      <c r="C261" s="4" t="n">
        <v>2</v>
      </c>
      <c r="D261" s="4" t="inlineStr">
        <is>
          <t>Mayan</t>
        </is>
      </c>
      <c r="E261" s="4" t="inlineStr">
        <is>
          <t>venue</t>
        </is>
      </c>
      <c r="F261" s="4" t="inlineStr">
        <is>
          <t>OK</t>
        </is>
      </c>
      <c r="G261" s="4" t="inlineStr">
        <is>
          <t>2026-09-23T09:45:14.881Z</t>
        </is>
      </c>
      <c r="H261" s="4" t="inlineStr">
        <is>
          <t>2026-09-23T09:45:16.217Z</t>
        </is>
      </c>
      <c r="I261" s="4" t="inlineStr">
        <is>
          <t>2026-09-23T09:45:18.338Z</t>
        </is>
      </c>
      <c r="J261" s="20" t="n">
        <v>0.182</v>
      </c>
      <c r="K261" s="18" t="n">
        <v>99.68000000000001</v>
      </c>
      <c r="L261" s="20" t="n"/>
      <c r="M261" s="4" t="n"/>
      <c r="N261" s="4" t="inlineStr">
        <is>
          <t>mode=Swift v2; eta=3s; display_decimals=2</t>
        </is>
      </c>
      <c r="O261" s="4" t="inlineStr">
        <is>
          <t>https://swap.mayan.finance/</t>
        </is>
      </c>
    </row>
    <row r="262">
      <c r="A262" s="4" t="inlineStr">
        <is>
          <t>c08f790918d2</t>
        </is>
      </c>
      <c r="B262" s="4" t="inlineStr">
        <is>
          <t>Base-&gt;SOL</t>
        </is>
      </c>
      <c r="C262" s="4" t="n">
        <v>2</v>
      </c>
      <c r="D262" s="4" t="inlineStr">
        <is>
          <t>Allbridge Core</t>
        </is>
      </c>
      <c r="E262" s="4" t="inlineStr">
        <is>
          <t>venue</t>
        </is>
      </c>
      <c r="F262" s="4" t="inlineStr">
        <is>
          <t>OK</t>
        </is>
      </c>
      <c r="G262" s="4" t="inlineStr">
        <is>
          <t>2026-09-23T09:45:14.885Z</t>
        </is>
      </c>
      <c r="H262" s="4" t="inlineStr">
        <is>
          <t>2026-09-23T09:45:16.169Z</t>
        </is>
      </c>
      <c r="I262" s="4" t="inlineStr">
        <is>
          <t>2026-09-23T09:45:18.385Z</t>
        </is>
      </c>
      <c r="J262" s="20" t="n">
        <v>0.134</v>
      </c>
      <c r="K262" s="18" t="n">
        <v>99.90000000000001</v>
      </c>
      <c r="L262" s="20" t="n">
        <v>0.000136</v>
      </c>
      <c r="M262" s="4" t="inlineStr">
        <is>
          <t>ETH (relayer fee, fee=native)</t>
        </is>
      </c>
      <c r="N262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262" s="4" t="inlineStr">
        <is>
          <t>https://core.allbridge.io/?fee=native&amp;ft=USDC&amp;tt=USDC&amp;f=BAS&amp;t=SOL</t>
        </is>
      </c>
    </row>
    <row r="263">
      <c r="A263" s="4" t="inlineStr">
        <is>
          <t>c08f790918d2</t>
        </is>
      </c>
      <c r="B263" s="4" t="inlineStr">
        <is>
          <t>Base-&gt;SOL</t>
        </is>
      </c>
      <c r="C263" s="4" t="n">
        <v>2</v>
      </c>
      <c r="D263" s="4" t="inlineStr">
        <is>
          <t>CCTP (via Portal)</t>
        </is>
      </c>
      <c r="E263" s="4" t="inlineStr">
        <is>
          <t>venue</t>
        </is>
      </c>
      <c r="F263" s="4" t="inlineStr">
        <is>
          <t>OK</t>
        </is>
      </c>
      <c r="G263" s="4" t="inlineStr">
        <is>
          <t>2026-09-23T09:45:14.885Z</t>
        </is>
      </c>
      <c r="H263" s="4" t="inlineStr">
        <is>
          <t>2026-09-23T09:45:18.721Z</t>
        </is>
      </c>
      <c r="I263" s="4" t="inlineStr">
        <is>
          <t>2026-09-23T09:45:21.256Z</t>
        </is>
      </c>
      <c r="J263" s="20" t="n">
        <v>2.686</v>
      </c>
      <c r="K263" s="18" t="n">
        <v>99.977001</v>
      </c>
      <c r="L263" s="20" t="n"/>
      <c r="M263" s="4" t="n"/>
      <c r="N263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263" s="4" t="inlineStr">
        <is>
          <t>https://portalbridge.com/usdc-bridge?fromChain=Base&amp;fromToken=USDC&amp;toChain=Solana&amp;toToken=USDC</t>
        </is>
      </c>
    </row>
    <row r="264">
      <c r="A264" s="4" t="inlineStr">
        <is>
          <t>c08f790918d2</t>
        </is>
      </c>
      <c r="B264" s="4" t="inlineStr">
        <is>
          <t>Base-&gt;SOL</t>
        </is>
      </c>
      <c r="C264" s="4" t="n">
        <v>2</v>
      </c>
      <c r="D264" s="4" t="inlineStr">
        <is>
          <t>Husher</t>
        </is>
      </c>
      <c r="E264" s="4" t="inlineStr">
        <is>
          <t>venue</t>
        </is>
      </c>
      <c r="F264" s="4" t="inlineStr">
        <is>
          <t>OK</t>
        </is>
      </c>
      <c r="G264" s="4" t="inlineStr">
        <is>
          <t>2026-09-23T09:45:14.887Z</t>
        </is>
      </c>
      <c r="H264" s="4" t="inlineStr">
        <is>
          <t>2026-09-23T09:45:16.249Z</t>
        </is>
      </c>
      <c r="I264" s="4" t="inlineStr">
        <is>
          <t>2026-09-23T09:45:18.378Z</t>
        </is>
      </c>
      <c r="J264" s="20" t="n">
        <v>0.214</v>
      </c>
      <c r="K264" s="18" t="n">
        <v>99.34999999999999</v>
      </c>
      <c r="L264" s="20" t="n"/>
      <c r="M264" s="4" t="n"/>
      <c r="N264" s="4" t="inlineStr">
        <is>
          <t>out_usd=$99.35; provider=Husher (Best Rate); rate_type=floating; fee_deducted=0.35; network_fee_deducted=0.3; api_receive=99.35000000; eta_s=40; display_decimals=2</t>
        </is>
      </c>
      <c r="O264" s="4" t="inlineStr">
        <is>
          <t>https://www.husher.io/</t>
        </is>
      </c>
    </row>
    <row r="265">
      <c r="A265" s="4" t="inlineStr">
        <is>
          <t>c08f790918d2</t>
        </is>
      </c>
      <c r="B265" s="4" t="inlineStr">
        <is>
          <t>Base-&gt;SOL</t>
        </is>
      </c>
      <c r="C265" s="4" t="n">
        <v>2</v>
      </c>
      <c r="D265" s="4" t="inlineStr">
        <is>
          <t>Layerswap</t>
        </is>
      </c>
      <c r="E265" s="4" t="inlineStr">
        <is>
          <t>venue</t>
        </is>
      </c>
      <c r="F265" s="4" t="inlineStr">
        <is>
          <t>OK</t>
        </is>
      </c>
      <c r="G265" s="4" t="inlineStr">
        <is>
          <t>2026-09-23T09:45:14.882Z</t>
        </is>
      </c>
      <c r="H265" s="4" t="inlineStr">
        <is>
          <t>2026-09-23T09:45:17.191Z</t>
        </is>
      </c>
      <c r="I265" s="4" t="inlineStr">
        <is>
          <t>2026-09-23T09:45:19.428Z</t>
        </is>
      </c>
      <c r="J265" s="20" t="n">
        <v>1.156</v>
      </c>
      <c r="K265" s="18" t="n">
        <v>99.673535</v>
      </c>
      <c r="L265" s="20" t="n"/>
      <c r="M265" s="4" t="n"/>
      <c r="N265" s="4" t="inlineStr">
        <is>
          <t>out_usd=$99.66; fee_usd=0.33; slippage=0.00%; eta=22 secs; to_token=USDC; to_chain=Solana; display_decimals=6</t>
        </is>
      </c>
      <c r="O265" s="4" t="inlineStr">
        <is>
          <t>https://layerswap.io/app?from=BASE_MAINNET&amp;to=SOLANA_MAINNET&amp;fromAsset=USDC&amp;toAsset=USDC</t>
        </is>
      </c>
    </row>
    <row r="266">
      <c r="A266" s="4" t="inlineStr">
        <is>
          <t>c08f790918d2</t>
        </is>
      </c>
      <c r="B266" s="4" t="inlineStr">
        <is>
          <t>Base-&gt;SOL</t>
        </is>
      </c>
      <c r="C266" s="4" t="n">
        <v>2</v>
      </c>
      <c r="D266" s="4" t="inlineStr">
        <is>
          <t>Meson</t>
        </is>
      </c>
      <c r="E266" s="4" t="inlineStr">
        <is>
          <t>venue</t>
        </is>
      </c>
      <c r="F266" s="4" t="inlineStr">
        <is>
          <t>OK</t>
        </is>
      </c>
      <c r="G266" s="4" t="inlineStr">
        <is>
          <t>2026-09-23T09:45:14.886Z</t>
        </is>
      </c>
      <c r="H266" s="4" t="inlineStr">
        <is>
          <t>2026-09-23T09:45:15.263Z</t>
        </is>
      </c>
      <c r="I266" s="4" t="inlineStr">
        <is>
          <t>2026-09-23T09:45:17.395Z</t>
        </is>
      </c>
      <c r="J266" s="20" t="n">
        <v>0.772</v>
      </c>
      <c r="K266" s="18" t="n">
        <v>99.59999999999999</v>
      </c>
      <c r="L266" s="20" t="n">
        <v>0</v>
      </c>
      <c r="M266" s="4" t="n"/>
      <c r="N266" s="4" t="inlineStr">
        <is>
          <t>fees_deducted=[['Fee', 0.4, 'USDC']]; fee_total=0.4; fixed_fee_on_top=0.0; display_decimals=1</t>
        </is>
      </c>
      <c r="O266" s="4" t="inlineStr">
        <is>
          <t>https://meson.fi/swap</t>
        </is>
      </c>
    </row>
    <row r="267">
      <c r="A267" s="4" t="inlineStr">
        <is>
          <t>c08f790918d2</t>
        </is>
      </c>
      <c r="B267" s="4" t="inlineStr">
        <is>
          <t>Base-&gt;SOL</t>
        </is>
      </c>
      <c r="C267" s="4" t="n">
        <v>2</v>
      </c>
      <c r="D267" s="4" t="inlineStr">
        <is>
          <t>SimpleSwap</t>
        </is>
      </c>
      <c r="E267" s="4" t="inlineStr">
        <is>
          <t>venue</t>
        </is>
      </c>
      <c r="F267" s="4" t="inlineStr">
        <is>
          <t>NO_QUOTE</t>
        </is>
      </c>
      <c r="G267" s="4" t="inlineStr">
        <is>
          <t>2026-09-23T09:45:14.886Z</t>
        </is>
      </c>
      <c r="H267" s="4" t="n"/>
      <c r="I267" s="4" t="inlineStr">
        <is>
          <t>2026-09-23T09:46:00.425Z</t>
        </is>
      </c>
      <c r="J267" s="20" t="n"/>
      <c r="K267" s="18" t="n"/>
      <c r="L267" s="20" t="n"/>
      <c r="M267" s="4" t="n"/>
      <c r="N267" s="4" t="inlineStr"/>
      <c r="O267" s="4" t="inlineStr">
        <is>
          <t>https://simpleswap.io/?from=usdc-base&amp;to=usdc-sol</t>
        </is>
      </c>
    </row>
    <row r="268">
      <c r="A268" s="4" t="inlineStr">
        <is>
          <t>c08f790918d2</t>
        </is>
      </c>
      <c r="B268" s="4" t="inlineStr">
        <is>
          <t>Base-&gt;SOL</t>
        </is>
      </c>
      <c r="C268" s="4" t="n">
        <v>2</v>
      </c>
      <c r="D268" s="4" t="inlineStr">
        <is>
          <t>Skip Go</t>
        </is>
      </c>
      <c r="E268" s="4" t="inlineStr">
        <is>
          <t>venue</t>
        </is>
      </c>
      <c r="F268" s="4" t="inlineStr">
        <is>
          <t>OK</t>
        </is>
      </c>
      <c r="G268" s="4" t="inlineStr">
        <is>
          <t>2026-09-23T09:45:14.883Z</t>
        </is>
      </c>
      <c r="H268" s="4" t="inlineStr">
        <is>
          <t>2026-09-23T09:45:17.355Z</t>
        </is>
      </c>
      <c r="I268" s="4" t="inlineStr">
        <is>
          <t>2026-09-23T09:45:19.426Z</t>
        </is>
      </c>
      <c r="J268" s="20" t="n">
        <v>1.32</v>
      </c>
      <c r="K268" s="18" t="n">
        <v>99.71585</v>
      </c>
      <c r="L268" s="20" t="n"/>
      <c r="M268" s="4" t="n"/>
      <c r="N268" s="4" t="inlineStr">
        <is>
          <t>fees_usd_in_quote=0.29; eta=2 mins; usd_values=['99.99', '99.70']; display_decimals=5</t>
        </is>
      </c>
      <c r="O268" s="4" t="inlineStr">
        <is>
          <t>https://go.skip.build/?src_chain=8453&amp;src_asset=0x833589fcd6edb6e08f4c7c32d4f71b54bda02913&amp;dest_chain=solana&amp;dest_asset=EPjFWdd5AufqSSqeM2qN1xzybapC8G4wEGGkZwyTDt1v</t>
        </is>
      </c>
    </row>
    <row r="269">
      <c r="A269" s="4" t="inlineStr">
        <is>
          <t>c08f790918d2</t>
        </is>
      </c>
      <c r="B269" s="4" t="inlineStr">
        <is>
          <t>Base-&gt;SOL</t>
        </is>
      </c>
      <c r="C269" s="4" t="n">
        <v>2</v>
      </c>
      <c r="D269" s="4" t="inlineStr">
        <is>
          <t>Symbiosis</t>
        </is>
      </c>
      <c r="E269" s="4" t="inlineStr">
        <is>
          <t>venue</t>
        </is>
      </c>
      <c r="F269" s="4" t="inlineStr">
        <is>
          <t>OK</t>
        </is>
      </c>
      <c r="G269" s="4" t="inlineStr">
        <is>
          <t>2026-09-23T09:45:14.883Z</t>
        </is>
      </c>
      <c r="H269" s="4" t="inlineStr">
        <is>
          <t>2026-09-23T09:45:18.253Z</t>
        </is>
      </c>
      <c r="I269" s="4" t="inlineStr">
        <is>
          <t>2026-09-23T09:45:20.343Z</t>
        </is>
      </c>
      <c r="J269" s="20" t="n">
        <v>2.218</v>
      </c>
      <c r="K269" s="18" t="n">
        <v>98.395017</v>
      </c>
      <c r="L269" s="20" t="n">
        <v>0</v>
      </c>
      <c r="M269" s="4" t="n"/>
      <c r="N269" s="4" t="inlineStr">
        <is>
          <t>min_received=97.903; fee_usd_deducted=1.53; eta=2 - 3 Min; price_impact=-0.02%; slippage=2%; route=Swap on Base; fixed_fee_on_top=0.0; display_decimals=6</t>
        </is>
      </c>
      <c r="O269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270">
      <c r="A270" s="4" t="inlineStr">
        <is>
          <t>776de53a26df</t>
        </is>
      </c>
      <c r="B270" s="4" t="inlineStr">
        <is>
          <t>SOL-&gt;ETH</t>
        </is>
      </c>
      <c r="C270" s="4" t="n">
        <v>3</v>
      </c>
      <c r="D270" s="4" t="inlineStr">
        <is>
          <t>Bridg</t>
        </is>
      </c>
      <c r="E270" s="4" t="inlineStr">
        <is>
          <t>bridg</t>
        </is>
      </c>
      <c r="F270" s="4" t="inlineStr">
        <is>
          <t>OK</t>
        </is>
      </c>
      <c r="G270" s="4" t="inlineStr">
        <is>
          <t>2026-09-23T09:46:22.196Z</t>
        </is>
      </c>
      <c r="H270" s="4" t="inlineStr">
        <is>
          <t>2026-09-23T09:46:23.222Z</t>
        </is>
      </c>
      <c r="I270" s="4" t="inlineStr">
        <is>
          <t>2026-09-23T09:46:25.363Z</t>
        </is>
      </c>
      <c r="J270" s="20" t="n"/>
      <c r="K270" s="18" t="n">
        <v>99.940005</v>
      </c>
      <c r="L270" s="20" t="n"/>
      <c r="M270" s="4" t="n"/>
      <c r="N270" s="4" t="inlineStr">
        <is>
          <t>best via Across; 16 venues priced; fees [['Across fee', 0.009995], ['Bridg fee', 0.05]]</t>
        </is>
      </c>
      <c r="O270" s="4" t="inlineStr">
        <is>
          <t>https://bridg.now/swap/</t>
        </is>
      </c>
    </row>
    <row r="271">
      <c r="A271" s="4" t="inlineStr">
        <is>
          <t>776de53a26df</t>
        </is>
      </c>
      <c r="B271" s="4" t="inlineStr">
        <is>
          <t>SOL-&gt;ETH</t>
        </is>
      </c>
      <c r="C271" s="4" t="n">
        <v>3</v>
      </c>
      <c r="D271" s="4" t="inlineStr">
        <is>
          <t>Relay</t>
        </is>
      </c>
      <c r="E271" s="4" t="inlineStr">
        <is>
          <t>venue</t>
        </is>
      </c>
      <c r="F271" s="4" t="inlineStr">
        <is>
          <t>OK</t>
        </is>
      </c>
      <c r="G271" s="4" t="inlineStr">
        <is>
          <t>2026-09-23T09:46:22.193Z</t>
        </is>
      </c>
      <c r="H271" s="4" t="inlineStr">
        <is>
          <t>2026-09-23T09:46:24.053Z</t>
        </is>
      </c>
      <c r="I271" s="4" t="inlineStr">
        <is>
          <t>2026-09-23T09:46:26.160Z</t>
        </is>
      </c>
      <c r="J271" s="20" t="n">
        <v>0.831</v>
      </c>
      <c r="K271" s="18" t="n">
        <v>99.89036900000001</v>
      </c>
      <c r="L271" s="20" t="n"/>
      <c r="M271" s="4" t="n"/>
      <c r="N271" s="4" t="inlineStr">
        <is>
          <t>rate=0.9989</t>
        </is>
      </c>
      <c r="O271" s="4" t="inlineStr">
        <is>
          <t>https://relay.link/bridge/ethereum?fromChainId=792703809&amp;fromCurrency=EPjFWdd5AufqSSqeM2qN1xzybapC8G4wEGGkZwyTDt1v&amp;toCurrency=0xa0b86991c6218b36c1d19d4a2e9eb0ce3606eb48</t>
        </is>
      </c>
    </row>
    <row r="272">
      <c r="A272" s="4" t="inlineStr">
        <is>
          <t>776de53a26df</t>
        </is>
      </c>
      <c r="B272" s="4" t="inlineStr">
        <is>
          <t>SOL-&gt;ETH</t>
        </is>
      </c>
      <c r="C272" s="4" t="n">
        <v>3</v>
      </c>
      <c r="D272" s="4" t="inlineStr">
        <is>
          <t>deBridge</t>
        </is>
      </c>
      <c r="E272" s="4" t="inlineStr">
        <is>
          <t>venue</t>
        </is>
      </c>
      <c r="F272" s="4" t="inlineStr">
        <is>
          <t>OK</t>
        </is>
      </c>
      <c r="G272" s="4" t="inlineStr">
        <is>
          <t>2026-09-23T09:46:22.194Z</t>
        </is>
      </c>
      <c r="H272" s="4" t="inlineStr">
        <is>
          <t>2026-09-23T09:46:24.306Z</t>
        </is>
      </c>
      <c r="I272" s="4" t="inlineStr">
        <is>
          <t>2026-09-23T09:46:26.483Z</t>
        </is>
      </c>
      <c r="J272" s="20" t="n">
        <v>1.084</v>
      </c>
      <c r="K272" s="18" t="n">
        <v>99.880033</v>
      </c>
      <c r="L272" s="20" t="n">
        <v>1.7011</v>
      </c>
      <c r="M272" s="4" t="inlineStr">
        <is>
          <t>USDC</t>
        </is>
      </c>
      <c r="N272" s="4" t="inlineStr">
        <is>
          <t>fixed_fee_on_top=1.7011; fixed_fee_token=USDC</t>
        </is>
      </c>
      <c r="O272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273">
      <c r="A273" s="4" t="inlineStr">
        <is>
          <t>776de53a26df</t>
        </is>
      </c>
      <c r="B273" s="4" t="inlineStr">
        <is>
          <t>SOL-&gt;ETH</t>
        </is>
      </c>
      <c r="C273" s="4" t="n">
        <v>3</v>
      </c>
      <c r="D273" s="4" t="inlineStr">
        <is>
          <t>LI.FI (Jumper)</t>
        </is>
      </c>
      <c r="E273" s="4" t="inlineStr">
        <is>
          <t>venue</t>
        </is>
      </c>
      <c r="F273" s="4" t="inlineStr">
        <is>
          <t>OK</t>
        </is>
      </c>
      <c r="G273" s="4" t="inlineStr">
        <is>
          <t>2026-09-23T09:46:22.196Z</t>
        </is>
      </c>
      <c r="H273" s="4" t="inlineStr">
        <is>
          <t>2026-09-23T09:46:26.127Z</t>
        </is>
      </c>
      <c r="I273" s="4" t="inlineStr">
        <is>
          <t>2026-09-23T09:46:28.303Z</t>
        </is>
      </c>
      <c r="J273" s="20" t="n">
        <v>2.905</v>
      </c>
      <c r="K273" s="18" t="n">
        <v>99.89036900000001</v>
      </c>
      <c r="L273" s="20" t="n"/>
      <c r="M273" s="4" t="n"/>
      <c r="N273" s="4" t="inlineStr">
        <is>
          <t>best_return_venue=Relay; max_out=99.99</t>
        </is>
      </c>
      <c r="O273" s="4" t="inlineStr">
        <is>
          <t>https://jumper.xyz/?fromChain=1151111081099710&amp;fromToken=EPjFWdd5AufqSSqeM2qN1xzybapC8G4wEGGkZwyTDt1v&amp;toChain=1&amp;toToken=0xa0b86991c6218b36c1d19d4a2e9eb0ce3606eb48</t>
        </is>
      </c>
    </row>
    <row r="274">
      <c r="A274" s="4" t="inlineStr">
        <is>
          <t>776de53a26df</t>
        </is>
      </c>
      <c r="B274" s="4" t="inlineStr">
        <is>
          <t>SOL-&gt;ETH</t>
        </is>
      </c>
      <c r="C274" s="4" t="n">
        <v>3</v>
      </c>
      <c r="D274" s="4" t="inlineStr">
        <is>
          <t>Across</t>
        </is>
      </c>
      <c r="E274" s="4" t="inlineStr">
        <is>
          <t>venue</t>
        </is>
      </c>
      <c r="F274" s="4" t="inlineStr">
        <is>
          <t>OK</t>
        </is>
      </c>
      <c r="G274" s="4" t="inlineStr">
        <is>
          <t>2026-09-23T09:46:22.193Z</t>
        </is>
      </c>
      <c r="H274" s="4" t="inlineStr">
        <is>
          <t>2026-09-23T09:46:23.317Z</t>
        </is>
      </c>
      <c r="I274" s="4" t="inlineStr">
        <is>
          <t>2026-09-23T09:46:25.450Z</t>
        </is>
      </c>
      <c r="J274" s="20" t="n">
        <v>0.095</v>
      </c>
      <c r="K274" s="18" t="n">
        <v>99.98999999999999</v>
      </c>
      <c r="L274" s="20" t="n"/>
      <c r="M274" s="4" t="n"/>
      <c r="N274" s="4" t="inlineStr"/>
      <c r="O274" s="4" t="inlineStr">
        <is>
          <t>https://across.to/?from=solana&amp;to=ethereum&amp;inputToken=USDC&amp;outputToken=USDC</t>
        </is>
      </c>
    </row>
    <row r="275">
      <c r="A275" s="4" t="inlineStr">
        <is>
          <t>776de53a26df</t>
        </is>
      </c>
      <c r="B275" s="4" t="inlineStr">
        <is>
          <t>SOL-&gt;ETH</t>
        </is>
      </c>
      <c r="C275" s="4" t="n">
        <v>3</v>
      </c>
      <c r="D275" s="4" t="inlineStr">
        <is>
          <t>Mayan</t>
        </is>
      </c>
      <c r="E275" s="4" t="inlineStr">
        <is>
          <t>venue</t>
        </is>
      </c>
      <c r="F275" s="4" t="inlineStr">
        <is>
          <t>OK</t>
        </is>
      </c>
      <c r="G275" s="4" t="inlineStr">
        <is>
          <t>2026-09-23T09:46:22.192Z</t>
        </is>
      </c>
      <c r="H275" s="4" t="inlineStr">
        <is>
          <t>2026-09-23T09:46:23.406Z</t>
        </is>
      </c>
      <c r="I275" s="4" t="inlineStr">
        <is>
          <t>2026-09-23T09:46:25.524Z</t>
        </is>
      </c>
      <c r="J275" s="20" t="n">
        <v>0.184</v>
      </c>
      <c r="K275" s="18" t="n">
        <v>99.4068</v>
      </c>
      <c r="L275" s="20" t="n"/>
      <c r="M275" s="4" t="n"/>
      <c r="N275" s="4" t="inlineStr">
        <is>
          <t>mode=Swift v2; eta=3s; display_decimals=4</t>
        </is>
      </c>
      <c r="O275" s="4" t="inlineStr">
        <is>
          <t>https://swap.mayan.finance/</t>
        </is>
      </c>
    </row>
    <row r="276">
      <c r="A276" s="4" t="inlineStr">
        <is>
          <t>776de53a26df</t>
        </is>
      </c>
      <c r="B276" s="4" t="inlineStr">
        <is>
          <t>SOL-&gt;ETH</t>
        </is>
      </c>
      <c r="C276" s="4" t="n">
        <v>3</v>
      </c>
      <c r="D276" s="4" t="inlineStr">
        <is>
          <t>Allbridge Core</t>
        </is>
      </c>
      <c r="E276" s="4" t="inlineStr">
        <is>
          <t>venue</t>
        </is>
      </c>
      <c r="F276" s="4" t="inlineStr">
        <is>
          <t>OK</t>
        </is>
      </c>
      <c r="G276" s="4" t="inlineStr">
        <is>
          <t>2026-09-23T09:46:22.194Z</t>
        </is>
      </c>
      <c r="H276" s="4" t="inlineStr">
        <is>
          <t>2026-09-23T09:46:23.247Z</t>
        </is>
      </c>
      <c r="I276" s="4" t="inlineStr">
        <is>
          <t>2026-09-23T09:46:25.484Z</t>
        </is>
      </c>
      <c r="J276" s="20" t="n">
        <v>0.025</v>
      </c>
      <c r="K276" s="18" t="n">
        <v>99.90000000000001</v>
      </c>
      <c r="L276" s="20" t="n">
        <v>0.014509</v>
      </c>
      <c r="M276" s="4" t="inlineStr">
        <is>
          <t>SOL (relayer fee, fee=native)</t>
        </is>
      </c>
      <c r="N276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76" s="4" t="inlineStr">
        <is>
          <t>https://core.allbridge.io/?fee=native&amp;ft=USDC&amp;tt=USDC&amp;f=SOL&amp;t=ETH</t>
        </is>
      </c>
    </row>
    <row r="277">
      <c r="A277" s="4" t="inlineStr">
        <is>
          <t>776de53a26df</t>
        </is>
      </c>
      <c r="B277" s="4" t="inlineStr">
        <is>
          <t>SOL-&gt;ETH</t>
        </is>
      </c>
      <c r="C277" s="4" t="n">
        <v>3</v>
      </c>
      <c r="D277" s="4" t="inlineStr">
        <is>
          <t>CCTP (via Portal)</t>
        </is>
      </c>
      <c r="E277" s="4" t="inlineStr">
        <is>
          <t>venue</t>
        </is>
      </c>
      <c r="F277" s="4" t="inlineStr">
        <is>
          <t>OK</t>
        </is>
      </c>
      <c r="G277" s="4" t="inlineStr">
        <is>
          <t>2026-09-23T09:46:22.197Z</t>
        </is>
      </c>
      <c r="H277" s="4" t="inlineStr">
        <is>
          <t>2026-09-23T09:46:25.437Z</t>
        </is>
      </c>
      <c r="I277" s="4" t="inlineStr">
        <is>
          <t>2026-09-23T09:46:27.703Z</t>
        </is>
      </c>
      <c r="J277" s="20" t="n">
        <v>2.215</v>
      </c>
      <c r="K277" s="18" t="n">
        <v>99.98999999999999</v>
      </c>
      <c r="L277" s="20" t="n"/>
      <c r="M277" s="4" t="n"/>
      <c r="N277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77" s="4" t="inlineStr">
        <is>
          <t>https://portalbridge.com/usdc-bridge?fromChain=Solana&amp;fromToken=USDC&amp;toChain=Ethereum&amp;toToken=USDC</t>
        </is>
      </c>
    </row>
    <row r="278">
      <c r="A278" s="4" t="inlineStr">
        <is>
          <t>776de53a26df</t>
        </is>
      </c>
      <c r="B278" s="4" t="inlineStr">
        <is>
          <t>SOL-&gt;ETH</t>
        </is>
      </c>
      <c r="C278" s="4" t="n">
        <v>3</v>
      </c>
      <c r="D278" s="4" t="inlineStr">
        <is>
          <t>Husher</t>
        </is>
      </c>
      <c r="E278" s="4" t="inlineStr">
        <is>
          <t>venue</t>
        </is>
      </c>
      <c r="F278" s="4" t="inlineStr">
        <is>
          <t>OK</t>
        </is>
      </c>
      <c r="G278" s="4" t="inlineStr">
        <is>
          <t>2026-09-23T09:46:22.196Z</t>
        </is>
      </c>
      <c r="H278" s="4" t="inlineStr">
        <is>
          <t>2026-09-23T09:46:23.531Z</t>
        </is>
      </c>
      <c r="I278" s="4" t="inlineStr">
        <is>
          <t>2026-09-23T09:46:25.682Z</t>
        </is>
      </c>
      <c r="J278" s="20" t="n">
        <v>0.309</v>
      </c>
      <c r="K278" s="18" t="n">
        <v>99.05</v>
      </c>
      <c r="L278" s="20" t="n"/>
      <c r="M278" s="4" t="n"/>
      <c r="N278" s="4" t="inlineStr">
        <is>
          <t>out_usd=$99.05; provider=Husher (Best Rate); rate_type=floating; fee_deducted=0.35; network_fee_deducted=0.6; api_receive=99.05000000; eta_s=40; display_decimals=2</t>
        </is>
      </c>
      <c r="O278" s="4" t="inlineStr">
        <is>
          <t>https://www.husher.io/</t>
        </is>
      </c>
    </row>
    <row r="279">
      <c r="A279" s="4" t="inlineStr">
        <is>
          <t>776de53a26df</t>
        </is>
      </c>
      <c r="B279" s="4" t="inlineStr">
        <is>
          <t>SOL-&gt;ETH</t>
        </is>
      </c>
      <c r="C279" s="4" t="n">
        <v>3</v>
      </c>
      <c r="D279" s="4" t="inlineStr">
        <is>
          <t>Layerswap</t>
        </is>
      </c>
      <c r="E279" s="4" t="inlineStr">
        <is>
          <t>venue</t>
        </is>
      </c>
      <c r="F279" s="4" t="inlineStr">
        <is>
          <t>OK</t>
        </is>
      </c>
      <c r="G279" s="4" t="inlineStr">
        <is>
          <t>2026-09-23T09:46:22.193Z</t>
        </is>
      </c>
      <c r="H279" s="4" t="inlineStr">
        <is>
          <t>2026-09-23T09:46:24.512Z</t>
        </is>
      </c>
      <c r="I279" s="4" t="inlineStr">
        <is>
          <t>2026-09-23T09:46:26.794Z</t>
        </is>
      </c>
      <c r="J279" s="20" t="n">
        <v>1.29</v>
      </c>
      <c r="K279" s="18" t="n">
        <v>99.730239</v>
      </c>
      <c r="L279" s="20" t="n"/>
      <c r="M279" s="4" t="n"/>
      <c r="N279" s="4" t="inlineStr">
        <is>
          <t>out_usd=$99.72; fee_usd=0.27; slippage=0.00%; eta=25 secs; to_token=USDC; to_chain=Ethereum; display_decimals=6</t>
        </is>
      </c>
      <c r="O279" s="4" t="inlineStr">
        <is>
          <t>https://layerswap.io/app?from=SOLANA_MAINNET&amp;to=ETHEREUM_MAINNET&amp;fromAsset=USDC&amp;toAsset=USDC</t>
        </is>
      </c>
    </row>
    <row r="280">
      <c r="A280" s="4" t="inlineStr">
        <is>
          <t>776de53a26df</t>
        </is>
      </c>
      <c r="B280" s="4" t="inlineStr">
        <is>
          <t>SOL-&gt;ETH</t>
        </is>
      </c>
      <c r="C280" s="4" t="n">
        <v>3</v>
      </c>
      <c r="D280" s="4" t="inlineStr">
        <is>
          <t>Meson</t>
        </is>
      </c>
      <c r="E280" s="4" t="inlineStr">
        <is>
          <t>venue</t>
        </is>
      </c>
      <c r="F280" s="4" t="inlineStr">
        <is>
          <t>OK</t>
        </is>
      </c>
      <c r="G280" s="4" t="inlineStr">
        <is>
          <t>2026-09-23T09:46:22.197Z</t>
        </is>
      </c>
      <c r="H280" s="4" t="inlineStr">
        <is>
          <t>2026-09-23T09:46:22.516Z</t>
        </is>
      </c>
      <c r="I280" s="4" t="inlineStr">
        <is>
          <t>2026-09-23T09:46:24.654Z</t>
        </is>
      </c>
      <c r="J280" s="20" t="n">
        <v>0.706</v>
      </c>
      <c r="K280" s="18" t="n">
        <v>99.72</v>
      </c>
      <c r="L280" s="20" t="n">
        <v>0</v>
      </c>
      <c r="M280" s="4" t="n"/>
      <c r="N280" s="4" t="inlineStr">
        <is>
          <t>fees_deducted=[['Fee', 0.28, 'USDC']]; fee_total=0.28; fixed_fee_on_top=0.0; display_decimals=2</t>
        </is>
      </c>
      <c r="O280" s="4" t="inlineStr">
        <is>
          <t>https://meson.fi/swap</t>
        </is>
      </c>
    </row>
    <row r="281">
      <c r="A281" s="4" t="inlineStr">
        <is>
          <t>776de53a26df</t>
        </is>
      </c>
      <c r="B281" s="4" t="inlineStr">
        <is>
          <t>SOL-&gt;ETH</t>
        </is>
      </c>
      <c r="C281" s="4" t="n">
        <v>3</v>
      </c>
      <c r="D281" s="4" t="inlineStr">
        <is>
          <t>SimpleSwap</t>
        </is>
      </c>
      <c r="E281" s="4" t="inlineStr">
        <is>
          <t>venue</t>
        </is>
      </c>
      <c r="F281" s="4" t="inlineStr">
        <is>
          <t>OK</t>
        </is>
      </c>
      <c r="G281" s="4" t="inlineStr">
        <is>
          <t>2026-09-23T09:46:22.197Z</t>
        </is>
      </c>
      <c r="H281" s="4" t="inlineStr">
        <is>
          <t>2026-09-23T09:46:28.242Z</t>
        </is>
      </c>
      <c r="I281" s="4" t="inlineStr">
        <is>
          <t>2026-09-23T09:46:30.485Z</t>
        </is>
      </c>
      <c r="J281" s="20" t="n">
        <v>5.02</v>
      </c>
      <c r="K281" s="18" t="n">
        <v>98.19890599999999</v>
      </c>
      <c r="L281" s="20" t="n">
        <v>0</v>
      </c>
      <c r="M281" s="4" t="inlineStr">
        <is>
          <t>USDC</t>
        </is>
      </c>
      <c r="N281" s="4" t="inlineStr">
        <is>
          <t>best_card_out=98.198906; selected_card=Best rate / Decentralized; rate_type=floating; fixed_fee_on_top=0.0; fixed_fee_token=USDC; display_decimals=6; small_sum_warning=False</t>
        </is>
      </c>
      <c r="O281" s="4" t="inlineStr">
        <is>
          <t>https://simpleswap.io/?from=usdc-sol&amp;to=usdc-eth</t>
        </is>
      </c>
    </row>
    <row r="282">
      <c r="A282" s="4" t="inlineStr">
        <is>
          <t>776de53a26df</t>
        </is>
      </c>
      <c r="B282" s="4" t="inlineStr">
        <is>
          <t>SOL-&gt;ETH</t>
        </is>
      </c>
      <c r="C282" s="4" t="n">
        <v>3</v>
      </c>
      <c r="D282" s="4" t="inlineStr">
        <is>
          <t>Skip Go</t>
        </is>
      </c>
      <c r="E282" s="4" t="inlineStr">
        <is>
          <t>venue</t>
        </is>
      </c>
      <c r="F282" s="4" t="inlineStr">
        <is>
          <t>OK</t>
        </is>
      </c>
      <c r="G282" s="4" t="inlineStr">
        <is>
          <t>2026-09-23T09:46:22.195Z</t>
        </is>
      </c>
      <c r="H282" s="4" t="inlineStr">
        <is>
          <t>2026-09-23T09:46:24.843Z</t>
        </is>
      </c>
      <c r="I282" s="4" t="inlineStr">
        <is>
          <t>2026-09-23T09:46:27.097Z</t>
        </is>
      </c>
      <c r="J282" s="20" t="n">
        <v>1.621</v>
      </c>
      <c r="K282" s="18" t="n">
        <v>99.72108</v>
      </c>
      <c r="L282" s="20" t="n"/>
      <c r="M282" s="4" t="n"/>
      <c r="N282" s="4" t="inlineStr">
        <is>
          <t>fees_usd_in_quote=0.28; eta=30 secs; usd_values=['99.99', '99.71']; display_decimals=5</t>
        </is>
      </c>
      <c r="O282" s="4" t="inlineStr">
        <is>
          <t>https://go.skip.build/?src_chain=solana&amp;src_asset=EPjFWdd5AufqSSqeM2qN1xzybapC8G4wEGGkZwyTDt1v&amp;dest_chain=1&amp;dest_asset=0xa0b86991c6218b36c1d19d4a2e9eb0ce3606eb48</t>
        </is>
      </c>
    </row>
    <row r="283">
      <c r="A283" s="4" t="inlineStr">
        <is>
          <t>776de53a26df</t>
        </is>
      </c>
      <c r="B283" s="4" t="inlineStr">
        <is>
          <t>SOL-&gt;ETH</t>
        </is>
      </c>
      <c r="C283" s="4" t="n">
        <v>3</v>
      </c>
      <c r="D283" s="4" t="inlineStr">
        <is>
          <t>Symbiosis</t>
        </is>
      </c>
      <c r="E283" s="4" t="inlineStr">
        <is>
          <t>venue</t>
        </is>
      </c>
      <c r="F283" s="4" t="inlineStr">
        <is>
          <t>OK</t>
        </is>
      </c>
      <c r="G283" s="4" t="inlineStr">
        <is>
          <t>2026-09-23T09:46:22.195Z</t>
        </is>
      </c>
      <c r="H283" s="4" t="inlineStr">
        <is>
          <t>2026-09-23T09:46:24.961Z</t>
        </is>
      </c>
      <c r="I283" s="4" t="inlineStr">
        <is>
          <t>2026-09-23T09:46:27.088Z</t>
        </is>
      </c>
      <c r="J283" s="20" t="n">
        <v>1.739</v>
      </c>
      <c r="K283" s="18" t="n">
        <v>98.943273</v>
      </c>
      <c r="L283" s="20" t="n">
        <v>0</v>
      </c>
      <c r="M283" s="4" t="n"/>
      <c r="N283" s="4" t="inlineStr">
        <is>
          <t>min_received=98.4485; fee_usd_deducted=1.04; eta=1 - 3 Min; price_impact=-1.1%; slippage=2%; route=Bridge to Ethereum; fixed_fee_on_top=0.0; display_decimals=6</t>
        </is>
      </c>
      <c r="O283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84">
      <c r="A284" s="4" t="inlineStr">
        <is>
          <t>7c4ebea3d9c9</t>
        </is>
      </c>
      <c r="B284" s="4" t="inlineStr">
        <is>
          <t>SOL-&gt;ETH</t>
        </is>
      </c>
      <c r="C284" s="4" t="n">
        <v>3</v>
      </c>
      <c r="D284" s="4" t="inlineStr">
        <is>
          <t>Bridg</t>
        </is>
      </c>
      <c r="E284" s="4" t="inlineStr">
        <is>
          <t>bridg</t>
        </is>
      </c>
      <c r="F284" s="4" t="inlineStr">
        <is>
          <t>OK</t>
        </is>
      </c>
      <c r="G284" s="4" t="inlineStr">
        <is>
          <t>2026-09-23T09:46:39.564Z</t>
        </is>
      </c>
      <c r="H284" s="4" t="inlineStr">
        <is>
          <t>2026-09-23T09:46:40.434Z</t>
        </is>
      </c>
      <c r="I284" s="4" t="inlineStr">
        <is>
          <t>2026-09-23T09:46:42.586Z</t>
        </is>
      </c>
      <c r="J284" s="20" t="n"/>
      <c r="K284" s="18" t="n">
        <v>99.940005</v>
      </c>
      <c r="L284" s="20" t="n"/>
      <c r="M284" s="4" t="n"/>
      <c r="N284" s="4" t="inlineStr">
        <is>
          <t>best via Across; 16 venues priced; fees [['Across fee', 0.009995], ['Bridg fee', 0.05]]</t>
        </is>
      </c>
      <c r="O284" s="4" t="inlineStr">
        <is>
          <t>https://bridg.now/swap/</t>
        </is>
      </c>
    </row>
    <row r="285">
      <c r="A285" s="4" t="inlineStr">
        <is>
          <t>7c4ebea3d9c9</t>
        </is>
      </c>
      <c r="B285" s="4" t="inlineStr">
        <is>
          <t>SOL-&gt;ETH</t>
        </is>
      </c>
      <c r="C285" s="4" t="n">
        <v>3</v>
      </c>
      <c r="D285" s="4" t="inlineStr">
        <is>
          <t>SimpleSwap</t>
        </is>
      </c>
      <c r="E285" s="4" t="inlineStr">
        <is>
          <t>venue</t>
        </is>
      </c>
      <c r="F285" s="4" t="inlineStr">
        <is>
          <t>OK</t>
        </is>
      </c>
      <c r="G285" s="4" t="inlineStr">
        <is>
          <t>2026-09-23T09:46:39.564Z</t>
        </is>
      </c>
      <c r="H285" s="4" t="inlineStr">
        <is>
          <t>2026-09-23T09:46:42.264Z</t>
        </is>
      </c>
      <c r="I285" s="4" t="inlineStr">
        <is>
          <t>2026-09-23T09:46:44.448Z</t>
        </is>
      </c>
      <c r="J285" s="20" t="n">
        <v>1.83</v>
      </c>
      <c r="K285" s="18" t="n">
        <v>98.19890599999999</v>
      </c>
      <c r="L285" s="20" t="n">
        <v>0</v>
      </c>
      <c r="M285" s="4" t="inlineStr">
        <is>
          <t>USDC</t>
        </is>
      </c>
      <c r="N285" s="4" t="inlineStr">
        <is>
          <t>best_card_out=98.198906; selected_card=Best rate / Decentralized; rate_type=floating; fixed_fee_on_top=0.0; fixed_fee_token=USDC; display_decimals=6; small_sum_warning=False</t>
        </is>
      </c>
      <c r="O285" s="4" t="inlineStr">
        <is>
          <t>https://simpleswap.io/?from=usdc-sol&amp;to=usdc-eth</t>
        </is>
      </c>
    </row>
    <row r="286">
      <c r="A286" s="4" t="inlineStr">
        <is>
          <t>c48a451422d5</t>
        </is>
      </c>
      <c r="B286" s="4" t="inlineStr">
        <is>
          <t>ETH-&gt;SOL</t>
        </is>
      </c>
      <c r="C286" s="4" t="n">
        <v>3</v>
      </c>
      <c r="D286" s="4" t="inlineStr">
        <is>
          <t>Bridg</t>
        </is>
      </c>
      <c r="E286" s="4" t="inlineStr">
        <is>
          <t>bridg</t>
        </is>
      </c>
      <c r="F286" s="4" t="inlineStr">
        <is>
          <t>OK</t>
        </is>
      </c>
      <c r="G286" s="4" t="inlineStr">
        <is>
          <t>2026-09-23T09:47:06.230Z</t>
        </is>
      </c>
      <c r="H286" s="4" t="inlineStr">
        <is>
          <t>2026-09-23T09:47:07.259Z</t>
        </is>
      </c>
      <c r="I286" s="4" t="inlineStr">
        <is>
          <t>2026-09-23T09:47:10.529Z</t>
        </is>
      </c>
      <c r="J286" s="20" t="n"/>
      <c r="K286" s="18" t="n">
        <v>99.85005</v>
      </c>
      <c r="L286" s="20" t="n"/>
      <c r="M286" s="4" t="n"/>
      <c r="N286" s="4" t="inlineStr">
        <is>
          <t>best via Allbridge Core; 15 venues priced; fees [['Allbridge Core fee', 0.09995], ['Bridg fee', 0.05]]</t>
        </is>
      </c>
      <c r="O286" s="4" t="inlineStr">
        <is>
          <t>https://bridg.now/swap/</t>
        </is>
      </c>
    </row>
    <row r="287">
      <c r="A287" s="4" t="inlineStr">
        <is>
          <t>c48a451422d5</t>
        </is>
      </c>
      <c r="B287" s="4" t="inlineStr">
        <is>
          <t>ETH-&gt;SOL</t>
        </is>
      </c>
      <c r="C287" s="4" t="n">
        <v>3</v>
      </c>
      <c r="D287" s="4" t="inlineStr">
        <is>
          <t>Relay</t>
        </is>
      </c>
      <c r="E287" s="4" t="inlineStr">
        <is>
          <t>venue</t>
        </is>
      </c>
      <c r="F287" s="4" t="inlineStr">
        <is>
          <t>OK</t>
        </is>
      </c>
      <c r="G287" s="4" t="inlineStr">
        <is>
          <t>2026-09-23T09:47:06.230Z</t>
        </is>
      </c>
      <c r="H287" s="4" t="inlineStr">
        <is>
          <t>2026-09-23T09:47:08.362Z</t>
        </is>
      </c>
      <c r="I287" s="4" t="inlineStr">
        <is>
          <t>2026-09-23T09:47:10.528Z</t>
        </is>
      </c>
      <c r="J287" s="20" t="n">
        <v>1.103</v>
      </c>
      <c r="K287" s="18" t="n">
        <v>99.945573</v>
      </c>
      <c r="L287" s="20" t="n"/>
      <c r="M287" s="4" t="n"/>
      <c r="N287" s="4" t="inlineStr">
        <is>
          <t>rate=0.9994</t>
        </is>
      </c>
      <c r="O287" s="4" t="inlineStr">
        <is>
          <t>https://relay.link/bridge/solana?fromChainId=1&amp;fromCurrency=0xa0b86991c6218b36c1d19d4a2e9eb0ce3606eb48&amp;toCurrency=EPjFWdd5AufqSSqeM2qN1xzybapC8G4wEGGkZwyTDt1v</t>
        </is>
      </c>
    </row>
    <row r="288">
      <c r="A288" s="4" t="inlineStr">
        <is>
          <t>c48a451422d5</t>
        </is>
      </c>
      <c r="B288" s="4" t="inlineStr">
        <is>
          <t>ETH-&gt;SOL</t>
        </is>
      </c>
      <c r="C288" s="4" t="n">
        <v>3</v>
      </c>
      <c r="D288" s="4" t="inlineStr">
        <is>
          <t>deBridge</t>
        </is>
      </c>
      <c r="E288" s="4" t="inlineStr">
        <is>
          <t>venue</t>
        </is>
      </c>
      <c r="F288" s="4" t="inlineStr">
        <is>
          <t>OK</t>
        </is>
      </c>
      <c r="G288" s="4" t="inlineStr">
        <is>
          <t>2026-09-23T09:47:06.230Z</t>
        </is>
      </c>
      <c r="H288" s="4" t="inlineStr">
        <is>
          <t>2026-09-23T09:47:07.549Z</t>
        </is>
      </c>
      <c r="I288" s="4" t="inlineStr">
        <is>
          <t>2026-09-23T09:47:09.701Z</t>
        </is>
      </c>
      <c r="J288" s="20" t="n">
        <v>0.29</v>
      </c>
      <c r="K288" s="18" t="n">
        <v>99.920018</v>
      </c>
      <c r="L288" s="20" t="n">
        <v>1.1412</v>
      </c>
      <c r="M288" s="4" t="inlineStr">
        <is>
          <t>USDC</t>
        </is>
      </c>
      <c r="N288" s="4" t="inlineStr">
        <is>
          <t>fixed_fee_on_top=1.1412; fixed_fee_token=USDC</t>
        </is>
      </c>
      <c r="O288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89">
      <c r="A289" s="4" t="inlineStr">
        <is>
          <t>c48a451422d5</t>
        </is>
      </c>
      <c r="B289" s="4" t="inlineStr">
        <is>
          <t>ETH-&gt;SOL</t>
        </is>
      </c>
      <c r="C289" s="4" t="n">
        <v>3</v>
      </c>
      <c r="D289" s="4" t="inlineStr">
        <is>
          <t>LI.FI (Jumper)</t>
        </is>
      </c>
      <c r="E289" s="4" t="inlineStr">
        <is>
          <t>venue</t>
        </is>
      </c>
      <c r="F289" s="4" t="inlineStr">
        <is>
          <t>OK</t>
        </is>
      </c>
      <c r="G289" s="4" t="inlineStr">
        <is>
          <t>2026-09-23T09:47:06.232Z</t>
        </is>
      </c>
      <c r="H289" s="4" t="inlineStr">
        <is>
          <t>2026-09-23T09:47:08.572Z</t>
        </is>
      </c>
      <c r="I289" s="4" t="inlineStr">
        <is>
          <t>2026-09-23T09:47:10.820Z</t>
        </is>
      </c>
      <c r="J289" s="20" t="n">
        <v>1.313</v>
      </c>
      <c r="K289" s="18" t="n">
        <v>99.945573</v>
      </c>
      <c r="L289" s="20" t="n"/>
      <c r="M289" s="4" t="n"/>
      <c r="N289" s="4" t="inlineStr">
        <is>
          <t>best_return_venue=Relay; max_out=100.0</t>
        </is>
      </c>
      <c r="O289" s="4" t="inlineStr">
        <is>
          <t>https://jumper.xyz/?fromChain=1&amp;fromToken=0xa0b86991c6218b36c1d19d4a2e9eb0ce3606eb48&amp;toChain=1151111081099710&amp;toToken=EPjFWdd5AufqSSqeM2qN1xzybapC8G4wEGGkZwyTDt1v</t>
        </is>
      </c>
    </row>
    <row r="290">
      <c r="A290" s="4" t="inlineStr">
        <is>
          <t>c48a451422d5</t>
        </is>
      </c>
      <c r="B290" s="4" t="inlineStr">
        <is>
          <t>ETH-&gt;SOL</t>
        </is>
      </c>
      <c r="C290" s="4" t="n">
        <v>3</v>
      </c>
      <c r="D290" s="4" t="inlineStr">
        <is>
          <t>Across</t>
        </is>
      </c>
      <c r="E290" s="4" t="inlineStr">
        <is>
          <t>venue</t>
        </is>
      </c>
      <c r="F290" s="4" t="inlineStr">
        <is>
          <t>OK</t>
        </is>
      </c>
      <c r="G290" s="4" t="inlineStr">
        <is>
          <t>2026-09-23T09:47:06.230Z</t>
        </is>
      </c>
      <c r="H290" s="4" t="inlineStr">
        <is>
          <t>2026-09-23T09:47:07.365Z</t>
        </is>
      </c>
      <c r="I290" s="4" t="inlineStr">
        <is>
          <t>2026-09-23T09:47:09.529Z</t>
        </is>
      </c>
      <c r="J290" s="20" t="n">
        <v>0.106</v>
      </c>
      <c r="K290" s="18" t="n">
        <v>99.98999999999999</v>
      </c>
      <c r="L290" s="20" t="n"/>
      <c r="M290" s="4" t="n"/>
      <c r="N290" s="4" t="inlineStr"/>
      <c r="O290" s="4" t="inlineStr">
        <is>
          <t>https://across.to/?from=ethereum&amp;to=solana&amp;inputToken=USDC&amp;outputToken=USDC</t>
        </is>
      </c>
    </row>
    <row r="291">
      <c r="A291" s="4" t="inlineStr">
        <is>
          <t>c48a451422d5</t>
        </is>
      </c>
      <c r="B291" s="4" t="inlineStr">
        <is>
          <t>ETH-&gt;SOL</t>
        </is>
      </c>
      <c r="C291" s="4" t="n">
        <v>3</v>
      </c>
      <c r="D291" s="4" t="inlineStr">
        <is>
          <t>Mayan</t>
        </is>
      </c>
      <c r="E291" s="4" t="inlineStr">
        <is>
          <t>venue</t>
        </is>
      </c>
      <c r="F291" s="4" t="inlineStr">
        <is>
          <t>OK</t>
        </is>
      </c>
      <c r="G291" s="4" t="inlineStr">
        <is>
          <t>2026-09-23T09:47:06.229Z</t>
        </is>
      </c>
      <c r="H291" s="4" t="inlineStr">
        <is>
          <t>2026-09-23T09:47:07.468Z</t>
        </is>
      </c>
      <c r="I291" s="4" t="inlineStr">
        <is>
          <t>2026-09-23T09:47:09.591Z</t>
        </is>
      </c>
      <c r="J291" s="20" t="n">
        <v>0.209</v>
      </c>
      <c r="K291" s="18" t="n">
        <v>99.4999</v>
      </c>
      <c r="L291" s="20" t="n"/>
      <c r="M291" s="4" t="n"/>
      <c r="N291" s="4" t="inlineStr">
        <is>
          <t>mode=Swift v2; eta=3s; display_decimals=4</t>
        </is>
      </c>
      <c r="O291" s="4" t="inlineStr">
        <is>
          <t>https://swap.mayan.finance/</t>
        </is>
      </c>
    </row>
    <row r="292">
      <c r="A292" s="4" t="inlineStr">
        <is>
          <t>c48a451422d5</t>
        </is>
      </c>
      <c r="B292" s="4" t="inlineStr">
        <is>
          <t>ETH-&gt;SOL</t>
        </is>
      </c>
      <c r="C292" s="4" t="n">
        <v>3</v>
      </c>
      <c r="D292" s="4" t="inlineStr">
        <is>
          <t>Allbridge Core</t>
        </is>
      </c>
      <c r="E292" s="4" t="inlineStr">
        <is>
          <t>venue</t>
        </is>
      </c>
      <c r="F292" s="4" t="inlineStr">
        <is>
          <t>OK</t>
        </is>
      </c>
      <c r="G292" s="4" t="inlineStr">
        <is>
          <t>2026-09-23T09:47:06.232Z</t>
        </is>
      </c>
      <c r="H292" s="4" t="inlineStr">
        <is>
          <t>2026-09-23T09:47:07.418Z</t>
        </is>
      </c>
      <c r="I292" s="4" t="inlineStr">
        <is>
          <t>2026-09-23T09:47:09.633Z</t>
        </is>
      </c>
      <c r="J292" s="20" t="n">
        <v>0.159</v>
      </c>
      <c r="K292" s="18" t="n">
        <v>99.90000000000001</v>
      </c>
      <c r="L292" s="20" t="n">
        <v>0.000137</v>
      </c>
      <c r="M292" s="4" t="inlineStr">
        <is>
          <t>ETH (relayer fee, fee=native)</t>
        </is>
      </c>
      <c r="N292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92" s="4" t="inlineStr">
        <is>
          <t>https://core.allbridge.io/?fee=native&amp;ft=USDC&amp;tt=USDC&amp;f=ETH&amp;t=SOL</t>
        </is>
      </c>
    </row>
    <row r="293">
      <c r="A293" s="4" t="inlineStr">
        <is>
          <t>c48a451422d5</t>
        </is>
      </c>
      <c r="B293" s="4" t="inlineStr">
        <is>
          <t>ETH-&gt;SOL</t>
        </is>
      </c>
      <c r="C293" s="4" t="n">
        <v>3</v>
      </c>
      <c r="D293" s="4" t="inlineStr">
        <is>
          <t>CCTP (via Portal)</t>
        </is>
      </c>
      <c r="E293" s="4" t="inlineStr">
        <is>
          <t>venue</t>
        </is>
      </c>
      <c r="F293" s="4" t="inlineStr">
        <is>
          <t>OK</t>
        </is>
      </c>
      <c r="G293" s="4" t="inlineStr">
        <is>
          <t>2026-09-23T09:47:06.232Z</t>
        </is>
      </c>
      <c r="H293" s="4" t="inlineStr">
        <is>
          <t>2026-09-23T09:47:09.741Z</t>
        </is>
      </c>
      <c r="I293" s="4" t="inlineStr">
        <is>
          <t>2026-09-23T09:47:11.902Z</t>
        </is>
      </c>
      <c r="J293" s="20" t="n">
        <v>2.482</v>
      </c>
      <c r="K293" s="18" t="n">
        <v>99.980001</v>
      </c>
      <c r="L293" s="20" t="n"/>
      <c r="M293" s="4" t="n"/>
      <c r="N293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93" s="4" t="inlineStr">
        <is>
          <t>https://portalbridge.com/usdc-bridge?fromChain=Ethereum&amp;fromToken=USDC&amp;toChain=Solana&amp;toToken=USDC</t>
        </is>
      </c>
    </row>
    <row r="294">
      <c r="A294" s="4" t="inlineStr">
        <is>
          <t>c48a451422d5</t>
        </is>
      </c>
      <c r="B294" s="4" t="inlineStr">
        <is>
          <t>ETH-&gt;SOL</t>
        </is>
      </c>
      <c r="C294" s="4" t="n">
        <v>3</v>
      </c>
      <c r="D294" s="4" t="inlineStr">
        <is>
          <t>Husher</t>
        </is>
      </c>
      <c r="E294" s="4" t="inlineStr">
        <is>
          <t>venue</t>
        </is>
      </c>
      <c r="F294" s="4" t="inlineStr">
        <is>
          <t>OK</t>
        </is>
      </c>
      <c r="G294" s="4" t="inlineStr">
        <is>
          <t>2026-09-23T09:47:06.233Z</t>
        </is>
      </c>
      <c r="H294" s="4" t="inlineStr">
        <is>
          <t>2026-09-23T09:47:07.791Z</t>
        </is>
      </c>
      <c r="I294" s="4" t="inlineStr">
        <is>
          <t>2026-09-23T09:47:10.114Z</t>
        </is>
      </c>
      <c r="J294" s="20" t="n">
        <v>0.532</v>
      </c>
      <c r="K294" s="18" t="n">
        <v>99.34999999999999</v>
      </c>
      <c r="L294" s="20" t="n"/>
      <c r="M294" s="4" t="n"/>
      <c r="N294" s="4" t="inlineStr">
        <is>
          <t>out_usd=$99.35; provider=Husher (Best Rate); rate_type=floating; fee_deducted=0.35; network_fee_deducted=0.3; api_receive=99.35000000; eta_s=40; display_decimals=2</t>
        </is>
      </c>
      <c r="O294" s="4" t="inlineStr">
        <is>
          <t>https://www.husher.io/</t>
        </is>
      </c>
    </row>
    <row r="295">
      <c r="A295" s="4" t="inlineStr">
        <is>
          <t>c48a451422d5</t>
        </is>
      </c>
      <c r="B295" s="4" t="inlineStr">
        <is>
          <t>ETH-&gt;SOL</t>
        </is>
      </c>
      <c r="C295" s="4" t="n">
        <v>3</v>
      </c>
      <c r="D295" s="4" t="inlineStr">
        <is>
          <t>Layerswap</t>
        </is>
      </c>
      <c r="E295" s="4" t="inlineStr">
        <is>
          <t>venue</t>
        </is>
      </c>
      <c r="F295" s="4" t="inlineStr">
        <is>
          <t>OK</t>
        </is>
      </c>
      <c r="G295" s="4" t="inlineStr">
        <is>
          <t>2026-09-23T09:47:06.229Z</t>
        </is>
      </c>
      <c r="H295" s="4" t="inlineStr">
        <is>
          <t>2026-09-23T09:47:08.441Z</t>
        </is>
      </c>
      <c r="I295" s="4" t="inlineStr">
        <is>
          <t>2026-09-23T09:47:10.527Z</t>
        </is>
      </c>
      <c r="J295" s="20" t="n">
        <v>1.182</v>
      </c>
      <c r="K295" s="18" t="n">
        <v>99.67346499999999</v>
      </c>
      <c r="L295" s="20" t="n"/>
      <c r="M295" s="4" t="n"/>
      <c r="N295" s="4" t="inlineStr">
        <is>
          <t>out_usd=$99.66; fee_usd=0.33; slippage=0.00%; eta=22 secs; to_token=USDC; to_chain=Solana; display_decimals=6</t>
        </is>
      </c>
      <c r="O295" s="4" t="inlineStr">
        <is>
          <t>https://layerswap.io/app?from=ETHEREUM_MAINNET&amp;to=SOLANA_MAINNET&amp;fromAsset=USDC&amp;toAsset=USDC</t>
        </is>
      </c>
    </row>
    <row r="296">
      <c r="A296" s="4" t="inlineStr">
        <is>
          <t>c48a451422d5</t>
        </is>
      </c>
      <c r="B296" s="4" t="inlineStr">
        <is>
          <t>ETH-&gt;SOL</t>
        </is>
      </c>
      <c r="C296" s="4" t="n">
        <v>3</v>
      </c>
      <c r="D296" s="4" t="inlineStr">
        <is>
          <t>Meson</t>
        </is>
      </c>
      <c r="E296" s="4" t="inlineStr">
        <is>
          <t>venue</t>
        </is>
      </c>
      <c r="F296" s="4" t="inlineStr">
        <is>
          <t>OK</t>
        </is>
      </c>
      <c r="G296" s="4" t="inlineStr">
        <is>
          <t>2026-09-23T09:47:06.233Z</t>
        </is>
      </c>
      <c r="H296" s="4" t="inlineStr">
        <is>
          <t>2026-09-23T09:47:06.514Z</t>
        </is>
      </c>
      <c r="I296" s="4" t="inlineStr">
        <is>
          <t>2026-09-23T09:47:08.642Z</t>
        </is>
      </c>
      <c r="J296" s="20" t="n">
        <v>0.745</v>
      </c>
      <c r="K296" s="18" t="n">
        <v>99.09999999999999</v>
      </c>
      <c r="L296" s="20" t="n">
        <v>0</v>
      </c>
      <c r="M296" s="4" t="n"/>
      <c r="N296" s="4" t="inlineStr">
        <is>
          <t>fees_deducted=[['Fee', 0.9, 'USDC']]; fee_total=0.9; fixed_fee_on_top=0.0; display_decimals=1</t>
        </is>
      </c>
      <c r="O296" s="4" t="inlineStr">
        <is>
          <t>https://meson.fi/swap</t>
        </is>
      </c>
    </row>
    <row r="297">
      <c r="A297" s="4" t="inlineStr">
        <is>
          <t>c48a451422d5</t>
        </is>
      </c>
      <c r="B297" s="4" t="inlineStr">
        <is>
          <t>ETH-&gt;SOL</t>
        </is>
      </c>
      <c r="C297" s="4" t="n">
        <v>3</v>
      </c>
      <c r="D297" s="4" t="inlineStr">
        <is>
          <t>SimpleSwap</t>
        </is>
      </c>
      <c r="E297" s="4" t="inlineStr">
        <is>
          <t>venue</t>
        </is>
      </c>
      <c r="F297" s="4" t="inlineStr">
        <is>
          <t>OK</t>
        </is>
      </c>
      <c r="G297" s="4" t="inlineStr">
        <is>
          <t>2026-09-23T09:47:06.233Z</t>
        </is>
      </c>
      <c r="H297" s="4" t="inlineStr">
        <is>
          <t>2026-09-23T09:47:09.078Z</t>
        </is>
      </c>
      <c r="I297" s="4" t="inlineStr">
        <is>
          <t>2026-09-23T09:47:11.164Z</t>
        </is>
      </c>
      <c r="J297" s="20" t="n">
        <v>1.819</v>
      </c>
      <c r="K297" s="18" t="n">
        <v>98.485152</v>
      </c>
      <c r="L297" s="20" t="n">
        <v>0</v>
      </c>
      <c r="M297" s="4" t="inlineStr">
        <is>
          <t>USDC</t>
        </is>
      </c>
      <c r="N297" s="4" t="inlineStr">
        <is>
          <t>best_card_out=98.485152; selected_card=Best rate / Decentralized; rate_type=floating; fixed_fee_on_top=0.0; fixed_fee_token=USDC; display_decimals=6; small_sum_warning=False</t>
        </is>
      </c>
      <c r="O297" s="4" t="inlineStr">
        <is>
          <t>https://simpleswap.io/?from=usdc-eth&amp;to=usdc-sol</t>
        </is>
      </c>
    </row>
    <row r="298">
      <c r="A298" s="4" t="inlineStr">
        <is>
          <t>c48a451422d5</t>
        </is>
      </c>
      <c r="B298" s="4" t="inlineStr">
        <is>
          <t>ETH-&gt;SOL</t>
        </is>
      </c>
      <c r="C298" s="4" t="n">
        <v>3</v>
      </c>
      <c r="D298" s="4" t="inlineStr">
        <is>
          <t>Skip Go</t>
        </is>
      </c>
      <c r="E298" s="4" t="inlineStr">
        <is>
          <t>venue</t>
        </is>
      </c>
      <c r="F298" s="4" t="inlineStr">
        <is>
          <t>OK</t>
        </is>
      </c>
      <c r="G298" s="4" t="inlineStr">
        <is>
          <t>2026-09-23T09:47:06.231Z</t>
        </is>
      </c>
      <c r="H298" s="4" t="inlineStr">
        <is>
          <t>2026-09-23T09:47:08.658Z</t>
        </is>
      </c>
      <c r="I298" s="4" t="inlineStr">
        <is>
          <t>2026-09-23T09:47:10.833Z</t>
        </is>
      </c>
      <c r="J298" s="20" t="n">
        <v>1.399</v>
      </c>
      <c r="K298" s="18" t="n">
        <v>99.71944999999999</v>
      </c>
      <c r="L298" s="20" t="n"/>
      <c r="M298" s="4" t="n"/>
      <c r="N298" s="4" t="inlineStr">
        <is>
          <t>fees_usd_in_quote=0.28; eta=2 mins; usd_values=['99.99', '99.71']; display_decimals=5</t>
        </is>
      </c>
      <c r="O298" s="4" t="inlineStr">
        <is>
          <t>https://go.skip.build/?src_chain=1&amp;src_asset=0xa0b86991c6218b36c1d19d4a2e9eb0ce3606eb48&amp;dest_chain=solana&amp;dest_asset=EPjFWdd5AufqSSqeM2qN1xzybapC8G4wEGGkZwyTDt1v</t>
        </is>
      </c>
    </row>
    <row r="299">
      <c r="A299" s="4" t="inlineStr">
        <is>
          <t>c48a451422d5</t>
        </is>
      </c>
      <c r="B299" s="4" t="inlineStr">
        <is>
          <t>ETH-&gt;SOL</t>
        </is>
      </c>
      <c r="C299" s="4" t="n">
        <v>3</v>
      </c>
      <c r="D299" s="4" t="inlineStr">
        <is>
          <t>Symbiosis</t>
        </is>
      </c>
      <c r="E299" s="4" t="inlineStr">
        <is>
          <t>venue</t>
        </is>
      </c>
      <c r="F299" s="4" t="inlineStr">
        <is>
          <t>OK</t>
        </is>
      </c>
      <c r="G299" s="4" t="inlineStr">
        <is>
          <t>2026-09-23T09:47:06.230Z</t>
        </is>
      </c>
      <c r="H299" s="4" t="inlineStr">
        <is>
          <t>2026-09-23T09:47:08.729Z</t>
        </is>
      </c>
      <c r="I299" s="4" t="inlineStr">
        <is>
          <t>2026-09-23T09:47:10.833Z</t>
        </is>
      </c>
      <c r="J299" s="20" t="n">
        <v>1.47</v>
      </c>
      <c r="K299" s="18" t="n">
        <v>98.94086299999999</v>
      </c>
      <c r="L299" s="20" t="n">
        <v>0</v>
      </c>
      <c r="M299" s="4" t="n"/>
      <c r="N299" s="4" t="inlineStr">
        <is>
          <t>min_received=98.4461; fee_usd_deducted=1.03; eta=2 - 3 Min; price_impact=0%; slippage=2%; route=Bridge to Solana; fixed_fee_on_top=0.0; display_decimals=6</t>
        </is>
      </c>
      <c r="O299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300">
      <c r="A300" s="4" t="inlineStr">
        <is>
          <t>dfe30ca78a00</t>
        </is>
      </c>
      <c r="B300" s="4" t="inlineStr">
        <is>
          <t>SOL-&gt;BSC</t>
        </is>
      </c>
      <c r="C300" s="4" t="n">
        <v>3</v>
      </c>
      <c r="D300" s="4" t="inlineStr">
        <is>
          <t>Bridg</t>
        </is>
      </c>
      <c r="E300" s="4" t="inlineStr">
        <is>
          <t>bridg</t>
        </is>
      </c>
      <c r="F300" s="4" t="inlineStr">
        <is>
          <t>OK</t>
        </is>
      </c>
      <c r="G300" s="4" t="inlineStr">
        <is>
          <t>2026-09-23T09:47:33.489Z</t>
        </is>
      </c>
      <c r="H300" s="4" t="inlineStr">
        <is>
          <t>2026-09-23T09:47:34.465Z</t>
        </is>
      </c>
      <c r="I300" s="4" t="inlineStr">
        <is>
          <t>2026-09-23T09:47:37.740Z</t>
        </is>
      </c>
      <c r="J300" s="20" t="n"/>
      <c r="K300" s="18" t="n">
        <v>99.82007900000001</v>
      </c>
      <c r="L300" s="20" t="n"/>
      <c r="M300" s="4" t="n"/>
      <c r="N300" s="4" t="inlineStr">
        <is>
          <t>best via Rhino; 9 venues priced; fees [['Rhino fee', 0.079921], ['Bridg fee', 0.1]]</t>
        </is>
      </c>
      <c r="O300" s="4" t="inlineStr">
        <is>
          <t>https://bridg.now/swap/</t>
        </is>
      </c>
    </row>
    <row r="301">
      <c r="A301" s="4" t="inlineStr">
        <is>
          <t>dfe30ca78a00</t>
        </is>
      </c>
      <c r="B301" s="4" t="inlineStr">
        <is>
          <t>SOL-&gt;BSC</t>
        </is>
      </c>
      <c r="C301" s="4" t="n">
        <v>3</v>
      </c>
      <c r="D301" s="4" t="inlineStr">
        <is>
          <t>Relay</t>
        </is>
      </c>
      <c r="E301" s="4" t="inlineStr">
        <is>
          <t>venue</t>
        </is>
      </c>
      <c r="F301" s="4" t="inlineStr">
        <is>
          <t>OK</t>
        </is>
      </c>
      <c r="G301" s="4" t="inlineStr">
        <is>
          <t>2026-09-23T09:47:33.489Z</t>
        </is>
      </c>
      <c r="H301" s="4" t="inlineStr">
        <is>
          <t>2026-09-23T09:47:35.533Z</t>
        </is>
      </c>
      <c r="I301" s="4" t="inlineStr">
        <is>
          <t>2026-09-23T09:47:37.737Z</t>
        </is>
      </c>
      <c r="J301" s="20" t="n">
        <v>1.068</v>
      </c>
      <c r="K301" s="18" t="n">
        <v>99.644547</v>
      </c>
      <c r="L301" s="20" t="n"/>
      <c r="M301" s="4" t="n"/>
      <c r="N301" s="4" t="inlineStr">
        <is>
          <t>rate=0.9964</t>
        </is>
      </c>
      <c r="O301" s="4" t="inlineStr">
        <is>
          <t>https://relay.link/bridge/bsc?fromChainId=792703809&amp;fromCurrency=EPjFWdd5AufqSSqeM2qN1xzybapC8G4wEGGkZwyTDt1v&amp;toCurrency=0x8ac76a51cc950d9822d68b83fe1ad97b32cd580d</t>
        </is>
      </c>
    </row>
    <row r="302">
      <c r="A302" s="4" t="inlineStr">
        <is>
          <t>dfe30ca78a00</t>
        </is>
      </c>
      <c r="B302" s="4" t="inlineStr">
        <is>
          <t>SOL-&gt;BSC</t>
        </is>
      </c>
      <c r="C302" s="4" t="n">
        <v>3</v>
      </c>
      <c r="D302" s="4" t="inlineStr">
        <is>
          <t>deBridge</t>
        </is>
      </c>
      <c r="E302" s="4" t="inlineStr">
        <is>
          <t>venue</t>
        </is>
      </c>
      <c r="F302" s="4" t="inlineStr">
        <is>
          <t>OK</t>
        </is>
      </c>
      <c r="G302" s="4" t="inlineStr">
        <is>
          <t>2026-09-23T09:47:33.489Z</t>
        </is>
      </c>
      <c r="H302" s="4" t="inlineStr">
        <is>
          <t>2026-09-23T09:47:35.534Z</t>
        </is>
      </c>
      <c r="I302" s="4" t="inlineStr">
        <is>
          <t>2026-09-23T09:47:37.738Z</t>
        </is>
      </c>
      <c r="J302" s="20" t="n">
        <v>1.069</v>
      </c>
      <c r="K302" s="18" t="n">
        <v>99.880032</v>
      </c>
      <c r="L302" s="20" t="n">
        <v>1.7779</v>
      </c>
      <c r="M302" s="4" t="inlineStr">
        <is>
          <t>USDC</t>
        </is>
      </c>
      <c r="N302" s="4" t="inlineStr">
        <is>
          <t>fixed_fee_on_top=1.7779; fixed_fee_token=USDC</t>
        </is>
      </c>
      <c r="O302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303">
      <c r="A303" s="4" t="inlineStr">
        <is>
          <t>dfe30ca78a00</t>
        </is>
      </c>
      <c r="B303" s="4" t="inlineStr">
        <is>
          <t>SOL-&gt;BSC</t>
        </is>
      </c>
      <c r="C303" s="4" t="n">
        <v>3</v>
      </c>
      <c r="D303" s="4" t="inlineStr">
        <is>
          <t>LI.FI (Jumper)</t>
        </is>
      </c>
      <c r="E303" s="4" t="inlineStr">
        <is>
          <t>venue</t>
        </is>
      </c>
      <c r="F303" s="4" t="inlineStr">
        <is>
          <t>OK</t>
        </is>
      </c>
      <c r="G303" s="4" t="inlineStr">
        <is>
          <t>2026-09-23T09:47:33.490Z</t>
        </is>
      </c>
      <c r="H303" s="4" t="inlineStr">
        <is>
          <t>2026-09-23T09:47:35.094Z</t>
        </is>
      </c>
      <c r="I303" s="4" t="inlineStr">
        <is>
          <t>2026-09-23T09:47:37.714Z</t>
        </is>
      </c>
      <c r="J303" s="20" t="n">
        <v>0.629</v>
      </c>
      <c r="K303" s="18" t="n">
        <v>99.930665</v>
      </c>
      <c r="L303" s="20" t="n"/>
      <c r="M303" s="4" t="n"/>
      <c r="N303" s="4" t="inlineStr">
        <is>
          <t>best_return_venue=Mayan (Swift); max_out=99.930665</t>
        </is>
      </c>
      <c r="O303" s="4" t="inlineStr">
        <is>
          <t>https://jumper.xyz/?fromChain=1151111081099710&amp;fromToken=EPjFWdd5AufqSSqeM2qN1xzybapC8G4wEGGkZwyTDt1v&amp;toChain=56&amp;toToken=0x8ac76a51cc950d9822d68b83fe1ad97b32cd580d</t>
        </is>
      </c>
    </row>
    <row r="304">
      <c r="A304" s="4" t="inlineStr">
        <is>
          <t>dfe30ca78a00</t>
        </is>
      </c>
      <c r="B304" s="4" t="inlineStr">
        <is>
          <t>SOL-&gt;BSC</t>
        </is>
      </c>
      <c r="C304" s="4" t="n">
        <v>3</v>
      </c>
      <c r="D304" s="4" t="inlineStr">
        <is>
          <t>Across</t>
        </is>
      </c>
      <c r="E304" s="4" t="inlineStr">
        <is>
          <t>venue</t>
        </is>
      </c>
      <c r="F304" s="4" t="inlineStr">
        <is>
          <t>OK</t>
        </is>
      </c>
      <c r="G304" s="4" t="inlineStr">
        <is>
          <t>2026-09-23T09:47:33.489Z</t>
        </is>
      </c>
      <c r="H304" s="4" t="inlineStr">
        <is>
          <t>2026-09-23T09:47:34.790Z</t>
        </is>
      </c>
      <c r="I304" s="4" t="inlineStr">
        <is>
          <t>2026-09-23T09:47:36.914Z</t>
        </is>
      </c>
      <c r="J304" s="20" t="n">
        <v>0.325</v>
      </c>
      <c r="K304" s="18" t="n">
        <v>99.982061</v>
      </c>
      <c r="L304" s="20" t="n"/>
      <c r="M304" s="4" t="n"/>
      <c r="N304" s="4" t="inlineStr"/>
      <c r="O304" s="4" t="inlineStr">
        <is>
          <t>https://across.to/?from=solana&amp;to=bsc&amp;inputToken=USDC&amp;outputToken=USDC</t>
        </is>
      </c>
    </row>
    <row r="305">
      <c r="A305" s="4" t="inlineStr">
        <is>
          <t>dfe30ca78a00</t>
        </is>
      </c>
      <c r="B305" s="4" t="inlineStr">
        <is>
          <t>SOL-&gt;BSC</t>
        </is>
      </c>
      <c r="C305" s="4" t="n">
        <v>3</v>
      </c>
      <c r="D305" s="4" t="inlineStr">
        <is>
          <t>Mayan</t>
        </is>
      </c>
      <c r="E305" s="4" t="inlineStr">
        <is>
          <t>venue</t>
        </is>
      </c>
      <c r="F305" s="4" t="inlineStr">
        <is>
          <t>OK</t>
        </is>
      </c>
      <c r="G305" s="4" t="inlineStr">
        <is>
          <t>2026-09-23T09:47:33.488Z</t>
        </is>
      </c>
      <c r="H305" s="4" t="inlineStr">
        <is>
          <t>2026-09-23T09:47:34.672Z</t>
        </is>
      </c>
      <c r="I305" s="4" t="inlineStr">
        <is>
          <t>2026-09-23T09:47:36.800Z</t>
        </is>
      </c>
      <c r="J305" s="20" t="n">
        <v>0.207</v>
      </c>
      <c r="K305" s="18" t="n">
        <v>99.93000000000001</v>
      </c>
      <c r="L305" s="20" t="n"/>
      <c r="M305" s="4" t="n"/>
      <c r="N305" s="4" t="inlineStr">
        <is>
          <t>mode=Swift v2; eta=3s; display_decimals=2</t>
        </is>
      </c>
      <c r="O305" s="4" t="inlineStr">
        <is>
          <t>https://swap.mayan.finance/</t>
        </is>
      </c>
    </row>
    <row r="306">
      <c r="A306" s="4" t="inlineStr">
        <is>
          <t>dfe30ca78a00</t>
        </is>
      </c>
      <c r="B306" s="4" t="inlineStr">
        <is>
          <t>SOL-&gt;BSC</t>
        </is>
      </c>
      <c r="C306" s="4" t="n">
        <v>3</v>
      </c>
      <c r="D306" s="4" t="inlineStr">
        <is>
          <t>Husher</t>
        </is>
      </c>
      <c r="E306" s="4" t="inlineStr">
        <is>
          <t>venue</t>
        </is>
      </c>
      <c r="F306" s="4" t="inlineStr">
        <is>
          <t>OK</t>
        </is>
      </c>
      <c r="G306" s="4" t="inlineStr">
        <is>
          <t>2026-09-23T09:47:33.491Z</t>
        </is>
      </c>
      <c r="H306" s="4" t="inlineStr">
        <is>
          <t>2026-09-23T09:47:34.780Z</t>
        </is>
      </c>
      <c r="I306" s="4" t="inlineStr">
        <is>
          <t>2026-09-23T09:47:36.916Z</t>
        </is>
      </c>
      <c r="J306" s="20" t="n">
        <v>0.315</v>
      </c>
      <c r="K306" s="18" t="n">
        <v>99.65000000000001</v>
      </c>
      <c r="L306" s="20" t="n"/>
      <c r="M306" s="4" t="n"/>
      <c r="N306" s="4" t="inlineStr">
        <is>
          <t>out_usd=$99.65; provider=Husher (Best Rate); rate_type=floating; fee_deducted=0.35; network_fee_deducted=0.0; api_receive=99.65000000; eta_s=40; display_decimals=2</t>
        </is>
      </c>
      <c r="O306" s="4" t="inlineStr">
        <is>
          <t>https://www.husher.io/</t>
        </is>
      </c>
    </row>
    <row r="307">
      <c r="A307" s="4" t="inlineStr">
        <is>
          <t>dfe30ca78a00</t>
        </is>
      </c>
      <c r="B307" s="4" t="inlineStr">
        <is>
          <t>SOL-&gt;BSC</t>
        </is>
      </c>
      <c r="C307" s="4" t="n">
        <v>3</v>
      </c>
      <c r="D307" s="4" t="inlineStr">
        <is>
          <t>Layerswap</t>
        </is>
      </c>
      <c r="E307" s="4" t="inlineStr">
        <is>
          <t>venue</t>
        </is>
      </c>
      <c r="F307" s="4" t="inlineStr">
        <is>
          <t>OK</t>
        </is>
      </c>
      <c r="G307" s="4" t="inlineStr">
        <is>
          <t>2026-09-23T09:47:33.488Z</t>
        </is>
      </c>
      <c r="H307" s="4" t="inlineStr">
        <is>
          <t>2026-09-23T09:47:35.437Z</t>
        </is>
      </c>
      <c r="I307" s="4" t="inlineStr">
        <is>
          <t>2026-09-23T09:47:37.737Z</t>
        </is>
      </c>
      <c r="J307" s="20" t="n">
        <v>0.972</v>
      </c>
      <c r="K307" s="18" t="n">
        <v>99.86308200000001</v>
      </c>
      <c r="L307" s="20" t="n"/>
      <c r="M307" s="4" t="n"/>
      <c r="N307" s="4" t="inlineStr">
        <is>
          <t>out_usd=$99.85; fee_usd=0.14; slippage=0.00%; eta=3 secs; to_token=USDC; to_chain=BSC; display_decimals=6</t>
        </is>
      </c>
      <c r="O307" s="4" t="inlineStr">
        <is>
          <t>https://layerswap.io/app?from=SOLANA_MAINNET&amp;to=BSC_MAINNET&amp;fromAsset=USDC&amp;toAsset=USDC</t>
        </is>
      </c>
    </row>
    <row r="308">
      <c r="A308" s="4" t="inlineStr">
        <is>
          <t>dfe30ca78a00</t>
        </is>
      </c>
      <c r="B308" s="4" t="inlineStr">
        <is>
          <t>SOL-&gt;BSC</t>
        </is>
      </c>
      <c r="C308" s="4" t="n">
        <v>3</v>
      </c>
      <c r="D308" s="4" t="inlineStr">
        <is>
          <t>Meson</t>
        </is>
      </c>
      <c r="E308" s="4" t="inlineStr">
        <is>
          <t>venue</t>
        </is>
      </c>
      <c r="F308" s="4" t="inlineStr">
        <is>
          <t>OK</t>
        </is>
      </c>
      <c r="G308" s="4" t="inlineStr">
        <is>
          <t>2026-09-23T09:47:33.491Z</t>
        </is>
      </c>
      <c r="H308" s="4" t="inlineStr">
        <is>
          <t>2026-09-23T09:47:33.762Z</t>
        </is>
      </c>
      <c r="I308" s="4" t="inlineStr">
        <is>
          <t>2026-09-23T09:47:35.891Z</t>
        </is>
      </c>
      <c r="J308" s="20" t="n">
        <v>0.703</v>
      </c>
      <c r="K308" s="18" t="n">
        <v>99.88</v>
      </c>
      <c r="L308" s="20" t="n">
        <v>0</v>
      </c>
      <c r="M308" s="4" t="n"/>
      <c r="N308" s="4" t="inlineStr">
        <is>
          <t>fees_deducted=[['Fee', 0.12, 'USDC']]; fee_total=0.12; fixed_fee_on_top=0.0; display_decimals=2</t>
        </is>
      </c>
      <c r="O308" s="4" t="inlineStr">
        <is>
          <t>https://meson.fi/swap</t>
        </is>
      </c>
    </row>
    <row r="309">
      <c r="A309" s="4" t="inlineStr">
        <is>
          <t>dfe30ca78a00</t>
        </is>
      </c>
      <c r="B309" s="4" t="inlineStr">
        <is>
          <t>SOL-&gt;BSC</t>
        </is>
      </c>
      <c r="C309" s="4" t="n">
        <v>3</v>
      </c>
      <c r="D309" s="4" t="inlineStr">
        <is>
          <t>SimpleSwap</t>
        </is>
      </c>
      <c r="E309" s="4" t="inlineStr">
        <is>
          <t>venue</t>
        </is>
      </c>
      <c r="F309" s="4" t="inlineStr">
        <is>
          <t>OK</t>
        </is>
      </c>
      <c r="G309" s="4" t="inlineStr">
        <is>
          <t>2026-09-23T09:47:33.490Z</t>
        </is>
      </c>
      <c r="H309" s="4" t="inlineStr">
        <is>
          <t>2026-09-23T09:47:36.256Z</t>
        </is>
      </c>
      <c r="I309" s="4" t="inlineStr">
        <is>
          <t>2026-09-23T09:47:38.432Z</t>
        </is>
      </c>
      <c r="J309" s="20" t="n">
        <v>1.791</v>
      </c>
      <c r="K309" s="18" t="n">
        <v>98.139</v>
      </c>
      <c r="L309" s="20" t="n">
        <v>0</v>
      </c>
      <c r="M309" s="4" t="inlineStr">
        <is>
          <t>USDC</t>
        </is>
      </c>
      <c r="N309" s="4" t="inlineStr">
        <is>
          <t>best_card_out=98.139; selected_card=Best rate; rate_type=floating; fixed_fee_on_top=0.0; fixed_fee_token=USDC; display_decimals=3; small_sum_warning=False</t>
        </is>
      </c>
      <c r="O309" s="4" t="inlineStr">
        <is>
          <t>https://simpleswap.io/?from=usdc-sol&amp;to=usdc-bsc</t>
        </is>
      </c>
    </row>
    <row r="310">
      <c r="A310" s="4" t="inlineStr">
        <is>
          <t>40e4489bde0f</t>
        </is>
      </c>
      <c r="B310" s="4" t="inlineStr">
        <is>
          <t>BSC-&gt;SOL</t>
        </is>
      </c>
      <c r="C310" s="4" t="n">
        <v>3</v>
      </c>
      <c r="D310" s="4" t="inlineStr">
        <is>
          <t>Bridg</t>
        </is>
      </c>
      <c r="E310" s="4" t="inlineStr">
        <is>
          <t>bridg</t>
        </is>
      </c>
      <c r="F310" s="4" t="inlineStr">
        <is>
          <t>OK</t>
        </is>
      </c>
      <c r="G310" s="4" t="inlineStr">
        <is>
          <t>2026-09-23T09:47:59.250Z</t>
        </is>
      </c>
      <c r="H310" s="4" t="inlineStr">
        <is>
          <t>2026-09-23T09:48:00.204Z</t>
        </is>
      </c>
      <c r="I310" s="4" t="inlineStr">
        <is>
          <t>2026-09-23T09:48:04.045Z</t>
        </is>
      </c>
      <c r="J310" s="20" t="n"/>
      <c r="K310" s="18" t="n">
        <v>99.631328</v>
      </c>
      <c r="L310" s="20" t="n"/>
      <c r="M310" s="4" t="n"/>
      <c r="N310" s="4" t="inlineStr">
        <is>
          <t>best via Mayan; 10 venues priced; fees [['Mayan fee', 0.318672], ['Bridg fee', 0.05]]</t>
        </is>
      </c>
      <c r="O310" s="4" t="inlineStr">
        <is>
          <t>https://bridg.now/swap/</t>
        </is>
      </c>
    </row>
    <row r="311">
      <c r="A311" s="4" t="inlineStr">
        <is>
          <t>40e4489bde0f</t>
        </is>
      </c>
      <c r="B311" s="4" t="inlineStr">
        <is>
          <t>BSC-&gt;SOL</t>
        </is>
      </c>
      <c r="C311" s="4" t="n">
        <v>3</v>
      </c>
      <c r="D311" s="4" t="inlineStr">
        <is>
          <t>Relay</t>
        </is>
      </c>
      <c r="E311" s="4" t="inlineStr">
        <is>
          <t>venue</t>
        </is>
      </c>
      <c r="F311" s="4" t="inlineStr">
        <is>
          <t>OK</t>
        </is>
      </c>
      <c r="G311" s="4" t="inlineStr">
        <is>
          <t>2026-09-23T09:47:59.250Z</t>
        </is>
      </c>
      <c r="H311" s="4" t="inlineStr">
        <is>
          <t>2026-09-23T09:48:01.042Z</t>
        </is>
      </c>
      <c r="I311" s="4" t="inlineStr">
        <is>
          <t>2026-09-23T09:48:03.434Z</t>
        </is>
      </c>
      <c r="J311" s="20" t="n">
        <v>0.838</v>
      </c>
      <c r="K311" s="18" t="n">
        <v>99.885571</v>
      </c>
      <c r="L311" s="20" t="n"/>
      <c r="M311" s="4" t="n"/>
      <c r="N311" s="4" t="inlineStr">
        <is>
          <t>rate=0.9988</t>
        </is>
      </c>
      <c r="O311" s="4" t="inlineStr">
        <is>
          <t>https://relay.link/bridge/solana?fromChainId=56&amp;fromCurrency=0x8ac76a51cc950d9822d68b83fe1ad97b32cd580d&amp;toCurrency=EPjFWdd5AufqSSqeM2qN1xzybapC8G4wEGGkZwyTDt1v</t>
        </is>
      </c>
    </row>
    <row r="312">
      <c r="A312" s="4" t="inlineStr">
        <is>
          <t>40e4489bde0f</t>
        </is>
      </c>
      <c r="B312" s="4" t="inlineStr">
        <is>
          <t>BSC-&gt;SOL</t>
        </is>
      </c>
      <c r="C312" s="4" t="n">
        <v>3</v>
      </c>
      <c r="D312" s="4" t="inlineStr">
        <is>
          <t>deBridge</t>
        </is>
      </c>
      <c r="E312" s="4" t="inlineStr">
        <is>
          <t>venue</t>
        </is>
      </c>
      <c r="F312" s="4" t="inlineStr">
        <is>
          <t>OK</t>
        </is>
      </c>
      <c r="G312" s="4" t="inlineStr">
        <is>
          <t>2026-09-23T09:47:59.250Z</t>
        </is>
      </c>
      <c r="H312" s="4" t="inlineStr">
        <is>
          <t>2026-09-23T09:48:00.536Z</t>
        </is>
      </c>
      <c r="I312" s="4" t="inlineStr">
        <is>
          <t>2026-09-23T09:48:02.670Z</t>
        </is>
      </c>
      <c r="J312" s="20" t="n">
        <v>0.332</v>
      </c>
      <c r="K312" s="18" t="n">
        <v>99.920017</v>
      </c>
      <c r="L312" s="20" t="n">
        <v>1.0437</v>
      </c>
      <c r="M312" s="4" t="inlineStr">
        <is>
          <t>USDC</t>
        </is>
      </c>
      <c r="N312" s="4" t="inlineStr">
        <is>
          <t>fixed_fee_on_top=1.0437; fixed_fee_token=USDC</t>
        </is>
      </c>
      <c r="O312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313">
      <c r="A313" s="4" t="inlineStr">
        <is>
          <t>40e4489bde0f</t>
        </is>
      </c>
      <c r="B313" s="4" t="inlineStr">
        <is>
          <t>BSC-&gt;SOL</t>
        </is>
      </c>
      <c r="C313" s="4" t="n">
        <v>3</v>
      </c>
      <c r="D313" s="4" t="inlineStr">
        <is>
          <t>LI.FI (Jumper)</t>
        </is>
      </c>
      <c r="E313" s="4" t="inlineStr">
        <is>
          <t>venue</t>
        </is>
      </c>
      <c r="F313" s="4" t="inlineStr">
        <is>
          <t>OK</t>
        </is>
      </c>
      <c r="G313" s="4" t="inlineStr">
        <is>
          <t>2026-09-23T09:47:59.251Z</t>
        </is>
      </c>
      <c r="H313" s="4" t="inlineStr">
        <is>
          <t>2026-09-23T09:48:01.318Z</t>
        </is>
      </c>
      <c r="I313" s="4" t="inlineStr">
        <is>
          <t>2026-09-23T09:48:03.403Z</t>
        </is>
      </c>
      <c r="J313" s="20" t="n">
        <v>1.114</v>
      </c>
      <c r="K313" s="18" t="n">
        <v>99.885571</v>
      </c>
      <c r="L313" s="20" t="n"/>
      <c r="M313" s="4" t="n"/>
      <c r="N313" s="4" t="inlineStr">
        <is>
          <t>best_return_venue=Relay; max_out=99.885571</t>
        </is>
      </c>
      <c r="O313" s="4" t="inlineStr">
        <is>
          <t>https://jumper.xyz/?fromChain=56&amp;fromToken=0x8ac76a51cc950d9822d68b83fe1ad97b32cd580d&amp;toChain=1151111081099710&amp;toToken=EPjFWdd5AufqSSqeM2qN1xzybapC8G4wEGGkZwyTDt1v</t>
        </is>
      </c>
    </row>
    <row r="314">
      <c r="A314" s="4" t="inlineStr">
        <is>
          <t>40e4489bde0f</t>
        </is>
      </c>
      <c r="B314" s="4" t="inlineStr">
        <is>
          <t>BSC-&gt;SOL</t>
        </is>
      </c>
      <c r="C314" s="4" t="n">
        <v>3</v>
      </c>
      <c r="D314" s="4" t="inlineStr">
        <is>
          <t>Across</t>
        </is>
      </c>
      <c r="E314" s="4" t="inlineStr">
        <is>
          <t>venue</t>
        </is>
      </c>
      <c r="F314" s="4" t="inlineStr">
        <is>
          <t>OK</t>
        </is>
      </c>
      <c r="G314" s="4" t="inlineStr">
        <is>
          <t>2026-09-23T09:47:59.249Z</t>
        </is>
      </c>
      <c r="H314" s="4" t="inlineStr">
        <is>
          <t>2026-09-23T09:48:00.544Z</t>
        </is>
      </c>
      <c r="I314" s="4" t="inlineStr">
        <is>
          <t>2026-09-23T09:48:02.667Z</t>
        </is>
      </c>
      <c r="J314" s="20" t="n">
        <v>0.34</v>
      </c>
      <c r="K314" s="18" t="n">
        <v>99.982061</v>
      </c>
      <c r="L314" s="20" t="n"/>
      <c r="M314" s="4" t="n"/>
      <c r="N314" s="4" t="inlineStr"/>
      <c r="O314" s="4" t="inlineStr">
        <is>
          <t>https://across.to/?from=bsc&amp;to=solana&amp;inputToken=USDC&amp;outputToken=USDC</t>
        </is>
      </c>
    </row>
    <row r="315">
      <c r="A315" s="4" t="inlineStr">
        <is>
          <t>40e4489bde0f</t>
        </is>
      </c>
      <c r="B315" s="4" t="inlineStr">
        <is>
          <t>BSC-&gt;SOL</t>
        </is>
      </c>
      <c r="C315" s="4" t="n">
        <v>3</v>
      </c>
      <c r="D315" s="4" t="inlineStr">
        <is>
          <t>Mayan</t>
        </is>
      </c>
      <c r="E315" s="4" t="inlineStr">
        <is>
          <t>venue</t>
        </is>
      </c>
      <c r="F315" s="4" t="inlineStr">
        <is>
          <t>OK</t>
        </is>
      </c>
      <c r="G315" s="4" t="inlineStr">
        <is>
          <t>2026-09-23T09:47:59.248Z</t>
        </is>
      </c>
      <c r="H315" s="4" t="inlineStr">
        <is>
          <t>2026-09-23T09:48:00.453Z</t>
        </is>
      </c>
      <c r="I315" s="4" t="inlineStr">
        <is>
          <t>2026-09-23T09:48:02.568Z</t>
        </is>
      </c>
      <c r="J315" s="20" t="n">
        <v>0.249</v>
      </c>
      <c r="K315" s="18" t="n">
        <v>99.681</v>
      </c>
      <c r="L315" s="20" t="n"/>
      <c r="M315" s="4" t="n"/>
      <c r="N315" s="4" t="inlineStr">
        <is>
          <t>mode=Swift v2; eta=3s; display_decimals=3</t>
        </is>
      </c>
      <c r="O315" s="4" t="inlineStr">
        <is>
          <t>https://swap.mayan.finance/</t>
        </is>
      </c>
    </row>
    <row r="316">
      <c r="A316" s="4" t="inlineStr">
        <is>
          <t>40e4489bde0f</t>
        </is>
      </c>
      <c r="B316" s="4" t="inlineStr">
        <is>
          <t>BSC-&gt;SOL</t>
        </is>
      </c>
      <c r="C316" s="4" t="n">
        <v>3</v>
      </c>
      <c r="D316" s="4" t="inlineStr">
        <is>
          <t>Husher</t>
        </is>
      </c>
      <c r="E316" s="4" t="inlineStr">
        <is>
          <t>venue</t>
        </is>
      </c>
      <c r="F316" s="4" t="inlineStr">
        <is>
          <t>OK</t>
        </is>
      </c>
      <c r="G316" s="4" t="inlineStr">
        <is>
          <t>2026-09-23T09:47:59.252Z</t>
        </is>
      </c>
      <c r="H316" s="4" t="inlineStr">
        <is>
          <t>2026-09-23T09:48:00.514Z</t>
        </is>
      </c>
      <c r="I316" s="4" t="inlineStr">
        <is>
          <t>2026-09-23T09:48:02.649Z</t>
        </is>
      </c>
      <c r="J316" s="20" t="n">
        <v>0.31</v>
      </c>
      <c r="K316" s="18" t="n">
        <v>99.34999999999999</v>
      </c>
      <c r="L316" s="20" t="n"/>
      <c r="M316" s="4" t="n"/>
      <c r="N316" s="4" t="inlineStr">
        <is>
          <t>out_usd=$99.35; provider=Husher (Best Rate); rate_type=floating; fee_deducted=0.35; network_fee_deducted=0.3; api_receive=99.35000000; eta_s=40; display_decimals=2</t>
        </is>
      </c>
      <c r="O316" s="4" t="inlineStr">
        <is>
          <t>https://www.husher.io/</t>
        </is>
      </c>
    </row>
    <row r="317">
      <c r="A317" s="4" t="inlineStr">
        <is>
          <t>40e4489bde0f</t>
        </is>
      </c>
      <c r="B317" s="4" t="inlineStr">
        <is>
          <t>BSC-&gt;SOL</t>
        </is>
      </c>
      <c r="C317" s="4" t="n">
        <v>3</v>
      </c>
      <c r="D317" s="4" t="inlineStr">
        <is>
          <t>Layerswap</t>
        </is>
      </c>
      <c r="E317" s="4" t="inlineStr">
        <is>
          <t>venue</t>
        </is>
      </c>
      <c r="F317" s="4" t="inlineStr">
        <is>
          <t>OK</t>
        </is>
      </c>
      <c r="G317" s="4" t="inlineStr">
        <is>
          <t>2026-09-23T09:47:59.249Z</t>
        </is>
      </c>
      <c r="H317" s="4" t="inlineStr">
        <is>
          <t>2026-09-23T09:48:01.486Z</t>
        </is>
      </c>
      <c r="I317" s="4" t="inlineStr">
        <is>
          <t>2026-09-23T09:48:03.739Z</t>
        </is>
      </c>
      <c r="J317" s="20" t="n">
        <v>1.282</v>
      </c>
      <c r="K317" s="18" t="n">
        <v>99.62561100000001</v>
      </c>
      <c r="L317" s="20" t="n"/>
      <c r="M317" s="4" t="n"/>
      <c r="N317" s="4" t="inlineStr">
        <is>
          <t>out_usd=$99.62; fee_usd=0.37; slippage=0.00%; eta=22 secs; to_token=USDC; to_chain=Solana; display_decimals=6</t>
        </is>
      </c>
      <c r="O317" s="4" t="inlineStr">
        <is>
          <t>https://layerswap.io/app?from=BSC_MAINNET&amp;to=SOLANA_MAINNET&amp;fromAsset=USDC&amp;toAsset=USDC</t>
        </is>
      </c>
    </row>
    <row r="318">
      <c r="A318" s="4" t="inlineStr">
        <is>
          <t>40e4489bde0f</t>
        </is>
      </c>
      <c r="B318" s="4" t="inlineStr">
        <is>
          <t>BSC-&gt;SOL</t>
        </is>
      </c>
      <c r="C318" s="4" t="n">
        <v>3</v>
      </c>
      <c r="D318" s="4" t="inlineStr">
        <is>
          <t>Meson</t>
        </is>
      </c>
      <c r="E318" s="4" t="inlineStr">
        <is>
          <t>venue</t>
        </is>
      </c>
      <c r="F318" s="4" t="inlineStr">
        <is>
          <t>OK</t>
        </is>
      </c>
      <c r="G318" s="4" t="inlineStr">
        <is>
          <t>2026-09-23T09:47:59.252Z</t>
        </is>
      </c>
      <c r="H318" s="4" t="inlineStr">
        <is>
          <t>2026-09-23T09:47:59.533Z</t>
        </is>
      </c>
      <c r="I318" s="4" t="inlineStr">
        <is>
          <t>2026-09-23T09:48:01.665Z</t>
        </is>
      </c>
      <c r="J318" s="20" t="n">
        <v>0.671</v>
      </c>
      <c r="K318" s="18" t="n">
        <v>99.59999999999999</v>
      </c>
      <c r="L318" s="20" t="n">
        <v>0</v>
      </c>
      <c r="M318" s="4" t="n"/>
      <c r="N318" s="4" t="inlineStr">
        <is>
          <t>fees_deducted=[['Fee', 0.4, 'USDC']]; fee_total=0.4; fixed_fee_on_top=0.0; display_decimals=1</t>
        </is>
      </c>
      <c r="O318" s="4" t="inlineStr">
        <is>
          <t>https://meson.fi/swap</t>
        </is>
      </c>
    </row>
    <row r="319">
      <c r="A319" s="4" t="inlineStr">
        <is>
          <t>40e4489bde0f</t>
        </is>
      </c>
      <c r="B319" s="4" t="inlineStr">
        <is>
          <t>BSC-&gt;SOL</t>
        </is>
      </c>
      <c r="C319" s="4" t="n">
        <v>3</v>
      </c>
      <c r="D319" s="4" t="inlineStr">
        <is>
          <t>SimpleSwap</t>
        </is>
      </c>
      <c r="E319" s="4" t="inlineStr">
        <is>
          <t>venue</t>
        </is>
      </c>
      <c r="F319" s="4" t="inlineStr">
        <is>
          <t>OK</t>
        </is>
      </c>
      <c r="G319" s="4" t="inlineStr">
        <is>
          <t>2026-09-23T09:47:59.251Z</t>
        </is>
      </c>
      <c r="H319" s="4" t="inlineStr">
        <is>
          <t>2026-09-23T09:48:02.039Z</t>
        </is>
      </c>
      <c r="I319" s="4" t="inlineStr">
        <is>
          <t>2026-09-23T09:48:04.067Z</t>
        </is>
      </c>
      <c r="J319" s="20" t="n">
        <v>1.835</v>
      </c>
      <c r="K319" s="18" t="n">
        <v>98.180301</v>
      </c>
      <c r="L319" s="20" t="n">
        <v>0</v>
      </c>
      <c r="M319" s="4" t="inlineStr">
        <is>
          <t>USDC</t>
        </is>
      </c>
      <c r="N319" s="4" t="inlineStr">
        <is>
          <t>best_card_out=98.180301; selected_card=Best rate; rate_type=floating; fixed_fee_on_top=0.0; fixed_fee_token=USDC; display_decimals=6; small_sum_warning=False</t>
        </is>
      </c>
      <c r="O319" s="4" t="inlineStr">
        <is>
          <t>https://simpleswap.io/?from=usdc-bsc&amp;to=usdc-sol</t>
        </is>
      </c>
    </row>
    <row r="320">
      <c r="A320" s="4" t="inlineStr">
        <is>
          <t>40e4489bde0f</t>
        </is>
      </c>
      <c r="B320" s="4" t="inlineStr">
        <is>
          <t>BSC-&gt;SOL</t>
        </is>
      </c>
      <c r="C320" s="4" t="n">
        <v>3</v>
      </c>
      <c r="D320" s="4" t="inlineStr">
        <is>
          <t>Symbiosis</t>
        </is>
      </c>
      <c r="E320" s="4" t="inlineStr">
        <is>
          <t>venue</t>
        </is>
      </c>
      <c r="F320" s="4" t="inlineStr">
        <is>
          <t>OK</t>
        </is>
      </c>
      <c r="G320" s="4" t="inlineStr">
        <is>
          <t>2026-09-23T09:47:59.250Z</t>
        </is>
      </c>
      <c r="H320" s="4" t="inlineStr">
        <is>
          <t>2026-09-23T09:48:01.939Z</t>
        </is>
      </c>
      <c r="I320" s="4" t="inlineStr">
        <is>
          <t>2026-09-23T09:48:04.044Z</t>
        </is>
      </c>
      <c r="J320" s="20" t="n">
        <v>1.735</v>
      </c>
      <c r="K320" s="18" t="n">
        <v>98.41977300000001</v>
      </c>
      <c r="L320" s="20" t="n">
        <v>0</v>
      </c>
      <c r="M320" s="4" t="n"/>
      <c r="N320" s="4" t="inlineStr">
        <is>
          <t>min_received=97.9276; fee_usd_deducted=1.53; eta=2 - 3 Min; price_impact=0%; slippage=2%; route=Bridge to Arbitrum One; fixed_fee_on_top=0.0; display_decimals=6</t>
        </is>
      </c>
      <c r="O320" s="4" t="inlineStr">
        <is>
          <t>https://app.symbiosis.finance/swap?chainIn=BNB&amp;chainOut=Solana&amp;tokenIn=0x8ac76a51cc950d9822d68b83fe1ad97b32cd580d&amp;tokenOut=0x0000000000000000000000000000000000000003</t>
        </is>
      </c>
    </row>
    <row r="321">
      <c r="A321" s="4" t="inlineStr">
        <is>
          <t>8681b2445738</t>
        </is>
      </c>
      <c r="B321" s="4" t="inlineStr">
        <is>
          <t>SOL-&gt;Base</t>
        </is>
      </c>
      <c r="C321" s="4" t="n">
        <v>3</v>
      </c>
      <c r="D321" s="4" t="inlineStr">
        <is>
          <t>Bridg</t>
        </is>
      </c>
      <c r="E321" s="4" t="inlineStr">
        <is>
          <t>bridg</t>
        </is>
      </c>
      <c r="F321" s="4" t="inlineStr">
        <is>
          <t>OK</t>
        </is>
      </c>
      <c r="G321" s="4" t="inlineStr">
        <is>
          <t>2026-09-23T09:48:26.939Z</t>
        </is>
      </c>
      <c r="H321" s="4" t="inlineStr">
        <is>
          <t>2026-09-23T09:48:28.001Z</t>
        </is>
      </c>
      <c r="I321" s="4" t="inlineStr">
        <is>
          <t>2026-09-23T09:48:31.140Z</t>
        </is>
      </c>
      <c r="J321" s="20" t="n"/>
      <c r="K321" s="18" t="n">
        <v>99.947174</v>
      </c>
      <c r="L321" s="20" t="n"/>
      <c r="M321" s="4" t="n"/>
      <c r="N321" s="4" t="inlineStr">
        <is>
          <t>best via Skip Go; 15 venues priced; fees [['Skip Go fee', 0.002826], ['Bridg fee', 0.05]]</t>
        </is>
      </c>
      <c r="O321" s="4" t="inlineStr">
        <is>
          <t>https://bridg.now/swap/</t>
        </is>
      </c>
    </row>
    <row r="322">
      <c r="A322" s="4" t="inlineStr">
        <is>
          <t>8681b2445738</t>
        </is>
      </c>
      <c r="B322" s="4" t="inlineStr">
        <is>
          <t>SOL-&gt;Base</t>
        </is>
      </c>
      <c r="C322" s="4" t="n">
        <v>3</v>
      </c>
      <c r="D322" s="4" t="inlineStr">
        <is>
          <t>Relay</t>
        </is>
      </c>
      <c r="E322" s="4" t="inlineStr">
        <is>
          <t>venue</t>
        </is>
      </c>
      <c r="F322" s="4" t="inlineStr">
        <is>
          <t>OK</t>
        </is>
      </c>
      <c r="G322" s="4" t="inlineStr">
        <is>
          <t>2026-09-23T09:48:26.939Z</t>
        </is>
      </c>
      <c r="H322" s="4" t="inlineStr">
        <is>
          <t>2026-09-23T09:48:29.052Z</t>
        </is>
      </c>
      <c r="I322" s="4" t="inlineStr">
        <is>
          <t>2026-09-23T09:48:31.138Z</t>
        </is>
      </c>
      <c r="J322" s="20" t="n">
        <v>1.051</v>
      </c>
      <c r="K322" s="18" t="n">
        <v>99.951452</v>
      </c>
      <c r="L322" s="20" t="n"/>
      <c r="M322" s="4" t="n"/>
      <c r="N322" s="4" t="inlineStr">
        <is>
          <t>rate=0.9995</t>
        </is>
      </c>
      <c r="O322" s="4" t="inlineStr">
        <is>
          <t>https://relay.link/bridge/base?fromChainId=792703809&amp;fromCurrency=EPjFWdd5AufqSSqeM2qN1xzybapC8G4wEGGkZwyTDt1v&amp;toCurrency=0x833589fcd6edb6e08f4c7c32d4f71b54bda02913</t>
        </is>
      </c>
    </row>
    <row r="323">
      <c r="A323" s="4" t="inlineStr">
        <is>
          <t>8681b2445738</t>
        </is>
      </c>
      <c r="B323" s="4" t="inlineStr">
        <is>
          <t>SOL-&gt;Base</t>
        </is>
      </c>
      <c r="C323" s="4" t="n">
        <v>3</v>
      </c>
      <c r="D323" s="4" t="inlineStr">
        <is>
          <t>deBridge</t>
        </is>
      </c>
      <c r="E323" s="4" t="inlineStr">
        <is>
          <t>venue</t>
        </is>
      </c>
      <c r="F323" s="4" t="inlineStr">
        <is>
          <t>OK</t>
        </is>
      </c>
      <c r="G323" s="4" t="inlineStr">
        <is>
          <t>2026-09-23T09:48:26.940Z</t>
        </is>
      </c>
      <c r="H323" s="4" t="inlineStr">
        <is>
          <t>2026-09-23T09:48:28.752Z</t>
        </is>
      </c>
      <c r="I323" s="4" t="inlineStr">
        <is>
          <t>2026-09-23T09:48:30.792Z</t>
        </is>
      </c>
      <c r="J323" s="20" t="n">
        <v>0.751</v>
      </c>
      <c r="K323" s="18" t="n">
        <v>99.880033</v>
      </c>
      <c r="L323" s="20" t="n">
        <v>1.5705</v>
      </c>
      <c r="M323" s="4" t="inlineStr">
        <is>
          <t>USDC</t>
        </is>
      </c>
      <c r="N323" s="4" t="inlineStr">
        <is>
          <t>fixed_fee_on_top=1.5705; fixed_fee_token=USDC</t>
        </is>
      </c>
      <c r="O32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4">
      <c r="A324" s="4" t="inlineStr">
        <is>
          <t>8681b2445738</t>
        </is>
      </c>
      <c r="B324" s="4" t="inlineStr">
        <is>
          <t>SOL-&gt;Base</t>
        </is>
      </c>
      <c r="C324" s="4" t="n">
        <v>3</v>
      </c>
      <c r="D324" s="4" t="inlineStr">
        <is>
          <t>LI.FI (Jumper)</t>
        </is>
      </c>
      <c r="E324" s="4" t="inlineStr">
        <is>
          <t>venue</t>
        </is>
      </c>
      <c r="F324" s="4" t="inlineStr">
        <is>
          <t>OK</t>
        </is>
      </c>
      <c r="G324" s="4" t="inlineStr">
        <is>
          <t>2026-09-23T09:48:26.940Z</t>
        </is>
      </c>
      <c r="H324" s="4" t="inlineStr">
        <is>
          <t>2026-09-23T09:48:29.041Z</t>
        </is>
      </c>
      <c r="I324" s="4" t="inlineStr">
        <is>
          <t>2026-09-23T09:48:31.080Z</t>
        </is>
      </c>
      <c r="J324" s="20" t="n">
        <v>1.04</v>
      </c>
      <c r="K324" s="18" t="n">
        <v>100</v>
      </c>
      <c r="L324" s="20" t="n"/>
      <c r="M324" s="4" t="n"/>
      <c r="N324" s="4" t="inlineStr">
        <is>
          <t>best_return_venue=Eco; max_out=100.0</t>
        </is>
      </c>
      <c r="O324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25">
      <c r="A325" s="4" t="inlineStr">
        <is>
          <t>8681b2445738</t>
        </is>
      </c>
      <c r="B325" s="4" t="inlineStr">
        <is>
          <t>SOL-&gt;Base</t>
        </is>
      </c>
      <c r="C325" s="4" t="n">
        <v>3</v>
      </c>
      <c r="D325" s="4" t="inlineStr">
        <is>
          <t>Across</t>
        </is>
      </c>
      <c r="E325" s="4" t="inlineStr">
        <is>
          <t>venue</t>
        </is>
      </c>
      <c r="F325" s="4" t="inlineStr">
        <is>
          <t>OK</t>
        </is>
      </c>
      <c r="G325" s="4" t="inlineStr">
        <is>
          <t>2026-09-23T09:48:26.939Z</t>
        </is>
      </c>
      <c r="H325" s="4" t="inlineStr">
        <is>
          <t>2026-09-23T09:48:27.997Z</t>
        </is>
      </c>
      <c r="I325" s="4" t="inlineStr">
        <is>
          <t>2026-09-23T09:48:30.123Z</t>
        </is>
      </c>
      <c r="J325" s="20" t="n">
        <v>0.004</v>
      </c>
      <c r="K325" s="18" t="n">
        <v>99.98999999999999</v>
      </c>
      <c r="L325" s="20" t="n"/>
      <c r="M325" s="4" t="n"/>
      <c r="N325" s="4" t="inlineStr"/>
      <c r="O325" s="4" t="inlineStr">
        <is>
          <t>https://across.to/?from=solana&amp;to=base&amp;inputToken=USDC&amp;outputToken=USDC</t>
        </is>
      </c>
    </row>
    <row r="326">
      <c r="A326" s="4" t="inlineStr">
        <is>
          <t>8681b2445738</t>
        </is>
      </c>
      <c r="B326" s="4" t="inlineStr">
        <is>
          <t>SOL-&gt;Base</t>
        </is>
      </c>
      <c r="C326" s="4" t="n">
        <v>3</v>
      </c>
      <c r="D326" s="4" t="inlineStr">
        <is>
          <t>Mayan</t>
        </is>
      </c>
      <c r="E326" s="4" t="inlineStr">
        <is>
          <t>venue</t>
        </is>
      </c>
      <c r="F326" s="4" t="inlineStr">
        <is>
          <t>OK</t>
        </is>
      </c>
      <c r="G326" s="4" t="inlineStr">
        <is>
          <t>2026-09-23T09:48:26.938Z</t>
        </is>
      </c>
      <c r="H326" s="4" t="inlineStr">
        <is>
          <t>2026-09-23T09:48:28.250Z</t>
        </is>
      </c>
      <c r="I326" s="4" t="inlineStr">
        <is>
          <t>2026-09-23T09:48:30.373Z</t>
        </is>
      </c>
      <c r="J326" s="20" t="n">
        <v>0.249</v>
      </c>
      <c r="K326" s="18" t="n">
        <v>99.92700000000001</v>
      </c>
      <c r="L326" s="20" t="n"/>
      <c r="M326" s="4" t="n"/>
      <c r="N326" s="4" t="inlineStr">
        <is>
          <t>mode=Swift v2; eta=3s; display_decimals=3</t>
        </is>
      </c>
      <c r="O326" s="4" t="inlineStr">
        <is>
          <t>https://swap.mayan.finance/</t>
        </is>
      </c>
    </row>
    <row r="327">
      <c r="A327" s="4" t="inlineStr">
        <is>
          <t>8681b2445738</t>
        </is>
      </c>
      <c r="B327" s="4" t="inlineStr">
        <is>
          <t>SOL-&gt;Base</t>
        </is>
      </c>
      <c r="C327" s="4" t="n">
        <v>3</v>
      </c>
      <c r="D327" s="4" t="inlineStr">
        <is>
          <t>Allbridge Core</t>
        </is>
      </c>
      <c r="E327" s="4" t="inlineStr">
        <is>
          <t>venue</t>
        </is>
      </c>
      <c r="F327" s="4" t="inlineStr">
        <is>
          <t>OK</t>
        </is>
      </c>
      <c r="G327" s="4" t="inlineStr">
        <is>
          <t>2026-09-23T09:48:26.940Z</t>
        </is>
      </c>
      <c r="H327" s="4" t="inlineStr">
        <is>
          <t>2026-09-23T09:48:28.106Z</t>
        </is>
      </c>
      <c r="I327" s="4" t="inlineStr">
        <is>
          <t>2026-09-23T09:48:30.314Z</t>
        </is>
      </c>
      <c r="J327" s="20" t="n">
        <v>0.105</v>
      </c>
      <c r="K327" s="18" t="n">
        <v>99.90000000000001</v>
      </c>
      <c r="L327" s="20" t="n">
        <v>0.002418</v>
      </c>
      <c r="M327" s="4" t="inlineStr">
        <is>
          <t>SOL (relayer fee, fee=native)</t>
        </is>
      </c>
      <c r="N327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327" s="4" t="inlineStr">
        <is>
          <t>https://core.allbridge.io/?fee=native&amp;ft=USDC&amp;tt=USDC&amp;f=SOL&amp;t=BAS</t>
        </is>
      </c>
    </row>
    <row r="328">
      <c r="A328" s="4" t="inlineStr">
        <is>
          <t>8681b2445738</t>
        </is>
      </c>
      <c r="B328" s="4" t="inlineStr">
        <is>
          <t>SOL-&gt;Base</t>
        </is>
      </c>
      <c r="C328" s="4" t="n">
        <v>3</v>
      </c>
      <c r="D328" s="4" t="inlineStr">
        <is>
          <t>CCTP (via Portal)</t>
        </is>
      </c>
      <c r="E328" s="4" t="inlineStr">
        <is>
          <t>venue</t>
        </is>
      </c>
      <c r="F328" s="4" t="inlineStr">
        <is>
          <t>OK</t>
        </is>
      </c>
      <c r="G328" s="4" t="inlineStr">
        <is>
          <t>2026-09-23T09:48:26.941Z</t>
        </is>
      </c>
      <c r="H328" s="4" t="inlineStr">
        <is>
          <t>2026-09-23T09:48:30.680Z</t>
        </is>
      </c>
      <c r="I328" s="4" t="inlineStr">
        <is>
          <t>2026-09-23T09:48:32.822Z</t>
        </is>
      </c>
      <c r="J328" s="20" t="n">
        <v>2.679</v>
      </c>
      <c r="K328" s="18" t="n">
        <v>99.98999999999999</v>
      </c>
      <c r="L328" s="20" t="n"/>
      <c r="M328" s="4" t="n"/>
      <c r="N328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328" s="4" t="inlineStr">
        <is>
          <t>https://portalbridge.com/usdc-bridge?fromChain=Solana&amp;fromToken=USDC&amp;toChain=Base&amp;toToken=USDC</t>
        </is>
      </c>
    </row>
    <row r="329">
      <c r="A329" s="4" t="inlineStr">
        <is>
          <t>8681b2445738</t>
        </is>
      </c>
      <c r="B329" s="4" t="inlineStr">
        <is>
          <t>SOL-&gt;Base</t>
        </is>
      </c>
      <c r="C329" s="4" t="n">
        <v>3</v>
      </c>
      <c r="D329" s="4" t="inlineStr">
        <is>
          <t>Husher</t>
        </is>
      </c>
      <c r="E329" s="4" t="inlineStr">
        <is>
          <t>venue</t>
        </is>
      </c>
      <c r="F329" s="4" t="inlineStr">
        <is>
          <t>OK</t>
        </is>
      </c>
      <c r="G329" s="4" t="inlineStr">
        <is>
          <t>2026-09-23T09:48:26.941Z</t>
        </is>
      </c>
      <c r="H329" s="4" t="inlineStr">
        <is>
          <t>2026-09-23T09:48:28.160Z</t>
        </is>
      </c>
      <c r="I329" s="4" t="inlineStr">
        <is>
          <t>2026-09-23T09:48:30.287Z</t>
        </is>
      </c>
      <c r="J329" s="20" t="n">
        <v>0.159</v>
      </c>
      <c r="K329" s="18" t="n">
        <v>99.45</v>
      </c>
      <c r="L329" s="20" t="n"/>
      <c r="M329" s="4" t="n"/>
      <c r="N329" s="4" t="inlineStr">
        <is>
          <t>out_usd=$99.45; provider=Husher (Best Rate); rate_type=floating; fee_deducted=0.35; network_fee_deducted=0.2; api_receive=99.45000000; eta_s=40; display_decimals=2</t>
        </is>
      </c>
      <c r="O329" s="4" t="inlineStr">
        <is>
          <t>https://www.husher.io/</t>
        </is>
      </c>
    </row>
    <row r="330">
      <c r="A330" s="4" t="inlineStr">
        <is>
          <t>8681b2445738</t>
        </is>
      </c>
      <c r="B330" s="4" t="inlineStr">
        <is>
          <t>SOL-&gt;Base</t>
        </is>
      </c>
      <c r="C330" s="4" t="n">
        <v>3</v>
      </c>
      <c r="D330" s="4" t="inlineStr">
        <is>
          <t>Layerswap</t>
        </is>
      </c>
      <c r="E330" s="4" t="inlineStr">
        <is>
          <t>venue</t>
        </is>
      </c>
      <c r="F330" s="4" t="inlineStr">
        <is>
          <t>OK</t>
        </is>
      </c>
      <c r="G330" s="4" t="inlineStr">
        <is>
          <t>2026-09-23T09:48:26.938Z</t>
        </is>
      </c>
      <c r="H330" s="4" t="inlineStr">
        <is>
          <t>2026-09-23T09:48:29.363Z</t>
        </is>
      </c>
      <c r="I330" s="4" t="inlineStr">
        <is>
          <t>2026-09-23T09:48:31.446Z</t>
        </is>
      </c>
      <c r="J330" s="20" t="n">
        <v>1.362</v>
      </c>
      <c r="K330" s="18" t="n">
        <v>99.864301</v>
      </c>
      <c r="L330" s="20" t="n"/>
      <c r="M330" s="4" t="n"/>
      <c r="N330" s="4" t="inlineStr">
        <is>
          <t>out_usd=$99.85; fee_usd=0.14; slippage=0.00%; eta=5 secs; to_token=USDC; to_chain=Base; display_decimals=6</t>
        </is>
      </c>
      <c r="O330" s="4" t="inlineStr">
        <is>
          <t>https://layerswap.io/app?from=SOLANA_MAINNET&amp;to=BASE_MAINNET&amp;fromAsset=USDC&amp;toAsset=USDC</t>
        </is>
      </c>
    </row>
    <row r="331">
      <c r="A331" s="4" t="inlineStr">
        <is>
          <t>8681b2445738</t>
        </is>
      </c>
      <c r="B331" s="4" t="inlineStr">
        <is>
          <t>SOL-&gt;Base</t>
        </is>
      </c>
      <c r="C331" s="4" t="n">
        <v>3</v>
      </c>
      <c r="D331" s="4" t="inlineStr">
        <is>
          <t>Meson</t>
        </is>
      </c>
      <c r="E331" s="4" t="inlineStr">
        <is>
          <t>venue</t>
        </is>
      </c>
      <c r="F331" s="4" t="inlineStr">
        <is>
          <t>OK</t>
        </is>
      </c>
      <c r="G331" s="4" t="inlineStr">
        <is>
          <t>2026-09-23T09:48:26.942Z</t>
        </is>
      </c>
      <c r="H331" s="4" t="inlineStr">
        <is>
          <t>2026-09-23T09:48:27.305Z</t>
        </is>
      </c>
      <c r="I331" s="4" t="inlineStr">
        <is>
          <t>2026-09-23T09:48:29.445Z</t>
        </is>
      </c>
      <c r="J331" s="20" t="n">
        <v>0.696</v>
      </c>
      <c r="K331" s="18" t="n">
        <v>99.86</v>
      </c>
      <c r="L331" s="20" t="n">
        <v>0</v>
      </c>
      <c r="M331" s="4" t="n"/>
      <c r="N331" s="4" t="inlineStr">
        <is>
          <t>fees_deducted=[['Fee', 0.14, 'USDC']]; fee_total=0.14; fixed_fee_on_top=0.0; display_decimals=2</t>
        </is>
      </c>
      <c r="O331" s="4" t="inlineStr">
        <is>
          <t>https://meson.fi/swap</t>
        </is>
      </c>
    </row>
    <row r="332">
      <c r="A332" s="4" t="inlineStr">
        <is>
          <t>8681b2445738</t>
        </is>
      </c>
      <c r="B332" s="4" t="inlineStr">
        <is>
          <t>SOL-&gt;Base</t>
        </is>
      </c>
      <c r="C332" s="4" t="n">
        <v>3</v>
      </c>
      <c r="D332" s="4" t="inlineStr">
        <is>
          <t>SimpleSwap</t>
        </is>
      </c>
      <c r="E332" s="4" t="inlineStr">
        <is>
          <t>venue</t>
        </is>
      </c>
      <c r="F332" s="4" t="inlineStr">
        <is>
          <t>OK</t>
        </is>
      </c>
      <c r="G332" s="4" t="inlineStr">
        <is>
          <t>2026-09-23T09:48:26.942Z</t>
        </is>
      </c>
      <c r="H332" s="4" t="inlineStr">
        <is>
          <t>2026-09-23T09:48:30.057Z</t>
        </is>
      </c>
      <c r="I332" s="4" t="inlineStr">
        <is>
          <t>2026-09-23T09:48:32.084Z</t>
        </is>
      </c>
      <c r="J332" s="20" t="n">
        <v>2.056</v>
      </c>
      <c r="K332" s="18" t="n">
        <v>98.494293</v>
      </c>
      <c r="L332" s="20" t="n">
        <v>0</v>
      </c>
      <c r="M332" s="4" t="inlineStr">
        <is>
          <t>USDC</t>
        </is>
      </c>
      <c r="N332" s="4" t="inlineStr">
        <is>
          <t>best_card_out=98.494293; selected_card=Best rate / Decentralized; rate_type=floating; fixed_fee_on_top=0.0; fixed_fee_token=USDC; display_decimals=6; small_sum_warning=False</t>
        </is>
      </c>
      <c r="O332" s="4" t="inlineStr">
        <is>
          <t>https://simpleswap.io/?from=usdc-sol&amp;to=usdc-base</t>
        </is>
      </c>
    </row>
    <row r="333">
      <c r="A333" s="4" t="inlineStr">
        <is>
          <t>8681b2445738</t>
        </is>
      </c>
      <c r="B333" s="4" t="inlineStr">
        <is>
          <t>SOL-&gt;Base</t>
        </is>
      </c>
      <c r="C333" s="4" t="n">
        <v>3</v>
      </c>
      <c r="D333" s="4" t="inlineStr">
        <is>
          <t>Skip Go</t>
        </is>
      </c>
      <c r="E333" s="4" t="inlineStr">
        <is>
          <t>venue</t>
        </is>
      </c>
      <c r="F333" s="4" t="inlineStr">
        <is>
          <t>OK</t>
        </is>
      </c>
      <c r="G333" s="4" t="inlineStr">
        <is>
          <t>2026-09-23T09:48:26.939Z</t>
        </is>
      </c>
      <c r="H333" s="4" t="inlineStr">
        <is>
          <t>2026-09-23T09:48:29.232Z</t>
        </is>
      </c>
      <c r="I333" s="4" t="inlineStr">
        <is>
          <t>2026-09-23T09:48:31.445Z</t>
        </is>
      </c>
      <c r="J333" s="20" t="n">
        <v>1.231</v>
      </c>
      <c r="K333" s="18" t="n">
        <v>99.98517</v>
      </c>
      <c r="L333" s="20" t="n"/>
      <c r="M333" s="4" t="n"/>
      <c r="N333" s="4" t="inlineStr">
        <is>
          <t>fees_usd_in_quote=0.02; eta=30 secs; usd_values=['99.99', '99.98']; display_decimals=5</t>
        </is>
      </c>
      <c r="O333" s="4" t="inlineStr">
        <is>
          <t>https://go.skip.build/?src_chain=solana&amp;src_asset=EPjFWdd5AufqSSqeM2qN1xzybapC8G4wEGGkZwyTDt1v&amp;dest_chain=8453&amp;dest_asset=0x833589fcd6edb6e08f4c7c32d4f71b54bda02913</t>
        </is>
      </c>
    </row>
    <row r="334">
      <c r="A334" s="4" t="inlineStr">
        <is>
          <t>7e381f71c289</t>
        </is>
      </c>
      <c r="B334" s="4" t="inlineStr">
        <is>
          <t>Base-&gt;SOL</t>
        </is>
      </c>
      <c r="C334" s="4" t="n">
        <v>3</v>
      </c>
      <c r="D334" s="4" t="inlineStr">
        <is>
          <t>Bridg</t>
        </is>
      </c>
      <c r="E334" s="4" t="inlineStr">
        <is>
          <t>bridg</t>
        </is>
      </c>
      <c r="F334" s="4" t="inlineStr">
        <is>
          <t>OK</t>
        </is>
      </c>
      <c r="G334" s="4" t="inlineStr">
        <is>
          <t>2026-09-23T09:48:54.108Z</t>
        </is>
      </c>
      <c r="H334" s="4" t="inlineStr">
        <is>
          <t>2026-09-23T09:48:54.951Z</t>
        </is>
      </c>
      <c r="I334" s="4" t="inlineStr">
        <is>
          <t>2026-09-23T09:48:58.712Z</t>
        </is>
      </c>
      <c r="J334" s="20" t="n"/>
      <c r="K334" s="18" t="n">
        <v>99.85005</v>
      </c>
      <c r="L334" s="20" t="n"/>
      <c r="M334" s="4" t="n"/>
      <c r="N334" s="4" t="inlineStr">
        <is>
          <t>best via Allbridge Core; 15 venues priced; fees [['Allbridge Core fee', 0.09995], ['Bridg fee', 0.05]]</t>
        </is>
      </c>
      <c r="O334" s="4" t="inlineStr">
        <is>
          <t>https://bridg.now/swap/</t>
        </is>
      </c>
    </row>
    <row r="335">
      <c r="A335" s="4" t="inlineStr">
        <is>
          <t>7e381f71c289</t>
        </is>
      </c>
      <c r="B335" s="4" t="inlineStr">
        <is>
          <t>Base-&gt;SOL</t>
        </is>
      </c>
      <c r="C335" s="4" t="n">
        <v>3</v>
      </c>
      <c r="D335" s="4" t="inlineStr">
        <is>
          <t>Relay</t>
        </is>
      </c>
      <c r="E335" s="4" t="inlineStr">
        <is>
          <t>venue</t>
        </is>
      </c>
      <c r="F335" s="4" t="inlineStr">
        <is>
          <t>OK</t>
        </is>
      </c>
      <c r="G335" s="4" t="inlineStr">
        <is>
          <t>2026-09-23T09:48:54.108Z</t>
        </is>
      </c>
      <c r="H335" s="4" t="inlineStr">
        <is>
          <t>2026-09-23T09:48:56.029Z</t>
        </is>
      </c>
      <c r="I335" s="4" t="inlineStr">
        <is>
          <t>2026-09-23T09:48:58.403Z</t>
        </is>
      </c>
      <c r="J335" s="20" t="n">
        <v>1.078</v>
      </c>
      <c r="K335" s="18" t="n">
        <v>99.94557</v>
      </c>
      <c r="L335" s="20" t="n"/>
      <c r="M335" s="4" t="n"/>
      <c r="N335" s="4" t="inlineStr">
        <is>
          <t>rate=0.9994</t>
        </is>
      </c>
      <c r="O335" s="4" t="inlineStr">
        <is>
          <t>https://relay.link/bridge/solana?fromChainId=8453&amp;fromCurrency=0x833589fcd6edb6e08f4c7c32d4f71b54bda02913&amp;toCurrency=EPjFWdd5AufqSSqeM2qN1xzybapC8G4wEGGkZwyTDt1v</t>
        </is>
      </c>
    </row>
    <row r="336">
      <c r="A336" s="4" t="inlineStr">
        <is>
          <t>7e381f71c289</t>
        </is>
      </c>
      <c r="B336" s="4" t="inlineStr">
        <is>
          <t>Base-&gt;SOL</t>
        </is>
      </c>
      <c r="C336" s="4" t="n">
        <v>3</v>
      </c>
      <c r="D336" s="4" t="inlineStr">
        <is>
          <t>deBridge</t>
        </is>
      </c>
      <c r="E336" s="4" t="inlineStr">
        <is>
          <t>venue</t>
        </is>
      </c>
      <c r="F336" s="4" t="inlineStr">
        <is>
          <t>OK</t>
        </is>
      </c>
      <c r="G336" s="4" t="inlineStr">
        <is>
          <t>2026-09-23T09:48:54.108Z</t>
        </is>
      </c>
      <c r="H336" s="4" t="inlineStr">
        <is>
          <t>2026-09-23T09:48:55.527Z</t>
        </is>
      </c>
      <c r="I336" s="4" t="inlineStr">
        <is>
          <t>2026-09-23T09:48:57.662Z</t>
        </is>
      </c>
      <c r="J336" s="20" t="n">
        <v>0.576</v>
      </c>
      <c r="K336" s="18" t="n">
        <v>99.920018</v>
      </c>
      <c r="L336" s="20" t="n">
        <v>1.0412</v>
      </c>
      <c r="M336" s="4" t="inlineStr">
        <is>
          <t>USDC</t>
        </is>
      </c>
      <c r="N336" s="4" t="inlineStr">
        <is>
          <t>fixed_fee_on_top=1.0412; fixed_fee_token=USDC</t>
        </is>
      </c>
      <c r="O336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37">
      <c r="A337" s="4" t="inlineStr">
        <is>
          <t>7e381f71c289</t>
        </is>
      </c>
      <c r="B337" s="4" t="inlineStr">
        <is>
          <t>Base-&gt;SOL</t>
        </is>
      </c>
      <c r="C337" s="4" t="n">
        <v>3</v>
      </c>
      <c r="D337" s="4" t="inlineStr">
        <is>
          <t>LI.FI (Jumper)</t>
        </is>
      </c>
      <c r="E337" s="4" t="inlineStr">
        <is>
          <t>venue</t>
        </is>
      </c>
      <c r="F337" s="4" t="inlineStr">
        <is>
          <t>OK</t>
        </is>
      </c>
      <c r="G337" s="4" t="inlineStr">
        <is>
          <t>2026-09-23T09:48:54.110Z</t>
        </is>
      </c>
      <c r="H337" s="4" t="inlineStr">
        <is>
          <t>2026-09-23T09:48:56.300Z</t>
        </is>
      </c>
      <c r="I337" s="4" t="inlineStr">
        <is>
          <t>2026-09-23T09:48:58.369Z</t>
        </is>
      </c>
      <c r="J337" s="20" t="n">
        <v>1.349</v>
      </c>
      <c r="K337" s="18" t="n">
        <v>100</v>
      </c>
      <c r="L337" s="20" t="n"/>
      <c r="M337" s="4" t="n"/>
      <c r="N337" s="4" t="inlineStr">
        <is>
          <t>best_return_venue=Polymer (Standard); max_out=100.0</t>
        </is>
      </c>
      <c r="O337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38">
      <c r="A338" s="4" t="inlineStr">
        <is>
          <t>7e381f71c289</t>
        </is>
      </c>
      <c r="B338" s="4" t="inlineStr">
        <is>
          <t>Base-&gt;SOL</t>
        </is>
      </c>
      <c r="C338" s="4" t="n">
        <v>3</v>
      </c>
      <c r="D338" s="4" t="inlineStr">
        <is>
          <t>Across</t>
        </is>
      </c>
      <c r="E338" s="4" t="inlineStr">
        <is>
          <t>venue</t>
        </is>
      </c>
      <c r="F338" s="4" t="inlineStr">
        <is>
          <t>OK</t>
        </is>
      </c>
      <c r="G338" s="4" t="inlineStr">
        <is>
          <t>2026-09-23T09:48:54.107Z</t>
        </is>
      </c>
      <c r="H338" s="4" t="inlineStr">
        <is>
          <t>2026-09-23T09:48:55.257Z</t>
        </is>
      </c>
      <c r="I338" s="4" t="inlineStr">
        <is>
          <t>2026-09-23T09:48:57.393Z</t>
        </is>
      </c>
      <c r="J338" s="20" t="n">
        <v>0.306</v>
      </c>
      <c r="K338" s="18" t="n">
        <v>99.98699999999999</v>
      </c>
      <c r="L338" s="20" t="n"/>
      <c r="M338" s="4" t="n"/>
      <c r="N338" s="4" t="inlineStr"/>
      <c r="O338" s="4" t="inlineStr">
        <is>
          <t>https://across.to/?from=base&amp;to=solana&amp;inputToken=USDC&amp;outputToken=USDC</t>
        </is>
      </c>
    </row>
    <row r="339">
      <c r="A339" s="4" t="inlineStr">
        <is>
          <t>7e381f71c289</t>
        </is>
      </c>
      <c r="B339" s="4" t="inlineStr">
        <is>
          <t>Base-&gt;SOL</t>
        </is>
      </c>
      <c r="C339" s="4" t="n">
        <v>3</v>
      </c>
      <c r="D339" s="4" t="inlineStr">
        <is>
          <t>Mayan</t>
        </is>
      </c>
      <c r="E339" s="4" t="inlineStr">
        <is>
          <t>venue</t>
        </is>
      </c>
      <c r="F339" s="4" t="inlineStr">
        <is>
          <t>OK</t>
        </is>
      </c>
      <c r="G339" s="4" t="inlineStr">
        <is>
          <t>2026-09-23T09:48:54.107Z</t>
        </is>
      </c>
      <c r="H339" s="4" t="inlineStr">
        <is>
          <t>2026-09-23T09:48:55.655Z</t>
        </is>
      </c>
      <c r="I339" s="4" t="inlineStr">
        <is>
          <t>2026-09-23T09:48:57.967Z</t>
        </is>
      </c>
      <c r="J339" s="20" t="n">
        <v>0.704</v>
      </c>
      <c r="K339" s="18" t="n">
        <v>99.68000000000001</v>
      </c>
      <c r="L339" s="20" t="n"/>
      <c r="M339" s="4" t="n"/>
      <c r="N339" s="4" t="inlineStr">
        <is>
          <t>mode=Swift v2; eta=3s; display_decimals=2</t>
        </is>
      </c>
      <c r="O339" s="4" t="inlineStr">
        <is>
          <t>https://swap.mayan.finance/</t>
        </is>
      </c>
    </row>
    <row r="340">
      <c r="A340" s="4" t="inlineStr">
        <is>
          <t>7e381f71c289</t>
        </is>
      </c>
      <c r="B340" s="4" t="inlineStr">
        <is>
          <t>Base-&gt;SOL</t>
        </is>
      </c>
      <c r="C340" s="4" t="n">
        <v>3</v>
      </c>
      <c r="D340" s="4" t="inlineStr">
        <is>
          <t>Allbridge Core</t>
        </is>
      </c>
      <c r="E340" s="4" t="inlineStr">
        <is>
          <t>venue</t>
        </is>
      </c>
      <c r="F340" s="4" t="inlineStr">
        <is>
          <t>OK</t>
        </is>
      </c>
      <c r="G340" s="4" t="inlineStr">
        <is>
          <t>2026-09-23T09:48:54.110Z</t>
        </is>
      </c>
      <c r="H340" s="4" t="inlineStr">
        <is>
          <t>2026-09-23T09:48:55.306Z</t>
        </is>
      </c>
      <c r="I340" s="4" t="inlineStr">
        <is>
          <t>2026-09-23T09:48:57.556Z</t>
        </is>
      </c>
      <c r="J340" s="20" t="n">
        <v>0.355</v>
      </c>
      <c r="K340" s="18" t="n">
        <v>99.90000000000001</v>
      </c>
      <c r="L340" s="20" t="n">
        <v>0.000136</v>
      </c>
      <c r="M340" s="4" t="inlineStr">
        <is>
          <t>ETH (relayer fee, fee=native)</t>
        </is>
      </c>
      <c r="N340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340" s="4" t="inlineStr">
        <is>
          <t>https://core.allbridge.io/?fee=native&amp;ft=USDC&amp;tt=USDC&amp;f=BAS&amp;t=SOL</t>
        </is>
      </c>
    </row>
    <row r="341">
      <c r="A341" s="4" t="inlineStr">
        <is>
          <t>7e381f71c289</t>
        </is>
      </c>
      <c r="B341" s="4" t="inlineStr">
        <is>
          <t>Base-&gt;SOL</t>
        </is>
      </c>
      <c r="C341" s="4" t="n">
        <v>3</v>
      </c>
      <c r="D341" s="4" t="inlineStr">
        <is>
          <t>CCTP (via Portal)</t>
        </is>
      </c>
      <c r="E341" s="4" t="inlineStr">
        <is>
          <t>venue</t>
        </is>
      </c>
      <c r="F341" s="4" t="inlineStr">
        <is>
          <t>OK</t>
        </is>
      </c>
      <c r="G341" s="4" t="inlineStr">
        <is>
          <t>2026-09-23T09:48:54.111Z</t>
        </is>
      </c>
      <c r="H341" s="4" t="inlineStr">
        <is>
          <t>2026-09-23T09:48:57.718Z</t>
        </is>
      </c>
      <c r="I341" s="4" t="inlineStr">
        <is>
          <t>2026-09-23T09:49:00.095Z</t>
        </is>
      </c>
      <c r="J341" s="20" t="n">
        <v>2.767</v>
      </c>
      <c r="K341" s="18" t="n">
        <v>99.977001</v>
      </c>
      <c r="L341" s="20" t="n"/>
      <c r="M341" s="4" t="n"/>
      <c r="N341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341" s="4" t="inlineStr">
        <is>
          <t>https://portalbridge.com/usdc-bridge?fromChain=Base&amp;fromToken=USDC&amp;toChain=Solana&amp;toToken=USDC</t>
        </is>
      </c>
    </row>
    <row r="342">
      <c r="A342" s="4" t="inlineStr">
        <is>
          <t>7e381f71c289</t>
        </is>
      </c>
      <c r="B342" s="4" t="inlineStr">
        <is>
          <t>Base-&gt;SOL</t>
        </is>
      </c>
      <c r="C342" s="4" t="n">
        <v>3</v>
      </c>
      <c r="D342" s="4" t="inlineStr">
        <is>
          <t>Husher</t>
        </is>
      </c>
      <c r="E342" s="4" t="inlineStr">
        <is>
          <t>venue</t>
        </is>
      </c>
      <c r="F342" s="4" t="inlineStr">
        <is>
          <t>OK</t>
        </is>
      </c>
      <c r="G342" s="4" t="inlineStr">
        <is>
          <t>2026-09-23T09:48:54.111Z</t>
        </is>
      </c>
      <c r="H342" s="4" t="inlineStr">
        <is>
          <t>2026-09-23T09:48:55.449Z</t>
        </is>
      </c>
      <c r="I342" s="4" t="inlineStr">
        <is>
          <t>2026-09-23T09:48:57.588Z</t>
        </is>
      </c>
      <c r="J342" s="20" t="n">
        <v>0.498</v>
      </c>
      <c r="K342" s="18" t="n">
        <v>99.34999999999999</v>
      </c>
      <c r="L342" s="20" t="n"/>
      <c r="M342" s="4" t="n"/>
      <c r="N342" s="4" t="inlineStr">
        <is>
          <t>out_usd=$99.35; provider=Husher (Best Rate); rate_type=floating; fee_deducted=0.35; network_fee_deducted=0.3; api_receive=99.35000000; eta_s=40; display_decimals=2</t>
        </is>
      </c>
      <c r="O342" s="4" t="inlineStr">
        <is>
          <t>https://www.husher.io/</t>
        </is>
      </c>
    </row>
    <row r="343">
      <c r="A343" s="4" t="inlineStr">
        <is>
          <t>7e381f71c289</t>
        </is>
      </c>
      <c r="B343" s="4" t="inlineStr">
        <is>
          <t>Base-&gt;SOL</t>
        </is>
      </c>
      <c r="C343" s="4" t="n">
        <v>3</v>
      </c>
      <c r="D343" s="4" t="inlineStr">
        <is>
          <t>Layerswap</t>
        </is>
      </c>
      <c r="E343" s="4" t="inlineStr">
        <is>
          <t>venue</t>
        </is>
      </c>
      <c r="F343" s="4" t="inlineStr">
        <is>
          <t>OK</t>
        </is>
      </c>
      <c r="G343" s="4" t="inlineStr">
        <is>
          <t>2026-09-23T09:48:54.107Z</t>
        </is>
      </c>
      <c r="H343" s="4" t="inlineStr">
        <is>
          <t>2026-09-23T09:48:56.211Z</t>
        </is>
      </c>
      <c r="I343" s="4" t="inlineStr">
        <is>
          <t>2026-09-23T09:48:58.404Z</t>
        </is>
      </c>
      <c r="J343" s="20" t="n">
        <v>1.26</v>
      </c>
      <c r="K343" s="18" t="n">
        <v>99.673486</v>
      </c>
      <c r="L343" s="20" t="n"/>
      <c r="M343" s="4" t="n"/>
      <c r="N343" s="4" t="inlineStr">
        <is>
          <t>out_usd=$99.66; fee_usd=0.33; slippage=0.00%; eta=22 secs; to_token=USDC; to_chain=Solana; display_decimals=6</t>
        </is>
      </c>
      <c r="O343" s="4" t="inlineStr">
        <is>
          <t>https://layerswap.io/app?from=BASE_MAINNET&amp;to=SOLANA_MAINNET&amp;fromAsset=USDC&amp;toAsset=USDC</t>
        </is>
      </c>
    </row>
    <row r="344">
      <c r="A344" s="4" t="inlineStr">
        <is>
          <t>7e381f71c289</t>
        </is>
      </c>
      <c r="B344" s="4" t="inlineStr">
        <is>
          <t>Base-&gt;SOL</t>
        </is>
      </c>
      <c r="C344" s="4" t="n">
        <v>3</v>
      </c>
      <c r="D344" s="4" t="inlineStr">
        <is>
          <t>Meson</t>
        </is>
      </c>
      <c r="E344" s="4" t="inlineStr">
        <is>
          <t>venue</t>
        </is>
      </c>
      <c r="F344" s="4" t="inlineStr">
        <is>
          <t>OK</t>
        </is>
      </c>
      <c r="G344" s="4" t="inlineStr">
        <is>
          <t>2026-09-23T09:48:54.112Z</t>
        </is>
      </c>
      <c r="H344" s="4" t="inlineStr">
        <is>
          <t>2026-09-23T09:48:54.509Z</t>
        </is>
      </c>
      <c r="I344" s="4" t="inlineStr">
        <is>
          <t>2026-09-23T09:48:56.641Z</t>
        </is>
      </c>
      <c r="J344" s="20" t="n">
        <v>0.442</v>
      </c>
      <c r="K344" s="18" t="n">
        <v>99.59999999999999</v>
      </c>
      <c r="L344" s="20" t="n">
        <v>0</v>
      </c>
      <c r="M344" s="4" t="n"/>
      <c r="N344" s="4" t="inlineStr">
        <is>
          <t>fees_deducted=[['Fee', 0.4, 'USDC']]; fee_total=0.4; fixed_fee_on_top=0.0; display_decimals=1</t>
        </is>
      </c>
      <c r="O344" s="4" t="inlineStr">
        <is>
          <t>https://meson.fi/swap</t>
        </is>
      </c>
    </row>
    <row r="345">
      <c r="A345" s="4" t="inlineStr">
        <is>
          <t>7e381f71c289</t>
        </is>
      </c>
      <c r="B345" s="4" t="inlineStr">
        <is>
          <t>Base-&gt;SOL</t>
        </is>
      </c>
      <c r="C345" s="4" t="n">
        <v>3</v>
      </c>
      <c r="D345" s="4" t="inlineStr">
        <is>
          <t>SimpleSwap</t>
        </is>
      </c>
      <c r="E345" s="4" t="inlineStr">
        <is>
          <t>venue</t>
        </is>
      </c>
      <c r="F345" s="4" t="inlineStr">
        <is>
          <t>OK</t>
        </is>
      </c>
      <c r="G345" s="4" t="inlineStr">
        <is>
          <t>2026-09-23T09:48:54.111Z</t>
        </is>
      </c>
      <c r="H345" s="4" t="inlineStr">
        <is>
          <t>2026-09-23T09:48:57.089Z</t>
        </is>
      </c>
      <c r="I345" s="4" t="inlineStr">
        <is>
          <t>2026-09-23T09:48:59.369Z</t>
        </is>
      </c>
      <c r="J345" s="20" t="n">
        <v>2.138</v>
      </c>
      <c r="K345" s="18" t="n">
        <v>98.49063200000001</v>
      </c>
      <c r="L345" s="20" t="n">
        <v>0</v>
      </c>
      <c r="M345" s="4" t="inlineStr">
        <is>
          <t>USDC</t>
        </is>
      </c>
      <c r="N345" s="4" t="inlineStr">
        <is>
          <t>best_card_out=98.490632; selected_card=Best rate / Decentralized; rate_type=floating; fixed_fee_on_top=0.0; fixed_fee_token=USDC; display_decimals=6; small_sum_warning=False</t>
        </is>
      </c>
      <c r="O345" s="4" t="inlineStr">
        <is>
          <t>https://simpleswap.io/?from=usdc-base&amp;to=usdc-sol</t>
        </is>
      </c>
    </row>
    <row r="346">
      <c r="A346" s="4" t="inlineStr">
        <is>
          <t>7e381f71c289</t>
        </is>
      </c>
      <c r="B346" s="4" t="inlineStr">
        <is>
          <t>Base-&gt;SOL</t>
        </is>
      </c>
      <c r="C346" s="4" t="n">
        <v>3</v>
      </c>
      <c r="D346" s="4" t="inlineStr">
        <is>
          <t>Skip Go</t>
        </is>
      </c>
      <c r="E346" s="4" t="inlineStr">
        <is>
          <t>venue</t>
        </is>
      </c>
      <c r="F346" s="4" t="inlineStr">
        <is>
          <t>OK</t>
        </is>
      </c>
      <c r="G346" s="4" t="inlineStr">
        <is>
          <t>2026-09-23T09:48:54.108Z</t>
        </is>
      </c>
      <c r="H346" s="4" t="inlineStr">
        <is>
          <t>2026-09-23T09:48:56.033Z</t>
        </is>
      </c>
      <c r="I346" s="4" t="inlineStr">
        <is>
          <t>2026-09-23T09:48:58.405Z</t>
        </is>
      </c>
      <c r="J346" s="20" t="n">
        <v>1.082</v>
      </c>
      <c r="K346" s="18" t="n">
        <v>99.71585</v>
      </c>
      <c r="L346" s="20" t="n"/>
      <c r="M346" s="4" t="n"/>
      <c r="N346" s="4" t="inlineStr">
        <is>
          <t>fees_usd_in_quote=0.29; eta=2 mins; usd_values=['99.99', '99.71']; display_decimals=5</t>
        </is>
      </c>
      <c r="O346" s="4" t="inlineStr">
        <is>
          <t>https://go.skip.build/?src_chain=8453&amp;src_asset=0x833589fcd6edb6e08f4c7c32d4f71b54bda02913&amp;dest_chain=solana&amp;dest_asset=EPjFWdd5AufqSSqeM2qN1xzybapC8G4wEGGkZwyTDt1v</t>
        </is>
      </c>
    </row>
    <row r="347">
      <c r="A347" s="4" t="inlineStr">
        <is>
          <t>7e381f71c289</t>
        </is>
      </c>
      <c r="B347" s="4" t="inlineStr">
        <is>
          <t>Base-&gt;SOL</t>
        </is>
      </c>
      <c r="C347" s="4" t="n">
        <v>3</v>
      </c>
      <c r="D347" s="4" t="inlineStr">
        <is>
          <t>Symbiosis</t>
        </is>
      </c>
      <c r="E347" s="4" t="inlineStr">
        <is>
          <t>venue</t>
        </is>
      </c>
      <c r="F347" s="4" t="inlineStr">
        <is>
          <t>OK</t>
        </is>
      </c>
      <c r="G347" s="4" t="inlineStr">
        <is>
          <t>2026-09-23T09:48:54.108Z</t>
        </is>
      </c>
      <c r="H347" s="4" t="inlineStr">
        <is>
          <t>2026-09-23T09:48:57.246Z</t>
        </is>
      </c>
      <c r="I347" s="4" t="inlineStr">
        <is>
          <t>2026-09-23T09:48:59.319Z</t>
        </is>
      </c>
      <c r="J347" s="20" t="n">
        <v>2.295</v>
      </c>
      <c r="K347" s="18" t="n">
        <v>98.39485500000001</v>
      </c>
      <c r="L347" s="20" t="n">
        <v>0</v>
      </c>
      <c r="M347" s="4" t="n"/>
      <c r="N347" s="4" t="inlineStr">
        <is>
          <t>min_received=97.9028; fee_usd_deducted=1.53; eta=2 - 3 Min; price_impact=-0.02%; slippage=2%; route=Swap on Base; fixed_fee_on_top=0.0; display_decimals=6</t>
        </is>
      </c>
      <c r="O347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349">
      <c r="A349" s="2" t="inlineStr">
        <is>
          <t>Append-only record from runner.py (data/raw_quotes.jsonl). Blue = observed values read from each site's UI. Times are UTC with milliseconds; Δ = |quoteVisible − Bridg quoteVisible| in the same synchronized run.</t>
        </is>
      </c>
    </row>
  </sheetData>
  <autoFilter ref="A1:O34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5" customWidth="1" min="3" max="3"/>
    <col width="120" customWidth="1" min="4" max="4"/>
  </cols>
  <sheetData>
    <row r="1" ht="30" customHeight="1">
      <c r="A1" s="17" t="inlineStr">
        <is>
          <t>#</t>
        </is>
      </c>
      <c r="B1" s="17" t="inlineStr">
        <is>
          <t>Severity</t>
        </is>
      </c>
      <c r="C1" s="17" t="inlineStr">
        <is>
          <t>Finding</t>
        </is>
      </c>
      <c r="D1" s="17" t="inlineStr">
        <is>
          <t>Detail</t>
        </is>
      </c>
    </row>
    <row r="2">
      <c r="A2" s="4" t="n">
        <v>1</v>
      </c>
      <c r="B2" s="4" t="inlineStr">
        <is>
          <t>serious</t>
        </is>
      </c>
      <c r="C2" s="24" t="inlineStr">
        <is>
          <t>Relay priced ~20.6 bps below relay.link on every EVM → Solana route</t>
        </is>
      </c>
      <c r="D2" s="23" t="inlineStr">
        <is>
          <t>Bridg's Relay row is 25.6 bps under relay.link on ETH→SOL, BSC→SOL and Base→SOL in every sample; 5 bps is Bridg's own fee, leaving ~0.21 USDC more 'Relay fee'. Solana-source routes match. Hypothesis (unverified): Bridg's quote includes Solana USDC token-account rent that relay.link omits when no recipient wallet is set.</t>
        </is>
      </c>
    </row>
    <row r="3">
      <c r="A3" s="4" t="n">
        <v>2</v>
      </c>
      <c r="B3" s="4" t="inlineStr">
        <is>
          <t>serious</t>
        </is>
      </c>
      <c r="C3" s="24" t="inlineStr">
        <is>
          <t>LI.FI and SimpleSwap rows are far below their own sites</t>
        </is>
      </c>
      <c r="D3" s="23" t="inlineStr">
        <is>
          <t>LI.FI: 45–97 bps below jumper.exchange on every route (one Bridg breakdown showed a 1.0167 USDC 'Lifi fee'). SimpleSwap: 47–130 bps below simpleswap.io's default floating 'Best rate' card. Hypothesis (unverified): different route/rate type or an integrator fee in Bridg's requests.</t>
        </is>
      </c>
    </row>
    <row r="4">
      <c r="A4" s="4" t="n">
        <v>3</v>
      </c>
      <c r="B4" s="4" t="inlineStr">
        <is>
          <t>serious</t>
        </is>
      </c>
      <c r="C4" s="24" t="inlineStr">
        <is>
          <t>Bridg lists venues whose own site can't quote these routes</t>
        </is>
      </c>
      <c r="D4" s="23" t="inlineStr">
        <is>
          <t>Rhino.fi (Bridg's best price on SOL→BSC) — retail app shut down Aug 2026. Eco — its portal has no Solana or BNB Chain, yet Bridg lists Eco on SOL↔ETH/Base. NEAR Intents — public app moved behind a login. These rows can't be checked against a public UI.</t>
        </is>
      </c>
    </row>
    <row r="5">
      <c r="A5" s="4" t="n">
        <v>4</v>
      </c>
      <c r="B5" s="4" t="inlineStr">
        <is>
          <t>serious</t>
        </is>
      </c>
      <c r="C5" s="24" t="inlineStr">
        <is>
          <t>Across missing from Bridg on 4 of 6 routes</t>
        </is>
      </c>
      <c r="D5" s="23" t="inlineStr">
        <is>
          <t>Not listed on ETH→SOL, BSC→SOL, Base→SOL or SOL→BSC although across.to quotes 99.98–99.99. Where listed (SOL→ETH, SOL→Base) it matches exactly net of Bridg's fee.</t>
        </is>
      </c>
    </row>
    <row r="6">
      <c r="A6" s="4" t="n">
        <v>5</v>
      </c>
      <c r="B6" s="4" t="inlineStr">
        <is>
          <t>warning</t>
        </is>
      </c>
      <c r="C6" s="24" t="inlineStr">
        <is>
          <t>Meson, Husher and Allbridge look like flat estimates on Bridg</t>
        </is>
      </c>
      <c r="D6" s="23" t="inlineStr">
        <is>
          <t>Their Bridg rows are exactly 99.85005 (= 99.9 × 0.9995) or 99.45025 (= 99.5 × 0.9995): round outputs minus Bridg's 5 bps. Husher's own site is 0.10–0.20 USDC lower (Bridg +15 bps higher); Meson's is +4 to +40 bps lower or 10 bps higher depending on route. Allbridge happens to match (its site shows 99.90). Hypothesis: static fee models rather than live quotes.</t>
        </is>
      </c>
    </row>
    <row r="7">
      <c r="A7" s="4" t="n">
        <v>6</v>
      </c>
      <c r="B7" s="4" t="inlineStr">
        <is>
          <t>warning</t>
        </is>
      </c>
      <c r="C7" s="24" t="inlineStr">
        <is>
          <t>Layerswap 3–13.5 bps below layerswap.io</t>
        </is>
      </c>
      <c r="D7" s="23" t="inlineStr">
        <is>
          <t>Consistent across samples: −13.5 bps on Solana-source routes, −3 to −8 bps on routes into Solana, after adding back Bridg's fee.</t>
        </is>
      </c>
    </row>
    <row r="8">
      <c r="A8" s="4" t="n">
        <v>7</v>
      </c>
      <c r="B8" s="4" t="inlineStr">
        <is>
          <t>warning</t>
        </is>
      </c>
      <c r="C8" s="24" t="inlineStr">
        <is>
          <t>CCTP gap is a comparison limit, not a verdict</t>
        </is>
      </c>
      <c r="D8" s="23" t="inlineStr">
        <is>
          <t>Circle's own bridge has no Solana, so CCTP is read from Portal (Wormhole). Portal hides its executor fee until a wallet connects, so its 99.99 is before that fee; Bridg's 98.67 on SOL→ETH (−127 bps) likely includes Ethereum destination gas.</t>
        </is>
      </c>
    </row>
    <row r="9">
      <c r="A9" s="4" t="n">
        <v>8</v>
      </c>
      <c r="B9" s="4" t="inlineStr">
        <is>
          <t>warning</t>
        </is>
      </c>
      <c r="C9" s="24" t="inlineStr">
        <is>
          <t>Bridg's fee isn't applied to every venue</t>
        </is>
      </c>
      <c r="D9" s="23" t="inlineStr">
        <is>
          <t>deBridge and Symbiosis match their own sites before adding back Bridg's 5 bps — Bridg appears not to take its fee on those rows. deBridge's own site adds a 1.05–2.58 USDC fee on top of the input that varies between loads; compared as out − fee, so Solana-source deBridge gaps swing.</t>
        </is>
      </c>
    </row>
    <row r="10">
      <c r="A10" s="4" t="n">
        <v>9</v>
      </c>
      <c r="B10" s="4" t="inlineStr">
        <is>
          <t>info</t>
        </is>
      </c>
      <c r="C10" s="24" t="inlineStr">
        <is>
          <t>Matches</t>
        </is>
      </c>
      <c r="D10" s="23" t="inlineStr">
        <is>
          <t>Skip Go (+1 to +2 bps), Allbridge Core (0.0), Across where listed (0.0), Mayan on most routes, and Relay on Solana-source routes match their own sites net of Bridg's fee.</t>
        </is>
      </c>
    </row>
    <row r="11">
      <c r="A11" s="4" t="n">
        <v>10</v>
      </c>
      <c r="B11" s="4" t="inlineStr">
        <is>
          <t>info</t>
        </is>
      </c>
      <c r="C11" s="24" t="inlineStr">
        <is>
          <t>Display quirks and anomalies</t>
        </is>
      </c>
      <c r="D11" s="23" t="inlineStr">
        <is>
          <t>Jumper once showed 120.36 USDC out for 100 in (excluded). Mayan, Meson and Husher show only 1–4 decimals. Across's input sometimes stays disabled on BSC→SOL. Allbridge charges a relayer fee on top in SOL/ETH (not converted). BSC 'USDC' is Binance-Peg USDC (18 dp, bridged) on every site.</t>
        </is>
      </c>
    </row>
    <row r="14">
      <c r="A14" s="3" t="inlineStr">
        <is>
          <t>Runs where a site returned no quote (kept in Raw Quotes)</t>
        </is>
      </c>
    </row>
    <row r="15">
      <c r="B15" s="4" t="inlineStr">
        <is>
          <t>ENTER_FAILED</t>
        </is>
      </c>
      <c r="C15" s="4" t="inlineStr">
        <is>
          <t>Across · BSC → SOL · sample 1</t>
        </is>
      </c>
      <c r="D15" s="4" t="inlineStr">
        <is>
          <t>TimeoutError('Locator.click: Timeout 30000ms exceeded.</t>
        </is>
      </c>
    </row>
    <row r="16">
      <c r="B16" s="4" t="inlineStr">
        <is>
          <t>ENTER_FAILED</t>
        </is>
      </c>
      <c r="C16" s="4" t="inlineStr">
        <is>
          <t>Across · BSC → SOL · sample 2</t>
        </is>
      </c>
      <c r="D16" s="4" t="inlineStr">
        <is>
          <t>TimeoutError('Locator.click: Timeout 30000ms exceeded.</t>
        </is>
      </c>
    </row>
    <row r="17">
      <c r="B17" s="4" t="inlineStr">
        <is>
          <t>ENTER_FAILED</t>
        </is>
      </c>
      <c r="C17" s="4" t="inlineStr">
        <is>
          <t>Across · BSC → SOL · sample 1</t>
        </is>
      </c>
      <c r="D17" s="4" t="inlineStr">
        <is>
          <t>TimeoutError('Locator.click: Timeout 30000ms exceeded.</t>
        </is>
      </c>
    </row>
    <row r="18">
      <c r="B18" s="4" t="inlineStr">
        <is>
          <t>ENTER_FAILED</t>
        </is>
      </c>
      <c r="C18" s="4" t="inlineStr">
        <is>
          <t>Across · BSC → SOL · sample 2</t>
        </is>
      </c>
      <c r="D18" s="4" t="inlineStr">
        <is>
          <t>TimeoutError('Locator.click: Timeout 30000ms exceeded.</t>
        </is>
      </c>
    </row>
    <row r="19">
      <c r="B19" s="4" t="inlineStr">
        <is>
          <t>NO_QUOTE</t>
        </is>
      </c>
      <c r="C19" s="4" t="inlineStr">
        <is>
          <t>SimpleSwap · ETH → SOL · sample 1</t>
        </is>
      </c>
      <c r="D19" s="4" t="inlineStr"/>
    </row>
    <row r="20">
      <c r="B20" s="4" t="inlineStr">
        <is>
          <t>NO_QUOTE</t>
        </is>
      </c>
      <c r="C20" s="4" t="inlineStr">
        <is>
          <t>SimpleSwap · Base → SOL · sample 1</t>
        </is>
      </c>
      <c r="D20" s="4" t="inlineStr"/>
    </row>
    <row r="21">
      <c r="B21" s="4" t="inlineStr">
        <is>
          <t>NO_QUOTE</t>
        </is>
      </c>
      <c r="C21" s="4" t="inlineStr">
        <is>
          <t>Across · SOL → BSC · sample 2</t>
        </is>
      </c>
      <c r="D21" s="4" t="inlineStr"/>
    </row>
    <row r="22">
      <c r="B22" s="4" t="inlineStr">
        <is>
          <t>NO_QUOTE</t>
        </is>
      </c>
      <c r="C22" s="4" t="inlineStr">
        <is>
          <t>SimpleSwap · Base → SOL · sample 2</t>
        </is>
      </c>
      <c r="D22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Bridg Competitive Benchmark — one-pager</t>
        </is>
      </c>
    </row>
    <row r="2">
      <c r="A2" s="2">
        <f>Dashboard!A2</f>
        <v/>
      </c>
    </row>
    <row r="4">
      <c r="A4" s="3" t="inlineStr">
        <is>
          <t>Headline</t>
        </is>
      </c>
    </row>
    <row r="5">
      <c r="A5" s="9">
        <f>Dashboard!A5</f>
        <v/>
      </c>
      <c r="B5" s="25">
        <f>Dashboard!B5</f>
        <v/>
      </c>
    </row>
    <row r="6">
      <c r="A6" s="9">
        <f>Dashboard!A6</f>
        <v/>
      </c>
      <c r="B6" s="25">
        <f>Dashboard!B6</f>
        <v/>
      </c>
    </row>
    <row r="7">
      <c r="A7" s="9">
        <f>Dashboard!A7</f>
        <v/>
      </c>
      <c r="B7" s="25">
        <f>Dashboard!B7</f>
        <v/>
      </c>
    </row>
    <row r="8">
      <c r="A8" s="9">
        <f>Dashboard!A8</f>
        <v/>
      </c>
      <c r="B8" s="25">
        <f>Dashboard!B8</f>
        <v/>
      </c>
    </row>
    <row r="9">
      <c r="A9" s="9">
        <f>Dashboard!A9</f>
        <v/>
      </c>
      <c r="B9" s="25">
        <f>Dashboard!B9</f>
        <v/>
      </c>
    </row>
    <row r="10">
      <c r="A10" s="9">
        <f>Dashboard!A10</f>
        <v/>
      </c>
      <c r="B10" s="26">
        <f>Dashboard!B10</f>
        <v/>
      </c>
    </row>
    <row r="11">
      <c r="A11" s="9">
        <f>Dashboard!A11</f>
        <v/>
      </c>
      <c r="B11" s="25">
        <f>Dashboard!B11</f>
        <v/>
      </c>
    </row>
    <row r="12">
      <c r="A12" s="9">
        <f>Dashboard!A12</f>
        <v/>
      </c>
      <c r="B12" s="25">
        <f>Dashboard!B12</f>
        <v/>
      </c>
    </row>
    <row r="14">
      <c r="A14" s="3" t="inlineStr">
        <is>
          <t>Route winners</t>
        </is>
      </c>
    </row>
    <row r="15">
      <c r="A15" s="14">
        <f>Dashboard!A16</f>
        <v/>
      </c>
      <c r="B15" s="14">
        <f>Dashboard!B16</f>
        <v/>
      </c>
      <c r="C15" s="14">
        <f>Dashboard!C16</f>
        <v/>
      </c>
      <c r="D15" s="14">
        <f>Dashboard!D16</f>
        <v/>
      </c>
      <c r="E15" s="14">
        <f>Dashboard!E16</f>
        <v/>
      </c>
      <c r="F15" s="14">
        <f>Dashboard!F16</f>
        <v/>
      </c>
      <c r="G15" s="14">
        <f>Dashboard!G16</f>
        <v/>
      </c>
    </row>
    <row r="16">
      <c r="A16" s="9">
        <f>Dashboard!A17</f>
        <v/>
      </c>
      <c r="B16" s="10">
        <f>Dashboard!B17</f>
        <v/>
      </c>
      <c r="C16" s="10">
        <f>Dashboard!C17</f>
        <v/>
      </c>
      <c r="D16" s="9">
        <f>Dashboard!D17</f>
        <v/>
      </c>
      <c r="E16" s="11">
        <f>Dashboard!E17</f>
        <v/>
      </c>
      <c r="F16" s="9">
        <f>Dashboard!F17</f>
        <v/>
      </c>
      <c r="G16" s="9">
        <f>Dashboard!G17</f>
        <v/>
      </c>
    </row>
    <row r="17">
      <c r="A17" s="9">
        <f>Dashboard!A18</f>
        <v/>
      </c>
      <c r="B17" s="10">
        <f>Dashboard!B18</f>
        <v/>
      </c>
      <c r="C17" s="10">
        <f>Dashboard!C18</f>
        <v/>
      </c>
      <c r="D17" s="9">
        <f>Dashboard!D18</f>
        <v/>
      </c>
      <c r="E17" s="11">
        <f>Dashboard!E18</f>
        <v/>
      </c>
      <c r="F17" s="9">
        <f>Dashboard!F18</f>
        <v/>
      </c>
      <c r="G17" s="9">
        <f>Dashboard!G18</f>
        <v/>
      </c>
    </row>
    <row r="18">
      <c r="A18" s="9">
        <f>Dashboard!A19</f>
        <v/>
      </c>
      <c r="B18" s="10">
        <f>Dashboard!B19</f>
        <v/>
      </c>
      <c r="C18" s="10">
        <f>Dashboard!C19</f>
        <v/>
      </c>
      <c r="D18" s="9">
        <f>Dashboard!D19</f>
        <v/>
      </c>
      <c r="E18" s="11">
        <f>Dashboard!E19</f>
        <v/>
      </c>
      <c r="F18" s="9">
        <f>Dashboard!F19</f>
        <v/>
      </c>
      <c r="G18" s="9">
        <f>Dashboard!G19</f>
        <v/>
      </c>
    </row>
    <row r="19">
      <c r="A19" s="9">
        <f>Dashboard!A20</f>
        <v/>
      </c>
      <c r="B19" s="10">
        <f>Dashboard!B20</f>
        <v/>
      </c>
      <c r="C19" s="10">
        <f>Dashboard!C20</f>
        <v/>
      </c>
      <c r="D19" s="9">
        <f>Dashboard!D20</f>
        <v/>
      </c>
      <c r="E19" s="11">
        <f>Dashboard!E20</f>
        <v/>
      </c>
      <c r="F19" s="9">
        <f>Dashboard!F20</f>
        <v/>
      </c>
      <c r="G19" s="9">
        <f>Dashboard!G20</f>
        <v/>
      </c>
    </row>
    <row r="20">
      <c r="A20" s="9">
        <f>Dashboard!A21</f>
        <v/>
      </c>
      <c r="B20" s="10">
        <f>Dashboard!B21</f>
        <v/>
      </c>
      <c r="C20" s="10">
        <f>Dashboard!C21</f>
        <v/>
      </c>
      <c r="D20" s="9">
        <f>Dashboard!D21</f>
        <v/>
      </c>
      <c r="E20" s="11">
        <f>Dashboard!E21</f>
        <v/>
      </c>
      <c r="F20" s="9">
        <f>Dashboard!F21</f>
        <v/>
      </c>
      <c r="G20" s="9">
        <f>Dashboard!G21</f>
        <v/>
      </c>
    </row>
    <row r="21">
      <c r="A21" s="9">
        <f>Dashboard!A22</f>
        <v/>
      </c>
      <c r="B21" s="10">
        <f>Dashboard!B22</f>
        <v/>
      </c>
      <c r="C21" s="10">
        <f>Dashboard!C22</f>
        <v/>
      </c>
      <c r="D21" s="9">
        <f>Dashboard!D22</f>
        <v/>
      </c>
      <c r="E21" s="11">
        <f>Dashboard!E22</f>
        <v/>
      </c>
      <c r="F21" s="9">
        <f>Dashboard!F22</f>
        <v/>
      </c>
      <c r="G21" s="9">
        <f>Dashboard!G22</f>
        <v/>
      </c>
    </row>
    <row r="23">
      <c r="A23" s="3" t="inlineStr">
        <is>
          <t>Top findings</t>
        </is>
      </c>
    </row>
    <row r="24">
      <c r="A24" s="25">
        <f>Issues!C2</f>
        <v/>
      </c>
    </row>
    <row r="25">
      <c r="A25" s="25">
        <f>Issues!C3</f>
        <v/>
      </c>
    </row>
    <row r="26">
      <c r="A26" s="25">
        <f>Issues!C4</f>
        <v/>
      </c>
    </row>
    <row r="27">
      <c r="A27" s="25">
        <f>Issues!C5</f>
        <v/>
      </c>
    </row>
    <row r="31">
      <c r="A31" s="2" t="inlineStr">
        <is>
          <t>Method: fresh Playwright browser per site, no wallet; 100 typed into all pages at one barrier; quotes within ~1.5 s of Bridg's. Evidence: screenshots + SHA-256 in Receipts. Dashboard: see repo README.</t>
        </is>
      </c>
    </row>
  </sheetData>
  <mergeCells count="5">
    <mergeCell ref="A27:G27"/>
    <mergeCell ref="A31:G31"/>
    <mergeCell ref="A26:G26"/>
    <mergeCell ref="A24:G24"/>
    <mergeCell ref="A25:G25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2026-09-23T13:39:08Z</dcterms:created>
  <dcterms:modified xsi:type="dcterms:W3CDTF">2026-09-23T13:39:08Z</dcterms:modified>
</cp:coreProperties>
</file>