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mpetitor Matrix" sheetId="2" state="visible" r:id="rId2"/>
    <sheet name="Venue Analysis" sheetId="3" state="visible" r:id="rId3"/>
    <sheet name="Receipts" sheetId="4" state="visible" r:id="rId4"/>
    <sheet name="Platform Registry" sheetId="5" state="visible" r:id="rId5"/>
    <sheet name="Raw Quotes" sheetId="6" state="visible" r:id="rId6"/>
    <sheet name="Issues" sheetId="7" state="visible" r:id="rId7"/>
    <sheet name="One-Pager Export" sheetId="8" state="visible" r:id="rId8"/>
  </sheets>
  <definedNames>
    <definedName name="_xlnm._FilterDatabase" localSheetId="2" hidden="1">'Venue Analysis'!$A$4:$O$214</definedName>
    <definedName name="_xlnm._FilterDatabase" localSheetId="3" hidden="1">'Receipts'!$A$1:$M$239</definedName>
    <definedName name="_xlnm._FilterDatabase" localSheetId="5" hidden="1">'Raw Quotes'!$A$1:$S$241</definedName>
    <definedName name="_xlnm.Print_Area" localSheetId="7">'One-Pager Export'!$A$1:$G$33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+0.0;-0.0;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sz val="16"/>
    </font>
    <font>
      <name val="Arial"/>
      <b val="1"/>
      <sz val="12"/>
    </font>
    <font>
      <name val="Arial"/>
      <color rgb="00008000"/>
      <sz val="10"/>
    </font>
    <font>
      <name val="Arial"/>
      <color rgb="001D4ED8"/>
      <sz val="10"/>
      <u val="single"/>
    </font>
    <font>
      <name val="Courier New"/>
      <sz val="9"/>
    </font>
    <font>
      <name val="Arial"/>
      <b val="1"/>
      <sz val="10"/>
    </font>
    <font>
      <name val="Arial"/>
      <b val="1"/>
      <color rgb="00008000"/>
      <sz val="11"/>
    </font>
    <font>
      <name val="Arial"/>
      <b val="1"/>
      <color rgb="00000000"/>
      <sz val="11"/>
    </font>
    <font>
      <name val="Arial"/>
      <b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1" fillId="0" borderId="0" pivotButton="0" quotePrefix="0" xfId="0"/>
    <xf numFmtId="166" fontId="11" fillId="0" borderId="0" pivotButton="0" quotePrefix="0" xfId="0"/>
    <xf numFmtId="0" fontId="12" fillId="0" borderId="0" pivotButton="0" quotePrefix="0" xfId="0"/>
    <xf numFmtId="0" fontId="1" fillId="2" borderId="0" applyAlignment="1" pivotButton="0" quotePrefix="0" xfId="0">
      <alignment horizontal="center" wrapText="1"/>
    </xf>
    <xf numFmtId="0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0" fontId="1" fillId="2" borderId="0" applyAlignment="1" pivotButton="0" quotePrefix="0" xfId="0">
      <alignment horizontal="center"/>
    </xf>
    <xf numFmtId="164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166" fontId="2" fillId="0" borderId="0" pivotButton="0" quotePrefix="0" xfId="0"/>
    <xf numFmtId="165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3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3" fillId="0" borderId="0" pivotButton="0" quotePrefix="0" xfId="0"/>
    <xf numFmtId="166" fontId="1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6CDCC"/>
        </patternFill>
      </fill>
    </dxf>
    <dxf>
      <fill>
        <patternFill patternType="solid">
          <fgColor rgb="00CDE2FB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raw.githubusercontent.com/CainBeaudoin/bb/main/evidence/20260923T141817Z/bridg_SOL-ETH_s1_crop.png" TargetMode="External" Id="rId1" /><Relationship Type="http://schemas.openxmlformats.org/officeDocument/2006/relationships/hyperlink" Target="https://raw.githubusercontent.com/CainBeaudoin/bb/main/evidence/20260923T141817Z/bridg_SOL-ETH_s1_full.png" TargetMode="External" Id="rId2" /><Relationship Type="http://schemas.openxmlformats.org/officeDocument/2006/relationships/hyperlink" Target="https://raw.githubusercontent.com/CainBeaudoin/bb/main/evidence/20260923T141817Z/opensea_SOL-ETH_s1_crop.png" TargetMode="External" Id="rId3" /><Relationship Type="http://schemas.openxmlformats.org/officeDocument/2006/relationships/hyperlink" Target="https://raw.githubusercontent.com/CainBeaudoin/bb/main/evidence/20260923T141817Z/opensea_SOL-ETH_s1_full.png" TargetMode="External" Id="rId4" /><Relationship Type="http://schemas.openxmlformats.org/officeDocument/2006/relationships/hyperlink" Target="https://raw.githubusercontent.com/CainBeaudoin/bb/main/evidence/20260923T141817Z/relay_SOL-ETH_s1_crop.png" TargetMode="External" Id="rId5" /><Relationship Type="http://schemas.openxmlformats.org/officeDocument/2006/relationships/hyperlink" Target="https://raw.githubusercontent.com/CainBeaudoin/bb/main/evidence/20260923T141817Z/relay_SOL-ETH_s1_full.png" TargetMode="External" Id="rId6" /><Relationship Type="http://schemas.openxmlformats.org/officeDocument/2006/relationships/hyperlink" Target="https://raw.githubusercontent.com/CainBeaudoin/bb/main/evidence/20260923T141817Z/debridge_SOL-ETH_s1_crop.png" TargetMode="External" Id="rId7" /><Relationship Type="http://schemas.openxmlformats.org/officeDocument/2006/relationships/hyperlink" Target="https://raw.githubusercontent.com/CainBeaudoin/bb/main/evidence/20260923T141817Z/debridge_SOL-ETH_s1_full.png" TargetMode="External" Id="rId8" /><Relationship Type="http://schemas.openxmlformats.org/officeDocument/2006/relationships/hyperlink" Target="https://raw.githubusercontent.com/CainBeaudoin/bb/main/evidence/20260923T141817Z/lifi_SOL-ETH_s1_crop.png" TargetMode="External" Id="rId9" /><Relationship Type="http://schemas.openxmlformats.org/officeDocument/2006/relationships/hyperlink" Target="https://raw.githubusercontent.com/CainBeaudoin/bb/main/evidence/20260923T141817Z/lifi_SOL-ETH_s1_full.png" TargetMode="External" Id="rId10" /><Relationship Type="http://schemas.openxmlformats.org/officeDocument/2006/relationships/hyperlink" Target="https://raw.githubusercontent.com/CainBeaudoin/bb/main/evidence/20260923T141817Z/across_SOL-ETH_s1_crop.png" TargetMode="External" Id="rId11" /><Relationship Type="http://schemas.openxmlformats.org/officeDocument/2006/relationships/hyperlink" Target="https://raw.githubusercontent.com/CainBeaudoin/bb/main/evidence/20260923T141817Z/across_SOL-ETH_s1_full.png" TargetMode="External" Id="rId12" /><Relationship Type="http://schemas.openxmlformats.org/officeDocument/2006/relationships/hyperlink" Target="https://raw.githubusercontent.com/CainBeaudoin/bb/main/evidence/20260923T141817Z/mayan_SOL-ETH_s1_crop.png" TargetMode="External" Id="rId13" /><Relationship Type="http://schemas.openxmlformats.org/officeDocument/2006/relationships/hyperlink" Target="https://raw.githubusercontent.com/CainBeaudoin/bb/main/evidence/20260923T141817Z/mayan_SOL-ETH_s1_full.png" TargetMode="External" Id="rId14" /><Relationship Type="http://schemas.openxmlformats.org/officeDocument/2006/relationships/hyperlink" Target="https://raw.githubusercontent.com/CainBeaudoin/bb/main/evidence/20260923T141817Z/allbridge_SOL-ETH_s1_crop.png" TargetMode="External" Id="rId15" /><Relationship Type="http://schemas.openxmlformats.org/officeDocument/2006/relationships/hyperlink" Target="https://raw.githubusercontent.com/CainBeaudoin/bb/main/evidence/20260923T141817Z/allbridge_SOL-ETH_s1_full.png" TargetMode="External" Id="rId16" /><Relationship Type="http://schemas.openxmlformats.org/officeDocument/2006/relationships/hyperlink" Target="https://raw.githubusercontent.com/CainBeaudoin/bb/main/evidence/20260923T141817Z/cctp_SOL-ETH_s1_crop.png" TargetMode="External" Id="rId17" /><Relationship Type="http://schemas.openxmlformats.org/officeDocument/2006/relationships/hyperlink" Target="https://raw.githubusercontent.com/CainBeaudoin/bb/main/evidence/20260923T141817Z/cctp_SOL-ETH_s1_full.png" TargetMode="External" Id="rId18" /><Relationship Type="http://schemas.openxmlformats.org/officeDocument/2006/relationships/hyperlink" Target="https://raw.githubusercontent.com/CainBeaudoin/bb/main/evidence/20260923T141817Z/husher_SOL-ETH_s1_crop.png" TargetMode="External" Id="rId19" /><Relationship Type="http://schemas.openxmlformats.org/officeDocument/2006/relationships/hyperlink" Target="https://raw.githubusercontent.com/CainBeaudoin/bb/main/evidence/20260923T141817Z/husher_SOL-ETH_s1_full.png" TargetMode="External" Id="rId20" /><Relationship Type="http://schemas.openxmlformats.org/officeDocument/2006/relationships/hyperlink" Target="https://raw.githubusercontent.com/CainBeaudoin/bb/main/evidence/20260923T141817Z/layerswap_SOL-ETH_s1_crop.png" TargetMode="External" Id="rId21" /><Relationship Type="http://schemas.openxmlformats.org/officeDocument/2006/relationships/hyperlink" Target="https://raw.githubusercontent.com/CainBeaudoin/bb/main/evidence/20260923T141817Z/layerswap_SOL-ETH_s1_full.png" TargetMode="External" Id="rId22" /><Relationship Type="http://schemas.openxmlformats.org/officeDocument/2006/relationships/hyperlink" Target="https://raw.githubusercontent.com/CainBeaudoin/bb/main/evidence/20260923T141817Z/meson_SOL-ETH_s1_crop.png" TargetMode="External" Id="rId23" /><Relationship Type="http://schemas.openxmlformats.org/officeDocument/2006/relationships/hyperlink" Target="https://raw.githubusercontent.com/CainBeaudoin/bb/main/evidence/20260923T141817Z/meson_SOL-ETH_s1_full.png" TargetMode="External" Id="rId24" /><Relationship Type="http://schemas.openxmlformats.org/officeDocument/2006/relationships/hyperlink" Target="https://raw.githubusercontent.com/CainBeaudoin/bb/main/evidence/20260923T141817Z/simpleswap_SOL-ETH_s1_crop.png" TargetMode="External" Id="rId25" /><Relationship Type="http://schemas.openxmlformats.org/officeDocument/2006/relationships/hyperlink" Target="https://raw.githubusercontent.com/CainBeaudoin/bb/main/evidence/20260923T141817Z/simpleswap_SOL-ETH_s1_full.png" TargetMode="External" Id="rId26" /><Relationship Type="http://schemas.openxmlformats.org/officeDocument/2006/relationships/hyperlink" Target="https://raw.githubusercontent.com/CainBeaudoin/bb/main/evidence/20260923T141817Z/skip-go_SOL-ETH_s1_crop.png" TargetMode="External" Id="rId27" /><Relationship Type="http://schemas.openxmlformats.org/officeDocument/2006/relationships/hyperlink" Target="https://raw.githubusercontent.com/CainBeaudoin/bb/main/evidence/20260923T141817Z/skip-go_SOL-ETH_s1_full.png" TargetMode="External" Id="rId28" /><Relationship Type="http://schemas.openxmlformats.org/officeDocument/2006/relationships/hyperlink" Target="https://raw.githubusercontent.com/CainBeaudoin/bb/main/evidence/20260923T141817Z/symbiosis_SOL-ETH_s1_crop.png" TargetMode="External" Id="rId29" /><Relationship Type="http://schemas.openxmlformats.org/officeDocument/2006/relationships/hyperlink" Target="https://raw.githubusercontent.com/CainBeaudoin/bb/main/evidence/20260923T141817Z/symbiosis_SOL-ETH_s1_full.png" TargetMode="External" Id="rId30" /><Relationship Type="http://schemas.openxmlformats.org/officeDocument/2006/relationships/hyperlink" Target="https://raw.githubusercontent.com/CainBeaudoin/bb/main/evidence/20260923T141817Z/bridg_SOL-ETH_s2_crop.png" TargetMode="External" Id="rId31" /><Relationship Type="http://schemas.openxmlformats.org/officeDocument/2006/relationships/hyperlink" Target="https://raw.githubusercontent.com/CainBeaudoin/bb/main/evidence/20260923T141817Z/bridg_SOL-ETH_s2_full.png" TargetMode="External" Id="rId32" /><Relationship Type="http://schemas.openxmlformats.org/officeDocument/2006/relationships/hyperlink" Target="https://raw.githubusercontent.com/CainBeaudoin/bb/main/evidence/20260923T141817Z/opensea_SOL-ETH_s2_crop.png" TargetMode="External" Id="rId33" /><Relationship Type="http://schemas.openxmlformats.org/officeDocument/2006/relationships/hyperlink" Target="https://raw.githubusercontent.com/CainBeaudoin/bb/main/evidence/20260923T141817Z/opensea_SOL-ETH_s2_full.png" TargetMode="External" Id="rId34" /><Relationship Type="http://schemas.openxmlformats.org/officeDocument/2006/relationships/hyperlink" Target="https://raw.githubusercontent.com/CainBeaudoin/bb/main/evidence/20260923T141817Z/relay_SOL-ETH_s2_crop.png" TargetMode="External" Id="rId35" /><Relationship Type="http://schemas.openxmlformats.org/officeDocument/2006/relationships/hyperlink" Target="https://raw.githubusercontent.com/CainBeaudoin/bb/main/evidence/20260923T141817Z/relay_SOL-ETH_s2_full.png" TargetMode="External" Id="rId36" /><Relationship Type="http://schemas.openxmlformats.org/officeDocument/2006/relationships/hyperlink" Target="https://raw.githubusercontent.com/CainBeaudoin/bb/main/evidence/20260923T141817Z/debridge_SOL-ETH_s2_crop.png" TargetMode="External" Id="rId37" /><Relationship Type="http://schemas.openxmlformats.org/officeDocument/2006/relationships/hyperlink" Target="https://raw.githubusercontent.com/CainBeaudoin/bb/main/evidence/20260923T141817Z/debridge_SOL-ETH_s2_full.png" TargetMode="External" Id="rId38" /><Relationship Type="http://schemas.openxmlformats.org/officeDocument/2006/relationships/hyperlink" Target="https://raw.githubusercontent.com/CainBeaudoin/bb/main/evidence/20260923T141817Z/lifi_SOL-ETH_s2_crop.png" TargetMode="External" Id="rId39" /><Relationship Type="http://schemas.openxmlformats.org/officeDocument/2006/relationships/hyperlink" Target="https://raw.githubusercontent.com/CainBeaudoin/bb/main/evidence/20260923T141817Z/lifi_SOL-ETH_s2_full.png" TargetMode="External" Id="rId40" /><Relationship Type="http://schemas.openxmlformats.org/officeDocument/2006/relationships/hyperlink" Target="https://raw.githubusercontent.com/CainBeaudoin/bb/main/evidence/20260923T141817Z/across_SOL-ETH_s2_crop.png" TargetMode="External" Id="rId41" /><Relationship Type="http://schemas.openxmlformats.org/officeDocument/2006/relationships/hyperlink" Target="https://raw.githubusercontent.com/CainBeaudoin/bb/main/evidence/20260923T141817Z/across_SOL-ETH_s2_full.png" TargetMode="External" Id="rId42" /><Relationship Type="http://schemas.openxmlformats.org/officeDocument/2006/relationships/hyperlink" Target="https://raw.githubusercontent.com/CainBeaudoin/bb/main/evidence/20260923T141817Z/mayan_SOL-ETH_s2_crop.png" TargetMode="External" Id="rId43" /><Relationship Type="http://schemas.openxmlformats.org/officeDocument/2006/relationships/hyperlink" Target="https://raw.githubusercontent.com/CainBeaudoin/bb/main/evidence/20260923T141817Z/mayan_SOL-ETH_s2_full.png" TargetMode="External" Id="rId44" /><Relationship Type="http://schemas.openxmlformats.org/officeDocument/2006/relationships/hyperlink" Target="https://raw.githubusercontent.com/CainBeaudoin/bb/main/evidence/20260923T141817Z/allbridge_SOL-ETH_s2_crop.png" TargetMode="External" Id="rId45" /><Relationship Type="http://schemas.openxmlformats.org/officeDocument/2006/relationships/hyperlink" Target="https://raw.githubusercontent.com/CainBeaudoin/bb/main/evidence/20260923T141817Z/allbridge_SOL-ETH_s2_full.png" TargetMode="External" Id="rId46" /><Relationship Type="http://schemas.openxmlformats.org/officeDocument/2006/relationships/hyperlink" Target="https://raw.githubusercontent.com/CainBeaudoin/bb/main/evidence/20260923T141817Z/cctp_SOL-ETH_s2_crop.png" TargetMode="External" Id="rId47" /><Relationship Type="http://schemas.openxmlformats.org/officeDocument/2006/relationships/hyperlink" Target="https://raw.githubusercontent.com/CainBeaudoin/bb/main/evidence/20260923T141817Z/cctp_SOL-ETH_s2_full.png" TargetMode="External" Id="rId48" /><Relationship Type="http://schemas.openxmlformats.org/officeDocument/2006/relationships/hyperlink" Target="https://raw.githubusercontent.com/CainBeaudoin/bb/main/evidence/20260923T141817Z/husher_SOL-ETH_s2_crop.png" TargetMode="External" Id="rId49" /><Relationship Type="http://schemas.openxmlformats.org/officeDocument/2006/relationships/hyperlink" Target="https://raw.githubusercontent.com/CainBeaudoin/bb/main/evidence/20260923T141817Z/husher_SOL-ETH_s2_full.png" TargetMode="External" Id="rId50" /><Relationship Type="http://schemas.openxmlformats.org/officeDocument/2006/relationships/hyperlink" Target="https://raw.githubusercontent.com/CainBeaudoin/bb/main/evidence/20260923T141817Z/layerswap_SOL-ETH_s2_crop.png" TargetMode="External" Id="rId51" /><Relationship Type="http://schemas.openxmlformats.org/officeDocument/2006/relationships/hyperlink" Target="https://raw.githubusercontent.com/CainBeaudoin/bb/main/evidence/20260923T141817Z/layerswap_SOL-ETH_s2_full.png" TargetMode="External" Id="rId52" /><Relationship Type="http://schemas.openxmlformats.org/officeDocument/2006/relationships/hyperlink" Target="https://raw.githubusercontent.com/CainBeaudoin/bb/main/evidence/20260923T141817Z/meson_SOL-ETH_s2_crop.png" TargetMode="External" Id="rId53" /><Relationship Type="http://schemas.openxmlformats.org/officeDocument/2006/relationships/hyperlink" Target="https://raw.githubusercontent.com/CainBeaudoin/bb/main/evidence/20260923T141817Z/meson_SOL-ETH_s2_full.png" TargetMode="External" Id="rId54" /><Relationship Type="http://schemas.openxmlformats.org/officeDocument/2006/relationships/hyperlink" Target="https://raw.githubusercontent.com/CainBeaudoin/bb/main/evidence/20260923T141817Z/simpleswap_SOL-ETH_s2_crop.png" TargetMode="External" Id="rId55" /><Relationship Type="http://schemas.openxmlformats.org/officeDocument/2006/relationships/hyperlink" Target="https://raw.githubusercontent.com/CainBeaudoin/bb/main/evidence/20260923T141817Z/simpleswap_SOL-ETH_s2_full.png" TargetMode="External" Id="rId56" /><Relationship Type="http://schemas.openxmlformats.org/officeDocument/2006/relationships/hyperlink" Target="https://raw.githubusercontent.com/CainBeaudoin/bb/main/evidence/20260923T141817Z/skip-go_SOL-ETH_s2_crop.png" TargetMode="External" Id="rId57" /><Relationship Type="http://schemas.openxmlformats.org/officeDocument/2006/relationships/hyperlink" Target="https://raw.githubusercontent.com/CainBeaudoin/bb/main/evidence/20260923T141817Z/skip-go_SOL-ETH_s2_full.png" TargetMode="External" Id="rId58" /><Relationship Type="http://schemas.openxmlformats.org/officeDocument/2006/relationships/hyperlink" Target="https://raw.githubusercontent.com/CainBeaudoin/bb/main/evidence/20260923T141817Z/symbiosis_SOL-ETH_s2_crop.png" TargetMode="External" Id="rId59" /><Relationship Type="http://schemas.openxmlformats.org/officeDocument/2006/relationships/hyperlink" Target="https://raw.githubusercontent.com/CainBeaudoin/bb/main/evidence/20260923T141817Z/symbiosis_SOL-ETH_s2_full.png" TargetMode="External" Id="rId60" /><Relationship Type="http://schemas.openxmlformats.org/officeDocument/2006/relationships/hyperlink" Target="https://raw.githubusercontent.com/CainBeaudoin/bb/main/evidence/20260923T141817Z/bridg_SOL-ETH_s3_crop.png" TargetMode="External" Id="rId61" /><Relationship Type="http://schemas.openxmlformats.org/officeDocument/2006/relationships/hyperlink" Target="https://raw.githubusercontent.com/CainBeaudoin/bb/main/evidence/20260923T141817Z/bridg_SOL-ETH_s3_full.png" TargetMode="External" Id="rId62" /><Relationship Type="http://schemas.openxmlformats.org/officeDocument/2006/relationships/hyperlink" Target="https://raw.githubusercontent.com/CainBeaudoin/bb/main/evidence/20260923T141817Z/opensea_SOL-ETH_s3_crop.png" TargetMode="External" Id="rId63" /><Relationship Type="http://schemas.openxmlformats.org/officeDocument/2006/relationships/hyperlink" Target="https://raw.githubusercontent.com/CainBeaudoin/bb/main/evidence/20260923T141817Z/opensea_SOL-ETH_s3_full.png" TargetMode="External" Id="rId64" /><Relationship Type="http://schemas.openxmlformats.org/officeDocument/2006/relationships/hyperlink" Target="https://raw.githubusercontent.com/CainBeaudoin/bb/main/evidence/20260923T141817Z/relay_SOL-ETH_s3_crop.png" TargetMode="External" Id="rId65" /><Relationship Type="http://schemas.openxmlformats.org/officeDocument/2006/relationships/hyperlink" Target="https://raw.githubusercontent.com/CainBeaudoin/bb/main/evidence/20260923T141817Z/relay_SOL-ETH_s3_full.png" TargetMode="External" Id="rId66" /><Relationship Type="http://schemas.openxmlformats.org/officeDocument/2006/relationships/hyperlink" Target="https://raw.githubusercontent.com/CainBeaudoin/bb/main/evidence/20260923T141817Z/debridge_SOL-ETH_s3_crop.png" TargetMode="External" Id="rId67" /><Relationship Type="http://schemas.openxmlformats.org/officeDocument/2006/relationships/hyperlink" Target="https://raw.githubusercontent.com/CainBeaudoin/bb/main/evidence/20260923T141817Z/debridge_SOL-ETH_s3_full.png" TargetMode="External" Id="rId68" /><Relationship Type="http://schemas.openxmlformats.org/officeDocument/2006/relationships/hyperlink" Target="https://raw.githubusercontent.com/CainBeaudoin/bb/main/evidence/20260923T141817Z/lifi_SOL-ETH_s3_crop.png" TargetMode="External" Id="rId69" /><Relationship Type="http://schemas.openxmlformats.org/officeDocument/2006/relationships/hyperlink" Target="https://raw.githubusercontent.com/CainBeaudoin/bb/main/evidence/20260923T141817Z/lifi_SOL-ETH_s3_full.png" TargetMode="External" Id="rId70" /><Relationship Type="http://schemas.openxmlformats.org/officeDocument/2006/relationships/hyperlink" Target="https://raw.githubusercontent.com/CainBeaudoin/bb/main/evidence/20260923T141817Z/across_SOL-ETH_s3_crop.png" TargetMode="External" Id="rId71" /><Relationship Type="http://schemas.openxmlformats.org/officeDocument/2006/relationships/hyperlink" Target="https://raw.githubusercontent.com/CainBeaudoin/bb/main/evidence/20260923T141817Z/across_SOL-ETH_s3_full.png" TargetMode="External" Id="rId72" /><Relationship Type="http://schemas.openxmlformats.org/officeDocument/2006/relationships/hyperlink" Target="https://raw.githubusercontent.com/CainBeaudoin/bb/main/evidence/20260923T141817Z/mayan_SOL-ETH_s3_crop.png" TargetMode="External" Id="rId73" /><Relationship Type="http://schemas.openxmlformats.org/officeDocument/2006/relationships/hyperlink" Target="https://raw.githubusercontent.com/CainBeaudoin/bb/main/evidence/20260923T141817Z/mayan_SOL-ETH_s3_full.png" TargetMode="External" Id="rId74" /><Relationship Type="http://schemas.openxmlformats.org/officeDocument/2006/relationships/hyperlink" Target="https://raw.githubusercontent.com/CainBeaudoin/bb/main/evidence/20260923T141817Z/allbridge_SOL-ETH_s3_crop.png" TargetMode="External" Id="rId75" /><Relationship Type="http://schemas.openxmlformats.org/officeDocument/2006/relationships/hyperlink" Target="https://raw.githubusercontent.com/CainBeaudoin/bb/main/evidence/20260923T141817Z/allbridge_SOL-ETH_s3_full.png" TargetMode="External" Id="rId76" /><Relationship Type="http://schemas.openxmlformats.org/officeDocument/2006/relationships/hyperlink" Target="https://raw.githubusercontent.com/CainBeaudoin/bb/main/evidence/20260923T141817Z/cctp_SOL-ETH_s3_crop.png" TargetMode="External" Id="rId77" /><Relationship Type="http://schemas.openxmlformats.org/officeDocument/2006/relationships/hyperlink" Target="https://raw.githubusercontent.com/CainBeaudoin/bb/main/evidence/20260923T141817Z/cctp_SOL-ETH_s3_full.png" TargetMode="External" Id="rId78" /><Relationship Type="http://schemas.openxmlformats.org/officeDocument/2006/relationships/hyperlink" Target="https://raw.githubusercontent.com/CainBeaudoin/bb/main/evidence/20260923T141817Z/husher_SOL-ETH_s3_crop.png" TargetMode="External" Id="rId79" /><Relationship Type="http://schemas.openxmlformats.org/officeDocument/2006/relationships/hyperlink" Target="https://raw.githubusercontent.com/CainBeaudoin/bb/main/evidence/20260923T141817Z/husher_SOL-ETH_s3_full.png" TargetMode="External" Id="rId80" /><Relationship Type="http://schemas.openxmlformats.org/officeDocument/2006/relationships/hyperlink" Target="https://raw.githubusercontent.com/CainBeaudoin/bb/main/evidence/20260923T141817Z/layerswap_SOL-ETH_s3_crop.png" TargetMode="External" Id="rId81" /><Relationship Type="http://schemas.openxmlformats.org/officeDocument/2006/relationships/hyperlink" Target="https://raw.githubusercontent.com/CainBeaudoin/bb/main/evidence/20260923T141817Z/layerswap_SOL-ETH_s3_full.png" TargetMode="External" Id="rId82" /><Relationship Type="http://schemas.openxmlformats.org/officeDocument/2006/relationships/hyperlink" Target="https://raw.githubusercontent.com/CainBeaudoin/bb/main/evidence/20260923T141817Z/meson_SOL-ETH_s3_crop.png" TargetMode="External" Id="rId83" /><Relationship Type="http://schemas.openxmlformats.org/officeDocument/2006/relationships/hyperlink" Target="https://raw.githubusercontent.com/CainBeaudoin/bb/main/evidence/20260923T141817Z/meson_SOL-ETH_s3_full.png" TargetMode="External" Id="rId84" /><Relationship Type="http://schemas.openxmlformats.org/officeDocument/2006/relationships/hyperlink" Target="https://raw.githubusercontent.com/CainBeaudoin/bb/main/evidence/20260923T141817Z/simpleswap_SOL-ETH_s3_crop.png" TargetMode="External" Id="rId85" /><Relationship Type="http://schemas.openxmlformats.org/officeDocument/2006/relationships/hyperlink" Target="https://raw.githubusercontent.com/CainBeaudoin/bb/main/evidence/20260923T141817Z/simpleswap_SOL-ETH_s3_full.png" TargetMode="External" Id="rId86" /><Relationship Type="http://schemas.openxmlformats.org/officeDocument/2006/relationships/hyperlink" Target="https://raw.githubusercontent.com/CainBeaudoin/bb/main/evidence/20260923T141817Z/skip-go_SOL-ETH_s3_crop.png" TargetMode="External" Id="rId87" /><Relationship Type="http://schemas.openxmlformats.org/officeDocument/2006/relationships/hyperlink" Target="https://raw.githubusercontent.com/CainBeaudoin/bb/main/evidence/20260923T141817Z/skip-go_SOL-ETH_s3_full.png" TargetMode="External" Id="rId88" /><Relationship Type="http://schemas.openxmlformats.org/officeDocument/2006/relationships/hyperlink" Target="https://raw.githubusercontent.com/CainBeaudoin/bb/main/evidence/20260923T141817Z/symbiosis_SOL-ETH_s3_crop.png" TargetMode="External" Id="rId89" /><Relationship Type="http://schemas.openxmlformats.org/officeDocument/2006/relationships/hyperlink" Target="https://raw.githubusercontent.com/CainBeaudoin/bb/main/evidence/20260923T141817Z/symbiosis_SOL-ETH_s3_full.png" TargetMode="External" Id="rId90" /><Relationship Type="http://schemas.openxmlformats.org/officeDocument/2006/relationships/hyperlink" Target="https://raw.githubusercontent.com/CainBeaudoin/bb/main/evidence/20260923T141817Z/bridg_ETH-SOL_s1_crop.png" TargetMode="External" Id="rId91" /><Relationship Type="http://schemas.openxmlformats.org/officeDocument/2006/relationships/hyperlink" Target="https://raw.githubusercontent.com/CainBeaudoin/bb/main/evidence/20260923T141817Z/bridg_ETH-SOL_s1_full.png" TargetMode="External" Id="rId92" /><Relationship Type="http://schemas.openxmlformats.org/officeDocument/2006/relationships/hyperlink" Target="https://raw.githubusercontent.com/CainBeaudoin/bb/main/evidence/20260923T141817Z/opensea_ETH-SOL_s1_crop.png" TargetMode="External" Id="rId93" /><Relationship Type="http://schemas.openxmlformats.org/officeDocument/2006/relationships/hyperlink" Target="https://raw.githubusercontent.com/CainBeaudoin/bb/main/evidence/20260923T141817Z/opensea_ETH-SOL_s1_full.png" TargetMode="External" Id="rId94" /><Relationship Type="http://schemas.openxmlformats.org/officeDocument/2006/relationships/hyperlink" Target="https://raw.githubusercontent.com/CainBeaudoin/bb/main/evidence/20260923T141817Z/relay_ETH-SOL_s1_crop.png" TargetMode="External" Id="rId95" /><Relationship Type="http://schemas.openxmlformats.org/officeDocument/2006/relationships/hyperlink" Target="https://raw.githubusercontent.com/CainBeaudoin/bb/main/evidence/20260923T141817Z/relay_ETH-SOL_s1_full.png" TargetMode="External" Id="rId96" /><Relationship Type="http://schemas.openxmlformats.org/officeDocument/2006/relationships/hyperlink" Target="https://raw.githubusercontent.com/CainBeaudoin/bb/main/evidence/20260923T141817Z/debridge_ETH-SOL_s1_crop.png" TargetMode="External" Id="rId97" /><Relationship Type="http://schemas.openxmlformats.org/officeDocument/2006/relationships/hyperlink" Target="https://raw.githubusercontent.com/CainBeaudoin/bb/main/evidence/20260923T141817Z/debridge_ETH-SOL_s1_full.png" TargetMode="External" Id="rId98" /><Relationship Type="http://schemas.openxmlformats.org/officeDocument/2006/relationships/hyperlink" Target="https://raw.githubusercontent.com/CainBeaudoin/bb/main/evidence/20260923T141817Z/lifi_ETH-SOL_s1_crop.png" TargetMode="External" Id="rId99" /><Relationship Type="http://schemas.openxmlformats.org/officeDocument/2006/relationships/hyperlink" Target="https://raw.githubusercontent.com/CainBeaudoin/bb/main/evidence/20260923T141817Z/lifi_ETH-SOL_s1_full.png" TargetMode="External" Id="rId100" /><Relationship Type="http://schemas.openxmlformats.org/officeDocument/2006/relationships/hyperlink" Target="https://raw.githubusercontent.com/CainBeaudoin/bb/main/evidence/20260923T141817Z/across_ETH-SOL_s1_crop.png" TargetMode="External" Id="rId101" /><Relationship Type="http://schemas.openxmlformats.org/officeDocument/2006/relationships/hyperlink" Target="https://raw.githubusercontent.com/CainBeaudoin/bb/main/evidence/20260923T141817Z/across_ETH-SOL_s1_full.png" TargetMode="External" Id="rId102" /><Relationship Type="http://schemas.openxmlformats.org/officeDocument/2006/relationships/hyperlink" Target="https://raw.githubusercontent.com/CainBeaudoin/bb/main/evidence/20260923T141817Z/mayan_ETH-SOL_s1_crop.png" TargetMode="External" Id="rId103" /><Relationship Type="http://schemas.openxmlformats.org/officeDocument/2006/relationships/hyperlink" Target="https://raw.githubusercontent.com/CainBeaudoin/bb/main/evidence/20260923T141817Z/mayan_ETH-SOL_s1_full.png" TargetMode="External" Id="rId104" /><Relationship Type="http://schemas.openxmlformats.org/officeDocument/2006/relationships/hyperlink" Target="https://raw.githubusercontent.com/CainBeaudoin/bb/main/evidence/20260923T141817Z/allbridge_ETH-SOL_s1_crop.png" TargetMode="External" Id="rId105" /><Relationship Type="http://schemas.openxmlformats.org/officeDocument/2006/relationships/hyperlink" Target="https://raw.githubusercontent.com/CainBeaudoin/bb/main/evidence/20260923T141817Z/allbridge_ETH-SOL_s1_full.png" TargetMode="External" Id="rId106" /><Relationship Type="http://schemas.openxmlformats.org/officeDocument/2006/relationships/hyperlink" Target="https://raw.githubusercontent.com/CainBeaudoin/bb/main/evidence/20260923T141817Z/cctp_ETH-SOL_s1_crop.png" TargetMode="External" Id="rId107" /><Relationship Type="http://schemas.openxmlformats.org/officeDocument/2006/relationships/hyperlink" Target="https://raw.githubusercontent.com/CainBeaudoin/bb/main/evidence/20260923T141817Z/cctp_ETH-SOL_s1_full.png" TargetMode="External" Id="rId108" /><Relationship Type="http://schemas.openxmlformats.org/officeDocument/2006/relationships/hyperlink" Target="https://raw.githubusercontent.com/CainBeaudoin/bb/main/evidence/20260923T141817Z/husher_ETH-SOL_s1_crop.png" TargetMode="External" Id="rId109" /><Relationship Type="http://schemas.openxmlformats.org/officeDocument/2006/relationships/hyperlink" Target="https://raw.githubusercontent.com/CainBeaudoin/bb/main/evidence/20260923T141817Z/husher_ETH-SOL_s1_full.png" TargetMode="External" Id="rId110" /><Relationship Type="http://schemas.openxmlformats.org/officeDocument/2006/relationships/hyperlink" Target="https://raw.githubusercontent.com/CainBeaudoin/bb/main/evidence/20260923T141817Z/layerswap_ETH-SOL_s1_crop.png" TargetMode="External" Id="rId111" /><Relationship Type="http://schemas.openxmlformats.org/officeDocument/2006/relationships/hyperlink" Target="https://raw.githubusercontent.com/CainBeaudoin/bb/main/evidence/20260923T141817Z/layerswap_ETH-SOL_s1_full.png" TargetMode="External" Id="rId112" /><Relationship Type="http://schemas.openxmlformats.org/officeDocument/2006/relationships/hyperlink" Target="https://raw.githubusercontent.com/CainBeaudoin/bb/main/evidence/20260923T141817Z/meson_ETH-SOL_s1_crop.png" TargetMode="External" Id="rId113" /><Relationship Type="http://schemas.openxmlformats.org/officeDocument/2006/relationships/hyperlink" Target="https://raw.githubusercontent.com/CainBeaudoin/bb/main/evidence/20260923T141817Z/meson_ETH-SOL_s1_full.png" TargetMode="External" Id="rId114" /><Relationship Type="http://schemas.openxmlformats.org/officeDocument/2006/relationships/hyperlink" Target="https://raw.githubusercontent.com/CainBeaudoin/bb/main/evidence/20260923T141817Z/simpleswap_ETH-SOL_s1_crop.png" TargetMode="External" Id="rId115" /><Relationship Type="http://schemas.openxmlformats.org/officeDocument/2006/relationships/hyperlink" Target="https://raw.githubusercontent.com/CainBeaudoin/bb/main/evidence/20260923T141817Z/simpleswap_ETH-SOL_s1_full.png" TargetMode="External" Id="rId116" /><Relationship Type="http://schemas.openxmlformats.org/officeDocument/2006/relationships/hyperlink" Target="https://raw.githubusercontent.com/CainBeaudoin/bb/main/evidence/20260923T141817Z/skip-go_ETH-SOL_s1_crop.png" TargetMode="External" Id="rId117" /><Relationship Type="http://schemas.openxmlformats.org/officeDocument/2006/relationships/hyperlink" Target="https://raw.githubusercontent.com/CainBeaudoin/bb/main/evidence/20260923T141817Z/skip-go_ETH-SOL_s1_full.png" TargetMode="External" Id="rId118" /><Relationship Type="http://schemas.openxmlformats.org/officeDocument/2006/relationships/hyperlink" Target="https://raw.githubusercontent.com/CainBeaudoin/bb/main/evidence/20260923T141817Z/symbiosis_ETH-SOL_s1_crop.png" TargetMode="External" Id="rId119" /><Relationship Type="http://schemas.openxmlformats.org/officeDocument/2006/relationships/hyperlink" Target="https://raw.githubusercontent.com/CainBeaudoin/bb/main/evidence/20260923T141817Z/symbiosis_ETH-SOL_s1_full.png" TargetMode="External" Id="rId120" /><Relationship Type="http://schemas.openxmlformats.org/officeDocument/2006/relationships/hyperlink" Target="https://raw.githubusercontent.com/CainBeaudoin/bb/main/evidence/20260923T141817Z/bridg_ETH-SOL_s2_crop.png" TargetMode="External" Id="rId121" /><Relationship Type="http://schemas.openxmlformats.org/officeDocument/2006/relationships/hyperlink" Target="https://raw.githubusercontent.com/CainBeaudoin/bb/main/evidence/20260923T141817Z/bridg_ETH-SOL_s2_full.png" TargetMode="External" Id="rId122" /><Relationship Type="http://schemas.openxmlformats.org/officeDocument/2006/relationships/hyperlink" Target="https://raw.githubusercontent.com/CainBeaudoin/bb/main/evidence/20260923T141817Z/opensea_ETH-SOL_s2_crop.png" TargetMode="External" Id="rId123" /><Relationship Type="http://schemas.openxmlformats.org/officeDocument/2006/relationships/hyperlink" Target="https://raw.githubusercontent.com/CainBeaudoin/bb/main/evidence/20260923T141817Z/opensea_ETH-SOL_s2_full.png" TargetMode="External" Id="rId124" /><Relationship Type="http://schemas.openxmlformats.org/officeDocument/2006/relationships/hyperlink" Target="https://raw.githubusercontent.com/CainBeaudoin/bb/main/evidence/20260923T141817Z/relay_ETH-SOL_s2_crop.png" TargetMode="External" Id="rId125" /><Relationship Type="http://schemas.openxmlformats.org/officeDocument/2006/relationships/hyperlink" Target="https://raw.githubusercontent.com/CainBeaudoin/bb/main/evidence/20260923T141817Z/relay_ETH-SOL_s2_full.png" TargetMode="External" Id="rId126" /><Relationship Type="http://schemas.openxmlformats.org/officeDocument/2006/relationships/hyperlink" Target="https://raw.githubusercontent.com/CainBeaudoin/bb/main/evidence/20260923T141817Z/debridge_ETH-SOL_s2_crop.png" TargetMode="External" Id="rId127" /><Relationship Type="http://schemas.openxmlformats.org/officeDocument/2006/relationships/hyperlink" Target="https://raw.githubusercontent.com/CainBeaudoin/bb/main/evidence/20260923T141817Z/debridge_ETH-SOL_s2_full.png" TargetMode="External" Id="rId128" /><Relationship Type="http://schemas.openxmlformats.org/officeDocument/2006/relationships/hyperlink" Target="https://raw.githubusercontent.com/CainBeaudoin/bb/main/evidence/20260923T141817Z/lifi_ETH-SOL_s2_crop.png" TargetMode="External" Id="rId129" /><Relationship Type="http://schemas.openxmlformats.org/officeDocument/2006/relationships/hyperlink" Target="https://raw.githubusercontent.com/CainBeaudoin/bb/main/evidence/20260923T141817Z/lifi_ETH-SOL_s2_full.png" TargetMode="External" Id="rId130" /><Relationship Type="http://schemas.openxmlformats.org/officeDocument/2006/relationships/hyperlink" Target="https://raw.githubusercontent.com/CainBeaudoin/bb/main/evidence/20260923T141817Z/across_ETH-SOL_s2_crop.png" TargetMode="External" Id="rId131" /><Relationship Type="http://schemas.openxmlformats.org/officeDocument/2006/relationships/hyperlink" Target="https://raw.githubusercontent.com/CainBeaudoin/bb/main/evidence/20260923T141817Z/across_ETH-SOL_s2_full.png" TargetMode="External" Id="rId132" /><Relationship Type="http://schemas.openxmlformats.org/officeDocument/2006/relationships/hyperlink" Target="https://raw.githubusercontent.com/CainBeaudoin/bb/main/evidence/20260923T141817Z/mayan_ETH-SOL_s2_crop.png" TargetMode="External" Id="rId133" /><Relationship Type="http://schemas.openxmlformats.org/officeDocument/2006/relationships/hyperlink" Target="https://raw.githubusercontent.com/CainBeaudoin/bb/main/evidence/20260923T141817Z/mayan_ETH-SOL_s2_full.png" TargetMode="External" Id="rId134" /><Relationship Type="http://schemas.openxmlformats.org/officeDocument/2006/relationships/hyperlink" Target="https://raw.githubusercontent.com/CainBeaudoin/bb/main/evidence/20260923T141817Z/allbridge_ETH-SOL_s2_crop.png" TargetMode="External" Id="rId135" /><Relationship Type="http://schemas.openxmlformats.org/officeDocument/2006/relationships/hyperlink" Target="https://raw.githubusercontent.com/CainBeaudoin/bb/main/evidence/20260923T141817Z/allbridge_ETH-SOL_s2_full.png" TargetMode="External" Id="rId136" /><Relationship Type="http://schemas.openxmlformats.org/officeDocument/2006/relationships/hyperlink" Target="https://raw.githubusercontent.com/CainBeaudoin/bb/main/evidence/20260923T141817Z/cctp_ETH-SOL_s2_crop.png" TargetMode="External" Id="rId137" /><Relationship Type="http://schemas.openxmlformats.org/officeDocument/2006/relationships/hyperlink" Target="https://raw.githubusercontent.com/CainBeaudoin/bb/main/evidence/20260923T141817Z/cctp_ETH-SOL_s2_full.png" TargetMode="External" Id="rId138" /><Relationship Type="http://schemas.openxmlformats.org/officeDocument/2006/relationships/hyperlink" Target="https://raw.githubusercontent.com/CainBeaudoin/bb/main/evidence/20260923T141817Z/husher_ETH-SOL_s2_crop.png" TargetMode="External" Id="rId139" /><Relationship Type="http://schemas.openxmlformats.org/officeDocument/2006/relationships/hyperlink" Target="https://raw.githubusercontent.com/CainBeaudoin/bb/main/evidence/20260923T141817Z/husher_ETH-SOL_s2_full.png" TargetMode="External" Id="rId140" /><Relationship Type="http://schemas.openxmlformats.org/officeDocument/2006/relationships/hyperlink" Target="https://raw.githubusercontent.com/CainBeaudoin/bb/main/evidence/20260923T141817Z/layerswap_ETH-SOL_s2_crop.png" TargetMode="External" Id="rId141" /><Relationship Type="http://schemas.openxmlformats.org/officeDocument/2006/relationships/hyperlink" Target="https://raw.githubusercontent.com/CainBeaudoin/bb/main/evidence/20260923T141817Z/layerswap_ETH-SOL_s2_full.png" TargetMode="External" Id="rId142" /><Relationship Type="http://schemas.openxmlformats.org/officeDocument/2006/relationships/hyperlink" Target="https://raw.githubusercontent.com/CainBeaudoin/bb/main/evidence/20260923T141817Z/meson_ETH-SOL_s2_crop.png" TargetMode="External" Id="rId143" /><Relationship Type="http://schemas.openxmlformats.org/officeDocument/2006/relationships/hyperlink" Target="https://raw.githubusercontent.com/CainBeaudoin/bb/main/evidence/20260923T141817Z/meson_ETH-SOL_s2_full.png" TargetMode="External" Id="rId144" /><Relationship Type="http://schemas.openxmlformats.org/officeDocument/2006/relationships/hyperlink" Target="https://raw.githubusercontent.com/CainBeaudoin/bb/main/evidence/20260923T141817Z/skip-go_ETH-SOL_s2_crop.png" TargetMode="External" Id="rId145" /><Relationship Type="http://schemas.openxmlformats.org/officeDocument/2006/relationships/hyperlink" Target="https://raw.githubusercontent.com/CainBeaudoin/bb/main/evidence/20260923T141817Z/skip-go_ETH-SOL_s2_full.png" TargetMode="External" Id="rId146" /><Relationship Type="http://schemas.openxmlformats.org/officeDocument/2006/relationships/hyperlink" Target="https://raw.githubusercontent.com/CainBeaudoin/bb/main/evidence/20260923T141817Z/symbiosis_ETH-SOL_s2_crop.png" TargetMode="External" Id="rId147" /><Relationship Type="http://schemas.openxmlformats.org/officeDocument/2006/relationships/hyperlink" Target="https://raw.githubusercontent.com/CainBeaudoin/bb/main/evidence/20260923T141817Z/symbiosis_ETH-SOL_s2_full.png" TargetMode="External" Id="rId148" /><Relationship Type="http://schemas.openxmlformats.org/officeDocument/2006/relationships/hyperlink" Target="https://raw.githubusercontent.com/CainBeaudoin/bb/main/evidence/20260923T141817Z/bridg_ETH-SOL_s3_crop.png" TargetMode="External" Id="rId149" /><Relationship Type="http://schemas.openxmlformats.org/officeDocument/2006/relationships/hyperlink" Target="https://raw.githubusercontent.com/CainBeaudoin/bb/main/evidence/20260923T141817Z/bridg_ETH-SOL_s3_full.png" TargetMode="External" Id="rId150" /><Relationship Type="http://schemas.openxmlformats.org/officeDocument/2006/relationships/hyperlink" Target="https://raw.githubusercontent.com/CainBeaudoin/bb/main/evidence/20260923T141817Z/opensea_ETH-SOL_s3_crop.png" TargetMode="External" Id="rId151" /><Relationship Type="http://schemas.openxmlformats.org/officeDocument/2006/relationships/hyperlink" Target="https://raw.githubusercontent.com/CainBeaudoin/bb/main/evidence/20260923T141817Z/opensea_ETH-SOL_s3_full.png" TargetMode="External" Id="rId152" /><Relationship Type="http://schemas.openxmlformats.org/officeDocument/2006/relationships/hyperlink" Target="https://raw.githubusercontent.com/CainBeaudoin/bb/main/evidence/20260923T141817Z/relay_ETH-SOL_s3_crop.png" TargetMode="External" Id="rId153" /><Relationship Type="http://schemas.openxmlformats.org/officeDocument/2006/relationships/hyperlink" Target="https://raw.githubusercontent.com/CainBeaudoin/bb/main/evidence/20260923T141817Z/relay_ETH-SOL_s3_full.png" TargetMode="External" Id="rId154" /><Relationship Type="http://schemas.openxmlformats.org/officeDocument/2006/relationships/hyperlink" Target="https://raw.githubusercontent.com/CainBeaudoin/bb/main/evidence/20260923T141817Z/debridge_ETH-SOL_s3_crop.png" TargetMode="External" Id="rId155" /><Relationship Type="http://schemas.openxmlformats.org/officeDocument/2006/relationships/hyperlink" Target="https://raw.githubusercontent.com/CainBeaudoin/bb/main/evidence/20260923T141817Z/debridge_ETH-SOL_s3_full.png" TargetMode="External" Id="rId156" /><Relationship Type="http://schemas.openxmlformats.org/officeDocument/2006/relationships/hyperlink" Target="https://raw.githubusercontent.com/CainBeaudoin/bb/main/evidence/20260923T141817Z/lifi_ETH-SOL_s3_crop.png" TargetMode="External" Id="rId157" /><Relationship Type="http://schemas.openxmlformats.org/officeDocument/2006/relationships/hyperlink" Target="https://raw.githubusercontent.com/CainBeaudoin/bb/main/evidence/20260923T141817Z/lifi_ETH-SOL_s3_full.png" TargetMode="External" Id="rId158" /><Relationship Type="http://schemas.openxmlformats.org/officeDocument/2006/relationships/hyperlink" Target="https://raw.githubusercontent.com/CainBeaudoin/bb/main/evidence/20260923T141817Z/across_ETH-SOL_s3_crop.png" TargetMode="External" Id="rId159" /><Relationship Type="http://schemas.openxmlformats.org/officeDocument/2006/relationships/hyperlink" Target="https://raw.githubusercontent.com/CainBeaudoin/bb/main/evidence/20260923T141817Z/across_ETH-SOL_s3_full.png" TargetMode="External" Id="rId160" /><Relationship Type="http://schemas.openxmlformats.org/officeDocument/2006/relationships/hyperlink" Target="https://raw.githubusercontent.com/CainBeaudoin/bb/main/evidence/20260923T141817Z/mayan_ETH-SOL_s3_crop.png" TargetMode="External" Id="rId161" /><Relationship Type="http://schemas.openxmlformats.org/officeDocument/2006/relationships/hyperlink" Target="https://raw.githubusercontent.com/CainBeaudoin/bb/main/evidence/20260923T141817Z/mayan_ETH-SOL_s3_full.png" TargetMode="External" Id="rId162" /><Relationship Type="http://schemas.openxmlformats.org/officeDocument/2006/relationships/hyperlink" Target="https://raw.githubusercontent.com/CainBeaudoin/bb/main/evidence/20260923T141817Z/allbridge_ETH-SOL_s3_crop.png" TargetMode="External" Id="rId163" /><Relationship Type="http://schemas.openxmlformats.org/officeDocument/2006/relationships/hyperlink" Target="https://raw.githubusercontent.com/CainBeaudoin/bb/main/evidence/20260923T141817Z/allbridge_ETH-SOL_s3_full.png" TargetMode="External" Id="rId164" /><Relationship Type="http://schemas.openxmlformats.org/officeDocument/2006/relationships/hyperlink" Target="https://raw.githubusercontent.com/CainBeaudoin/bb/main/evidence/20260923T141817Z/cctp_ETH-SOL_s3_crop.png" TargetMode="External" Id="rId165" /><Relationship Type="http://schemas.openxmlformats.org/officeDocument/2006/relationships/hyperlink" Target="https://raw.githubusercontent.com/CainBeaudoin/bb/main/evidence/20260923T141817Z/cctp_ETH-SOL_s3_full.png" TargetMode="External" Id="rId166" /><Relationship Type="http://schemas.openxmlformats.org/officeDocument/2006/relationships/hyperlink" Target="https://raw.githubusercontent.com/CainBeaudoin/bb/main/evidence/20260923T141817Z/husher_ETH-SOL_s3_crop.png" TargetMode="External" Id="rId167" /><Relationship Type="http://schemas.openxmlformats.org/officeDocument/2006/relationships/hyperlink" Target="https://raw.githubusercontent.com/CainBeaudoin/bb/main/evidence/20260923T141817Z/husher_ETH-SOL_s3_full.png" TargetMode="External" Id="rId168" /><Relationship Type="http://schemas.openxmlformats.org/officeDocument/2006/relationships/hyperlink" Target="https://raw.githubusercontent.com/CainBeaudoin/bb/main/evidence/20260923T141817Z/layerswap_ETH-SOL_s3_crop.png" TargetMode="External" Id="rId169" /><Relationship Type="http://schemas.openxmlformats.org/officeDocument/2006/relationships/hyperlink" Target="https://raw.githubusercontent.com/CainBeaudoin/bb/main/evidence/20260923T141817Z/layerswap_ETH-SOL_s3_full.png" TargetMode="External" Id="rId170" /><Relationship Type="http://schemas.openxmlformats.org/officeDocument/2006/relationships/hyperlink" Target="https://raw.githubusercontent.com/CainBeaudoin/bb/main/evidence/20260923T141817Z/meson_ETH-SOL_s3_crop.png" TargetMode="External" Id="rId171" /><Relationship Type="http://schemas.openxmlformats.org/officeDocument/2006/relationships/hyperlink" Target="https://raw.githubusercontent.com/CainBeaudoin/bb/main/evidence/20260923T141817Z/meson_ETH-SOL_s3_full.png" TargetMode="External" Id="rId172" /><Relationship Type="http://schemas.openxmlformats.org/officeDocument/2006/relationships/hyperlink" Target="https://raw.githubusercontent.com/CainBeaudoin/bb/main/evidence/20260923T141817Z/simpleswap_ETH-SOL_s3_crop.png" TargetMode="External" Id="rId173" /><Relationship Type="http://schemas.openxmlformats.org/officeDocument/2006/relationships/hyperlink" Target="https://raw.githubusercontent.com/CainBeaudoin/bb/main/evidence/20260923T141817Z/simpleswap_ETH-SOL_s3_full.png" TargetMode="External" Id="rId174" /><Relationship Type="http://schemas.openxmlformats.org/officeDocument/2006/relationships/hyperlink" Target="https://raw.githubusercontent.com/CainBeaudoin/bb/main/evidence/20260923T141817Z/skip-go_ETH-SOL_s3_crop.png" TargetMode="External" Id="rId175" /><Relationship Type="http://schemas.openxmlformats.org/officeDocument/2006/relationships/hyperlink" Target="https://raw.githubusercontent.com/CainBeaudoin/bb/main/evidence/20260923T141817Z/skip-go_ETH-SOL_s3_full.png" TargetMode="External" Id="rId176" /><Relationship Type="http://schemas.openxmlformats.org/officeDocument/2006/relationships/hyperlink" Target="https://raw.githubusercontent.com/CainBeaudoin/bb/main/evidence/20260923T141817Z/symbiosis_ETH-SOL_s3_crop.png" TargetMode="External" Id="rId177" /><Relationship Type="http://schemas.openxmlformats.org/officeDocument/2006/relationships/hyperlink" Target="https://raw.githubusercontent.com/CainBeaudoin/bb/main/evidence/20260923T141817Z/symbiosis_ETH-SOL_s3_full.png" TargetMode="External" Id="rId178" /><Relationship Type="http://schemas.openxmlformats.org/officeDocument/2006/relationships/hyperlink" Target="https://raw.githubusercontent.com/CainBeaudoin/bb/main/evidence/20260923T141817Z/bridg_SOL-BSC_s1_crop.png" TargetMode="External" Id="rId179" /><Relationship Type="http://schemas.openxmlformats.org/officeDocument/2006/relationships/hyperlink" Target="https://raw.githubusercontent.com/CainBeaudoin/bb/main/evidence/20260923T141817Z/bridg_SOL-BSC_s1_full.png" TargetMode="External" Id="rId180" /><Relationship Type="http://schemas.openxmlformats.org/officeDocument/2006/relationships/hyperlink" Target="https://raw.githubusercontent.com/CainBeaudoin/bb/main/evidence/20260923T141817Z/relay_SOL-BSC_s1_crop.png" TargetMode="External" Id="rId181" /><Relationship Type="http://schemas.openxmlformats.org/officeDocument/2006/relationships/hyperlink" Target="https://raw.githubusercontent.com/CainBeaudoin/bb/main/evidence/20260923T141817Z/relay_SOL-BSC_s1_full.png" TargetMode="External" Id="rId182" /><Relationship Type="http://schemas.openxmlformats.org/officeDocument/2006/relationships/hyperlink" Target="https://raw.githubusercontent.com/CainBeaudoin/bb/main/evidence/20260923T141817Z/debridge_SOL-BSC_s1_crop.png" TargetMode="External" Id="rId183" /><Relationship Type="http://schemas.openxmlformats.org/officeDocument/2006/relationships/hyperlink" Target="https://raw.githubusercontent.com/CainBeaudoin/bb/main/evidence/20260923T141817Z/debridge_SOL-BSC_s1_full.png" TargetMode="External" Id="rId184" /><Relationship Type="http://schemas.openxmlformats.org/officeDocument/2006/relationships/hyperlink" Target="https://raw.githubusercontent.com/CainBeaudoin/bb/main/evidence/20260923T141817Z/lifi_SOL-BSC_s1_crop.png" TargetMode="External" Id="rId185" /><Relationship Type="http://schemas.openxmlformats.org/officeDocument/2006/relationships/hyperlink" Target="https://raw.githubusercontent.com/CainBeaudoin/bb/main/evidence/20260923T141817Z/lifi_SOL-BSC_s1_full.png" TargetMode="External" Id="rId186" /><Relationship Type="http://schemas.openxmlformats.org/officeDocument/2006/relationships/hyperlink" Target="https://raw.githubusercontent.com/CainBeaudoin/bb/main/evidence/20260923T141817Z/across_SOL-BSC_s1_crop.png" TargetMode="External" Id="rId187" /><Relationship Type="http://schemas.openxmlformats.org/officeDocument/2006/relationships/hyperlink" Target="https://raw.githubusercontent.com/CainBeaudoin/bb/main/evidence/20260923T141817Z/across_SOL-BSC_s1_full.png" TargetMode="External" Id="rId188" /><Relationship Type="http://schemas.openxmlformats.org/officeDocument/2006/relationships/hyperlink" Target="https://raw.githubusercontent.com/CainBeaudoin/bb/main/evidence/20260923T141817Z/mayan_SOL-BSC_s1_crop.png" TargetMode="External" Id="rId189" /><Relationship Type="http://schemas.openxmlformats.org/officeDocument/2006/relationships/hyperlink" Target="https://raw.githubusercontent.com/CainBeaudoin/bb/main/evidence/20260923T141817Z/mayan_SOL-BSC_s1_full.png" TargetMode="External" Id="rId190" /><Relationship Type="http://schemas.openxmlformats.org/officeDocument/2006/relationships/hyperlink" Target="https://raw.githubusercontent.com/CainBeaudoin/bb/main/evidence/20260923T141817Z/husher_SOL-BSC_s1_crop.png" TargetMode="External" Id="rId191" /><Relationship Type="http://schemas.openxmlformats.org/officeDocument/2006/relationships/hyperlink" Target="https://raw.githubusercontent.com/CainBeaudoin/bb/main/evidence/20260923T141817Z/husher_SOL-BSC_s1_full.png" TargetMode="External" Id="rId192" /><Relationship Type="http://schemas.openxmlformats.org/officeDocument/2006/relationships/hyperlink" Target="https://raw.githubusercontent.com/CainBeaudoin/bb/main/evidence/20260923T141817Z/layerswap_SOL-BSC_s1_crop.png" TargetMode="External" Id="rId193" /><Relationship Type="http://schemas.openxmlformats.org/officeDocument/2006/relationships/hyperlink" Target="https://raw.githubusercontent.com/CainBeaudoin/bb/main/evidence/20260923T141817Z/layerswap_SOL-BSC_s1_full.png" TargetMode="External" Id="rId194" /><Relationship Type="http://schemas.openxmlformats.org/officeDocument/2006/relationships/hyperlink" Target="https://raw.githubusercontent.com/CainBeaudoin/bb/main/evidence/20260923T141817Z/meson_SOL-BSC_s1_crop.png" TargetMode="External" Id="rId195" /><Relationship Type="http://schemas.openxmlformats.org/officeDocument/2006/relationships/hyperlink" Target="https://raw.githubusercontent.com/CainBeaudoin/bb/main/evidence/20260923T141817Z/meson_SOL-BSC_s1_full.png" TargetMode="External" Id="rId196" /><Relationship Type="http://schemas.openxmlformats.org/officeDocument/2006/relationships/hyperlink" Target="https://raw.githubusercontent.com/CainBeaudoin/bb/main/evidence/20260923T141817Z/simpleswap_SOL-BSC_s1_crop.png" TargetMode="External" Id="rId197" /><Relationship Type="http://schemas.openxmlformats.org/officeDocument/2006/relationships/hyperlink" Target="https://raw.githubusercontent.com/CainBeaudoin/bb/main/evidence/20260923T141817Z/simpleswap_SOL-BSC_s1_full.png" TargetMode="External" Id="rId198" /><Relationship Type="http://schemas.openxmlformats.org/officeDocument/2006/relationships/hyperlink" Target="https://raw.githubusercontent.com/CainBeaudoin/bb/main/evidence/20260923T141817Z/bridg_SOL-BSC_s2_crop.png" TargetMode="External" Id="rId199" /><Relationship Type="http://schemas.openxmlformats.org/officeDocument/2006/relationships/hyperlink" Target="https://raw.githubusercontent.com/CainBeaudoin/bb/main/evidence/20260923T141817Z/bridg_SOL-BSC_s2_full.png" TargetMode="External" Id="rId200" /><Relationship Type="http://schemas.openxmlformats.org/officeDocument/2006/relationships/hyperlink" Target="https://raw.githubusercontent.com/CainBeaudoin/bb/main/evidence/20260923T141817Z/relay_SOL-BSC_s2_crop.png" TargetMode="External" Id="rId201" /><Relationship Type="http://schemas.openxmlformats.org/officeDocument/2006/relationships/hyperlink" Target="https://raw.githubusercontent.com/CainBeaudoin/bb/main/evidence/20260923T141817Z/relay_SOL-BSC_s2_full.png" TargetMode="External" Id="rId202" /><Relationship Type="http://schemas.openxmlformats.org/officeDocument/2006/relationships/hyperlink" Target="https://raw.githubusercontent.com/CainBeaudoin/bb/main/evidence/20260923T141817Z/debridge_SOL-BSC_s2_crop.png" TargetMode="External" Id="rId203" /><Relationship Type="http://schemas.openxmlformats.org/officeDocument/2006/relationships/hyperlink" Target="https://raw.githubusercontent.com/CainBeaudoin/bb/main/evidence/20260923T141817Z/debridge_SOL-BSC_s2_full.png" TargetMode="External" Id="rId204" /><Relationship Type="http://schemas.openxmlformats.org/officeDocument/2006/relationships/hyperlink" Target="https://raw.githubusercontent.com/CainBeaudoin/bb/main/evidence/20260923T141817Z/lifi_SOL-BSC_s2_crop.png" TargetMode="External" Id="rId205" /><Relationship Type="http://schemas.openxmlformats.org/officeDocument/2006/relationships/hyperlink" Target="https://raw.githubusercontent.com/CainBeaudoin/bb/main/evidence/20260923T141817Z/lifi_SOL-BSC_s2_full.png" TargetMode="External" Id="rId206" /><Relationship Type="http://schemas.openxmlformats.org/officeDocument/2006/relationships/hyperlink" Target="https://raw.githubusercontent.com/CainBeaudoin/bb/main/evidence/20260923T141817Z/across_SOL-BSC_s2_crop.png" TargetMode="External" Id="rId207" /><Relationship Type="http://schemas.openxmlformats.org/officeDocument/2006/relationships/hyperlink" Target="https://raw.githubusercontent.com/CainBeaudoin/bb/main/evidence/20260923T141817Z/across_SOL-BSC_s2_full.png" TargetMode="External" Id="rId208" /><Relationship Type="http://schemas.openxmlformats.org/officeDocument/2006/relationships/hyperlink" Target="https://raw.githubusercontent.com/CainBeaudoin/bb/main/evidence/20260923T141817Z/mayan_SOL-BSC_s2_crop.png" TargetMode="External" Id="rId209" /><Relationship Type="http://schemas.openxmlformats.org/officeDocument/2006/relationships/hyperlink" Target="https://raw.githubusercontent.com/CainBeaudoin/bb/main/evidence/20260923T141817Z/mayan_SOL-BSC_s2_full.png" TargetMode="External" Id="rId210" /><Relationship Type="http://schemas.openxmlformats.org/officeDocument/2006/relationships/hyperlink" Target="https://raw.githubusercontent.com/CainBeaudoin/bb/main/evidence/20260923T141817Z/husher_SOL-BSC_s2_crop.png" TargetMode="External" Id="rId211" /><Relationship Type="http://schemas.openxmlformats.org/officeDocument/2006/relationships/hyperlink" Target="https://raw.githubusercontent.com/CainBeaudoin/bb/main/evidence/20260923T141817Z/husher_SOL-BSC_s2_full.png" TargetMode="External" Id="rId212" /><Relationship Type="http://schemas.openxmlformats.org/officeDocument/2006/relationships/hyperlink" Target="https://raw.githubusercontent.com/CainBeaudoin/bb/main/evidence/20260923T141817Z/layerswap_SOL-BSC_s2_crop.png" TargetMode="External" Id="rId213" /><Relationship Type="http://schemas.openxmlformats.org/officeDocument/2006/relationships/hyperlink" Target="https://raw.githubusercontent.com/CainBeaudoin/bb/main/evidence/20260923T141817Z/layerswap_SOL-BSC_s2_full.png" TargetMode="External" Id="rId214" /><Relationship Type="http://schemas.openxmlformats.org/officeDocument/2006/relationships/hyperlink" Target="https://raw.githubusercontent.com/CainBeaudoin/bb/main/evidence/20260923T141817Z/meson_SOL-BSC_s2_crop.png" TargetMode="External" Id="rId215" /><Relationship Type="http://schemas.openxmlformats.org/officeDocument/2006/relationships/hyperlink" Target="https://raw.githubusercontent.com/CainBeaudoin/bb/main/evidence/20260923T141817Z/meson_SOL-BSC_s2_full.png" TargetMode="External" Id="rId216" /><Relationship Type="http://schemas.openxmlformats.org/officeDocument/2006/relationships/hyperlink" Target="https://raw.githubusercontent.com/CainBeaudoin/bb/main/evidence/20260923T141817Z/simpleswap_SOL-BSC_s2_crop.png" TargetMode="External" Id="rId217" /><Relationship Type="http://schemas.openxmlformats.org/officeDocument/2006/relationships/hyperlink" Target="https://raw.githubusercontent.com/CainBeaudoin/bb/main/evidence/20260923T141817Z/simpleswap_SOL-BSC_s2_full.png" TargetMode="External" Id="rId218" /><Relationship Type="http://schemas.openxmlformats.org/officeDocument/2006/relationships/hyperlink" Target="https://raw.githubusercontent.com/CainBeaudoin/bb/main/evidence/20260923T141817Z/bridg_SOL-BSC_s3_crop.png" TargetMode="External" Id="rId219" /><Relationship Type="http://schemas.openxmlformats.org/officeDocument/2006/relationships/hyperlink" Target="https://raw.githubusercontent.com/CainBeaudoin/bb/main/evidence/20260923T141817Z/bridg_SOL-BSC_s3_full.png" TargetMode="External" Id="rId220" /><Relationship Type="http://schemas.openxmlformats.org/officeDocument/2006/relationships/hyperlink" Target="https://raw.githubusercontent.com/CainBeaudoin/bb/main/evidence/20260923T141817Z/relay_SOL-BSC_s3_crop.png" TargetMode="External" Id="rId221" /><Relationship Type="http://schemas.openxmlformats.org/officeDocument/2006/relationships/hyperlink" Target="https://raw.githubusercontent.com/CainBeaudoin/bb/main/evidence/20260923T141817Z/relay_SOL-BSC_s3_full.png" TargetMode="External" Id="rId222" /><Relationship Type="http://schemas.openxmlformats.org/officeDocument/2006/relationships/hyperlink" Target="https://raw.githubusercontent.com/CainBeaudoin/bb/main/evidence/20260923T141817Z/debridge_SOL-BSC_s3_crop.png" TargetMode="External" Id="rId223" /><Relationship Type="http://schemas.openxmlformats.org/officeDocument/2006/relationships/hyperlink" Target="https://raw.githubusercontent.com/CainBeaudoin/bb/main/evidence/20260923T141817Z/debridge_SOL-BSC_s3_full.png" TargetMode="External" Id="rId224" /><Relationship Type="http://schemas.openxmlformats.org/officeDocument/2006/relationships/hyperlink" Target="https://raw.githubusercontent.com/CainBeaudoin/bb/main/evidence/20260923T141817Z/lifi_SOL-BSC_s3_crop.png" TargetMode="External" Id="rId225" /><Relationship Type="http://schemas.openxmlformats.org/officeDocument/2006/relationships/hyperlink" Target="https://raw.githubusercontent.com/CainBeaudoin/bb/main/evidence/20260923T141817Z/lifi_SOL-BSC_s3_full.png" TargetMode="External" Id="rId226" /><Relationship Type="http://schemas.openxmlformats.org/officeDocument/2006/relationships/hyperlink" Target="https://raw.githubusercontent.com/CainBeaudoin/bb/main/evidence/20260923T141817Z/across_SOL-BSC_s3_crop.png" TargetMode="External" Id="rId227" /><Relationship Type="http://schemas.openxmlformats.org/officeDocument/2006/relationships/hyperlink" Target="https://raw.githubusercontent.com/CainBeaudoin/bb/main/evidence/20260923T141817Z/across_SOL-BSC_s3_full.png" TargetMode="External" Id="rId228" /><Relationship Type="http://schemas.openxmlformats.org/officeDocument/2006/relationships/hyperlink" Target="https://raw.githubusercontent.com/CainBeaudoin/bb/main/evidence/20260923T141817Z/mayan_SOL-BSC_s3_crop.png" TargetMode="External" Id="rId229" /><Relationship Type="http://schemas.openxmlformats.org/officeDocument/2006/relationships/hyperlink" Target="https://raw.githubusercontent.com/CainBeaudoin/bb/main/evidence/20260923T141817Z/mayan_SOL-BSC_s3_full.png" TargetMode="External" Id="rId230" /><Relationship Type="http://schemas.openxmlformats.org/officeDocument/2006/relationships/hyperlink" Target="https://raw.githubusercontent.com/CainBeaudoin/bb/main/evidence/20260923T141817Z/husher_SOL-BSC_s3_crop.png" TargetMode="External" Id="rId231" /><Relationship Type="http://schemas.openxmlformats.org/officeDocument/2006/relationships/hyperlink" Target="https://raw.githubusercontent.com/CainBeaudoin/bb/main/evidence/20260923T141817Z/husher_SOL-BSC_s3_full.png" TargetMode="External" Id="rId232" /><Relationship Type="http://schemas.openxmlformats.org/officeDocument/2006/relationships/hyperlink" Target="https://raw.githubusercontent.com/CainBeaudoin/bb/main/evidence/20260923T141817Z/layerswap_SOL-BSC_s3_crop.png" TargetMode="External" Id="rId233" /><Relationship Type="http://schemas.openxmlformats.org/officeDocument/2006/relationships/hyperlink" Target="https://raw.githubusercontent.com/CainBeaudoin/bb/main/evidence/20260923T141817Z/layerswap_SOL-BSC_s3_full.png" TargetMode="External" Id="rId234" /><Relationship Type="http://schemas.openxmlformats.org/officeDocument/2006/relationships/hyperlink" Target="https://raw.githubusercontent.com/CainBeaudoin/bb/main/evidence/20260923T141817Z/meson_SOL-BSC_s3_crop.png" TargetMode="External" Id="rId235" /><Relationship Type="http://schemas.openxmlformats.org/officeDocument/2006/relationships/hyperlink" Target="https://raw.githubusercontent.com/CainBeaudoin/bb/main/evidence/20260923T141817Z/meson_SOL-BSC_s3_full.png" TargetMode="External" Id="rId236" /><Relationship Type="http://schemas.openxmlformats.org/officeDocument/2006/relationships/hyperlink" Target="https://raw.githubusercontent.com/CainBeaudoin/bb/main/evidence/20260923T141817Z/bridg_BSC-SOL_s1_crop.png" TargetMode="External" Id="rId237" /><Relationship Type="http://schemas.openxmlformats.org/officeDocument/2006/relationships/hyperlink" Target="https://raw.githubusercontent.com/CainBeaudoin/bb/main/evidence/20260923T141817Z/bridg_BSC-SOL_s1_full.png" TargetMode="External" Id="rId238" /><Relationship Type="http://schemas.openxmlformats.org/officeDocument/2006/relationships/hyperlink" Target="https://raw.githubusercontent.com/CainBeaudoin/bb/main/evidence/20260923T141817Z/relay_BSC-SOL_s1_crop.png" TargetMode="External" Id="rId239" /><Relationship Type="http://schemas.openxmlformats.org/officeDocument/2006/relationships/hyperlink" Target="https://raw.githubusercontent.com/CainBeaudoin/bb/main/evidence/20260923T141817Z/relay_BSC-SOL_s1_full.png" TargetMode="External" Id="rId240" /><Relationship Type="http://schemas.openxmlformats.org/officeDocument/2006/relationships/hyperlink" Target="https://raw.githubusercontent.com/CainBeaudoin/bb/main/evidence/20260923T141817Z/debridge_BSC-SOL_s1_crop.png" TargetMode="External" Id="rId241" /><Relationship Type="http://schemas.openxmlformats.org/officeDocument/2006/relationships/hyperlink" Target="https://raw.githubusercontent.com/CainBeaudoin/bb/main/evidence/20260923T141817Z/debridge_BSC-SOL_s1_full.png" TargetMode="External" Id="rId242" /><Relationship Type="http://schemas.openxmlformats.org/officeDocument/2006/relationships/hyperlink" Target="https://raw.githubusercontent.com/CainBeaudoin/bb/main/evidence/20260923T141817Z/lifi_BSC-SOL_s1_crop.png" TargetMode="External" Id="rId243" /><Relationship Type="http://schemas.openxmlformats.org/officeDocument/2006/relationships/hyperlink" Target="https://raw.githubusercontent.com/CainBeaudoin/bb/main/evidence/20260923T141817Z/lifi_BSC-SOL_s1_full.png" TargetMode="External" Id="rId244" /><Relationship Type="http://schemas.openxmlformats.org/officeDocument/2006/relationships/hyperlink" Target="https://raw.githubusercontent.com/CainBeaudoin/bb/main/evidence/20260923T141817Z/across_BSC-SOL_s1_crop.png" TargetMode="External" Id="rId245" /><Relationship Type="http://schemas.openxmlformats.org/officeDocument/2006/relationships/hyperlink" Target="https://raw.githubusercontent.com/CainBeaudoin/bb/main/evidence/20260923T141817Z/across_BSC-SOL_s1_full.png" TargetMode="External" Id="rId246" /><Relationship Type="http://schemas.openxmlformats.org/officeDocument/2006/relationships/hyperlink" Target="https://raw.githubusercontent.com/CainBeaudoin/bb/main/evidence/20260923T141817Z/mayan_BSC-SOL_s1_crop.png" TargetMode="External" Id="rId247" /><Relationship Type="http://schemas.openxmlformats.org/officeDocument/2006/relationships/hyperlink" Target="https://raw.githubusercontent.com/CainBeaudoin/bb/main/evidence/20260923T141817Z/mayan_BSC-SOL_s1_full.png" TargetMode="External" Id="rId248" /><Relationship Type="http://schemas.openxmlformats.org/officeDocument/2006/relationships/hyperlink" Target="https://raw.githubusercontent.com/CainBeaudoin/bb/main/evidence/20260923T141817Z/husher_BSC-SOL_s1_crop.png" TargetMode="External" Id="rId249" /><Relationship Type="http://schemas.openxmlformats.org/officeDocument/2006/relationships/hyperlink" Target="https://raw.githubusercontent.com/CainBeaudoin/bb/main/evidence/20260923T141817Z/husher_BSC-SOL_s1_full.png" TargetMode="External" Id="rId250" /><Relationship Type="http://schemas.openxmlformats.org/officeDocument/2006/relationships/hyperlink" Target="https://raw.githubusercontent.com/CainBeaudoin/bb/main/evidence/20260923T141817Z/layerswap_BSC-SOL_s1_crop.png" TargetMode="External" Id="rId251" /><Relationship Type="http://schemas.openxmlformats.org/officeDocument/2006/relationships/hyperlink" Target="https://raw.githubusercontent.com/CainBeaudoin/bb/main/evidence/20260923T141817Z/layerswap_BSC-SOL_s1_full.png" TargetMode="External" Id="rId252" /><Relationship Type="http://schemas.openxmlformats.org/officeDocument/2006/relationships/hyperlink" Target="https://raw.githubusercontent.com/CainBeaudoin/bb/main/evidence/20260923T141817Z/meson_BSC-SOL_s1_crop.png" TargetMode="External" Id="rId253" /><Relationship Type="http://schemas.openxmlformats.org/officeDocument/2006/relationships/hyperlink" Target="https://raw.githubusercontent.com/CainBeaudoin/bb/main/evidence/20260923T141817Z/meson_BSC-SOL_s1_full.png" TargetMode="External" Id="rId254" /><Relationship Type="http://schemas.openxmlformats.org/officeDocument/2006/relationships/hyperlink" Target="https://raw.githubusercontent.com/CainBeaudoin/bb/main/evidence/20260923T141817Z/simpleswap_BSC-SOL_s1_crop.png" TargetMode="External" Id="rId255" /><Relationship Type="http://schemas.openxmlformats.org/officeDocument/2006/relationships/hyperlink" Target="https://raw.githubusercontent.com/CainBeaudoin/bb/main/evidence/20260923T141817Z/simpleswap_BSC-SOL_s1_full.png" TargetMode="External" Id="rId256" /><Relationship Type="http://schemas.openxmlformats.org/officeDocument/2006/relationships/hyperlink" Target="https://raw.githubusercontent.com/CainBeaudoin/bb/main/evidence/20260923T141817Z/symbiosis_BSC-SOL_s1_crop.png" TargetMode="External" Id="rId257" /><Relationship Type="http://schemas.openxmlformats.org/officeDocument/2006/relationships/hyperlink" Target="https://raw.githubusercontent.com/CainBeaudoin/bb/main/evidence/20260923T141817Z/symbiosis_BSC-SOL_s1_full.png" TargetMode="External" Id="rId258" /><Relationship Type="http://schemas.openxmlformats.org/officeDocument/2006/relationships/hyperlink" Target="https://raw.githubusercontent.com/CainBeaudoin/bb/main/evidence/20260923T141817Z/bridg_BSC-SOL_s2_crop.png" TargetMode="External" Id="rId259" /><Relationship Type="http://schemas.openxmlformats.org/officeDocument/2006/relationships/hyperlink" Target="https://raw.githubusercontent.com/CainBeaudoin/bb/main/evidence/20260923T141817Z/bridg_BSC-SOL_s2_full.png" TargetMode="External" Id="rId260" /><Relationship Type="http://schemas.openxmlformats.org/officeDocument/2006/relationships/hyperlink" Target="https://raw.githubusercontent.com/CainBeaudoin/bb/main/evidence/20260923T141817Z/relay_BSC-SOL_s2_crop.png" TargetMode="External" Id="rId261" /><Relationship Type="http://schemas.openxmlformats.org/officeDocument/2006/relationships/hyperlink" Target="https://raw.githubusercontent.com/CainBeaudoin/bb/main/evidence/20260923T141817Z/relay_BSC-SOL_s2_full.png" TargetMode="External" Id="rId262" /><Relationship Type="http://schemas.openxmlformats.org/officeDocument/2006/relationships/hyperlink" Target="https://raw.githubusercontent.com/CainBeaudoin/bb/main/evidence/20260923T141817Z/debridge_BSC-SOL_s2_crop.png" TargetMode="External" Id="rId263" /><Relationship Type="http://schemas.openxmlformats.org/officeDocument/2006/relationships/hyperlink" Target="https://raw.githubusercontent.com/CainBeaudoin/bb/main/evidence/20260923T141817Z/debridge_BSC-SOL_s2_full.png" TargetMode="External" Id="rId264" /><Relationship Type="http://schemas.openxmlformats.org/officeDocument/2006/relationships/hyperlink" Target="https://raw.githubusercontent.com/CainBeaudoin/bb/main/evidence/20260923T141817Z/lifi_BSC-SOL_s2_crop.png" TargetMode="External" Id="rId265" /><Relationship Type="http://schemas.openxmlformats.org/officeDocument/2006/relationships/hyperlink" Target="https://raw.githubusercontent.com/CainBeaudoin/bb/main/evidence/20260923T141817Z/lifi_BSC-SOL_s2_full.png" TargetMode="External" Id="rId266" /><Relationship Type="http://schemas.openxmlformats.org/officeDocument/2006/relationships/hyperlink" Target="https://raw.githubusercontent.com/CainBeaudoin/bb/main/evidence/20260923T141817Z/across_BSC-SOL_s2_crop.png" TargetMode="External" Id="rId267" /><Relationship Type="http://schemas.openxmlformats.org/officeDocument/2006/relationships/hyperlink" Target="https://raw.githubusercontent.com/CainBeaudoin/bb/main/evidence/20260923T141817Z/across_BSC-SOL_s2_full.png" TargetMode="External" Id="rId268" /><Relationship Type="http://schemas.openxmlformats.org/officeDocument/2006/relationships/hyperlink" Target="https://raw.githubusercontent.com/CainBeaudoin/bb/main/evidence/20260923T141817Z/mayan_BSC-SOL_s2_crop.png" TargetMode="External" Id="rId269" /><Relationship Type="http://schemas.openxmlformats.org/officeDocument/2006/relationships/hyperlink" Target="https://raw.githubusercontent.com/CainBeaudoin/bb/main/evidence/20260923T141817Z/mayan_BSC-SOL_s2_full.png" TargetMode="External" Id="rId270" /><Relationship Type="http://schemas.openxmlformats.org/officeDocument/2006/relationships/hyperlink" Target="https://raw.githubusercontent.com/CainBeaudoin/bb/main/evidence/20260923T141817Z/husher_BSC-SOL_s2_crop.png" TargetMode="External" Id="rId271" /><Relationship Type="http://schemas.openxmlformats.org/officeDocument/2006/relationships/hyperlink" Target="https://raw.githubusercontent.com/CainBeaudoin/bb/main/evidence/20260923T141817Z/husher_BSC-SOL_s2_full.png" TargetMode="External" Id="rId272" /><Relationship Type="http://schemas.openxmlformats.org/officeDocument/2006/relationships/hyperlink" Target="https://raw.githubusercontent.com/CainBeaudoin/bb/main/evidence/20260923T141817Z/layerswap_BSC-SOL_s2_crop.png" TargetMode="External" Id="rId273" /><Relationship Type="http://schemas.openxmlformats.org/officeDocument/2006/relationships/hyperlink" Target="https://raw.githubusercontent.com/CainBeaudoin/bb/main/evidence/20260923T141817Z/layerswap_BSC-SOL_s2_full.png" TargetMode="External" Id="rId274" /><Relationship Type="http://schemas.openxmlformats.org/officeDocument/2006/relationships/hyperlink" Target="https://raw.githubusercontent.com/CainBeaudoin/bb/main/evidence/20260923T141817Z/meson_BSC-SOL_s2_crop.png" TargetMode="External" Id="rId275" /><Relationship Type="http://schemas.openxmlformats.org/officeDocument/2006/relationships/hyperlink" Target="https://raw.githubusercontent.com/CainBeaudoin/bb/main/evidence/20260923T141817Z/meson_BSC-SOL_s2_full.png" TargetMode="External" Id="rId276" /><Relationship Type="http://schemas.openxmlformats.org/officeDocument/2006/relationships/hyperlink" Target="https://raw.githubusercontent.com/CainBeaudoin/bb/main/evidence/20260923T141817Z/simpleswap_BSC-SOL_s2_crop.png" TargetMode="External" Id="rId277" /><Relationship Type="http://schemas.openxmlformats.org/officeDocument/2006/relationships/hyperlink" Target="https://raw.githubusercontent.com/CainBeaudoin/bb/main/evidence/20260923T141817Z/simpleswap_BSC-SOL_s2_full.png" TargetMode="External" Id="rId278" /><Relationship Type="http://schemas.openxmlformats.org/officeDocument/2006/relationships/hyperlink" Target="https://raw.githubusercontent.com/CainBeaudoin/bb/main/evidence/20260923T141817Z/symbiosis_BSC-SOL_s2_crop.png" TargetMode="External" Id="rId279" /><Relationship Type="http://schemas.openxmlformats.org/officeDocument/2006/relationships/hyperlink" Target="https://raw.githubusercontent.com/CainBeaudoin/bb/main/evidence/20260923T141817Z/symbiosis_BSC-SOL_s2_full.png" TargetMode="External" Id="rId280" /><Relationship Type="http://schemas.openxmlformats.org/officeDocument/2006/relationships/hyperlink" Target="https://raw.githubusercontent.com/CainBeaudoin/bb/main/evidence/20260923T141817Z/bridg_BSC-SOL_s3_crop.png" TargetMode="External" Id="rId281" /><Relationship Type="http://schemas.openxmlformats.org/officeDocument/2006/relationships/hyperlink" Target="https://raw.githubusercontent.com/CainBeaudoin/bb/main/evidence/20260923T141817Z/bridg_BSC-SOL_s3_full.png" TargetMode="External" Id="rId282" /><Relationship Type="http://schemas.openxmlformats.org/officeDocument/2006/relationships/hyperlink" Target="https://raw.githubusercontent.com/CainBeaudoin/bb/main/evidence/20260923T141817Z/relay_BSC-SOL_s3_crop.png" TargetMode="External" Id="rId283" /><Relationship Type="http://schemas.openxmlformats.org/officeDocument/2006/relationships/hyperlink" Target="https://raw.githubusercontent.com/CainBeaudoin/bb/main/evidence/20260923T141817Z/relay_BSC-SOL_s3_full.png" TargetMode="External" Id="rId284" /><Relationship Type="http://schemas.openxmlformats.org/officeDocument/2006/relationships/hyperlink" Target="https://raw.githubusercontent.com/CainBeaudoin/bb/main/evidence/20260923T141817Z/debridge_BSC-SOL_s3_crop.png" TargetMode="External" Id="rId285" /><Relationship Type="http://schemas.openxmlformats.org/officeDocument/2006/relationships/hyperlink" Target="https://raw.githubusercontent.com/CainBeaudoin/bb/main/evidence/20260923T141817Z/debridge_BSC-SOL_s3_full.png" TargetMode="External" Id="rId286" /><Relationship Type="http://schemas.openxmlformats.org/officeDocument/2006/relationships/hyperlink" Target="https://raw.githubusercontent.com/CainBeaudoin/bb/main/evidence/20260923T141817Z/lifi_BSC-SOL_s3_crop.png" TargetMode="External" Id="rId287" /><Relationship Type="http://schemas.openxmlformats.org/officeDocument/2006/relationships/hyperlink" Target="https://raw.githubusercontent.com/CainBeaudoin/bb/main/evidence/20260923T141817Z/lifi_BSC-SOL_s3_full.png" TargetMode="External" Id="rId288" /><Relationship Type="http://schemas.openxmlformats.org/officeDocument/2006/relationships/hyperlink" Target="https://raw.githubusercontent.com/CainBeaudoin/bb/main/evidence/20260923T141817Z/across_BSC-SOL_s3_crop.png" TargetMode="External" Id="rId289" /><Relationship Type="http://schemas.openxmlformats.org/officeDocument/2006/relationships/hyperlink" Target="https://raw.githubusercontent.com/CainBeaudoin/bb/main/evidence/20260923T141817Z/across_BSC-SOL_s3_full.png" TargetMode="External" Id="rId290" /><Relationship Type="http://schemas.openxmlformats.org/officeDocument/2006/relationships/hyperlink" Target="https://raw.githubusercontent.com/CainBeaudoin/bb/main/evidence/20260923T141817Z/mayan_BSC-SOL_s3_crop.png" TargetMode="External" Id="rId291" /><Relationship Type="http://schemas.openxmlformats.org/officeDocument/2006/relationships/hyperlink" Target="https://raw.githubusercontent.com/CainBeaudoin/bb/main/evidence/20260923T141817Z/mayan_BSC-SOL_s3_full.png" TargetMode="External" Id="rId292" /><Relationship Type="http://schemas.openxmlformats.org/officeDocument/2006/relationships/hyperlink" Target="https://raw.githubusercontent.com/CainBeaudoin/bb/main/evidence/20260923T141817Z/husher_BSC-SOL_s3_crop.png" TargetMode="External" Id="rId293" /><Relationship Type="http://schemas.openxmlformats.org/officeDocument/2006/relationships/hyperlink" Target="https://raw.githubusercontent.com/CainBeaudoin/bb/main/evidence/20260923T141817Z/husher_BSC-SOL_s3_full.png" TargetMode="External" Id="rId294" /><Relationship Type="http://schemas.openxmlformats.org/officeDocument/2006/relationships/hyperlink" Target="https://raw.githubusercontent.com/CainBeaudoin/bb/main/evidence/20260923T141817Z/layerswap_BSC-SOL_s3_crop.png" TargetMode="External" Id="rId295" /><Relationship Type="http://schemas.openxmlformats.org/officeDocument/2006/relationships/hyperlink" Target="https://raw.githubusercontent.com/CainBeaudoin/bb/main/evidence/20260923T141817Z/layerswap_BSC-SOL_s3_full.png" TargetMode="External" Id="rId296" /><Relationship Type="http://schemas.openxmlformats.org/officeDocument/2006/relationships/hyperlink" Target="https://raw.githubusercontent.com/CainBeaudoin/bb/main/evidence/20260923T141817Z/meson_BSC-SOL_s3_crop.png" TargetMode="External" Id="rId297" /><Relationship Type="http://schemas.openxmlformats.org/officeDocument/2006/relationships/hyperlink" Target="https://raw.githubusercontent.com/CainBeaudoin/bb/main/evidence/20260923T141817Z/meson_BSC-SOL_s3_full.png" TargetMode="External" Id="rId298" /><Relationship Type="http://schemas.openxmlformats.org/officeDocument/2006/relationships/hyperlink" Target="https://raw.githubusercontent.com/CainBeaudoin/bb/main/evidence/20260923T141817Z/simpleswap_BSC-SOL_s3_crop.png" TargetMode="External" Id="rId299" /><Relationship Type="http://schemas.openxmlformats.org/officeDocument/2006/relationships/hyperlink" Target="https://raw.githubusercontent.com/CainBeaudoin/bb/main/evidence/20260923T141817Z/simpleswap_BSC-SOL_s3_full.png" TargetMode="External" Id="rId300" /><Relationship Type="http://schemas.openxmlformats.org/officeDocument/2006/relationships/hyperlink" Target="https://raw.githubusercontent.com/CainBeaudoin/bb/main/evidence/20260923T141817Z/symbiosis_BSC-SOL_s3_crop.png" TargetMode="External" Id="rId301" /><Relationship Type="http://schemas.openxmlformats.org/officeDocument/2006/relationships/hyperlink" Target="https://raw.githubusercontent.com/CainBeaudoin/bb/main/evidence/20260923T141817Z/symbiosis_BSC-SOL_s3_full.png" TargetMode="External" Id="rId302" /><Relationship Type="http://schemas.openxmlformats.org/officeDocument/2006/relationships/hyperlink" Target="https://raw.githubusercontent.com/CainBeaudoin/bb/main/evidence/20260923T141817Z/bridg_SOL-Base_s1_crop.png" TargetMode="External" Id="rId303" /><Relationship Type="http://schemas.openxmlformats.org/officeDocument/2006/relationships/hyperlink" Target="https://raw.githubusercontent.com/CainBeaudoin/bb/main/evidence/20260923T141817Z/bridg_SOL-Base_s1_full.png" TargetMode="External" Id="rId304" /><Relationship Type="http://schemas.openxmlformats.org/officeDocument/2006/relationships/hyperlink" Target="https://raw.githubusercontent.com/CainBeaudoin/bb/main/evidence/20260923T141817Z/opensea_SOL-Base_s1_crop.png" TargetMode="External" Id="rId305" /><Relationship Type="http://schemas.openxmlformats.org/officeDocument/2006/relationships/hyperlink" Target="https://raw.githubusercontent.com/CainBeaudoin/bb/main/evidence/20260923T141817Z/opensea_SOL-Base_s1_full.png" TargetMode="External" Id="rId306" /><Relationship Type="http://schemas.openxmlformats.org/officeDocument/2006/relationships/hyperlink" Target="https://raw.githubusercontent.com/CainBeaudoin/bb/main/evidence/20260923T141817Z/relay_SOL-Base_s1_crop.png" TargetMode="External" Id="rId307" /><Relationship Type="http://schemas.openxmlformats.org/officeDocument/2006/relationships/hyperlink" Target="https://raw.githubusercontent.com/CainBeaudoin/bb/main/evidence/20260923T141817Z/relay_SOL-Base_s1_full.png" TargetMode="External" Id="rId308" /><Relationship Type="http://schemas.openxmlformats.org/officeDocument/2006/relationships/hyperlink" Target="https://raw.githubusercontent.com/CainBeaudoin/bb/main/evidence/20260923T141817Z/debridge_SOL-Base_s1_crop.png" TargetMode="External" Id="rId309" /><Relationship Type="http://schemas.openxmlformats.org/officeDocument/2006/relationships/hyperlink" Target="https://raw.githubusercontent.com/CainBeaudoin/bb/main/evidence/20260923T141817Z/debridge_SOL-Base_s1_full.png" TargetMode="External" Id="rId310" /><Relationship Type="http://schemas.openxmlformats.org/officeDocument/2006/relationships/hyperlink" Target="https://raw.githubusercontent.com/CainBeaudoin/bb/main/evidence/20260923T141817Z/lifi_SOL-Base_s1_crop.png" TargetMode="External" Id="rId311" /><Relationship Type="http://schemas.openxmlformats.org/officeDocument/2006/relationships/hyperlink" Target="https://raw.githubusercontent.com/CainBeaudoin/bb/main/evidence/20260923T141817Z/lifi_SOL-Base_s1_full.png" TargetMode="External" Id="rId312" /><Relationship Type="http://schemas.openxmlformats.org/officeDocument/2006/relationships/hyperlink" Target="https://raw.githubusercontent.com/CainBeaudoin/bb/main/evidence/20260923T141817Z/across_SOL-Base_s1_crop.png" TargetMode="External" Id="rId313" /><Relationship Type="http://schemas.openxmlformats.org/officeDocument/2006/relationships/hyperlink" Target="https://raw.githubusercontent.com/CainBeaudoin/bb/main/evidence/20260923T141817Z/across_SOL-Base_s1_full.png" TargetMode="External" Id="rId314" /><Relationship Type="http://schemas.openxmlformats.org/officeDocument/2006/relationships/hyperlink" Target="https://raw.githubusercontent.com/CainBeaudoin/bb/main/evidence/20260923T141817Z/mayan_SOL-Base_s1_crop.png" TargetMode="External" Id="rId315" /><Relationship Type="http://schemas.openxmlformats.org/officeDocument/2006/relationships/hyperlink" Target="https://raw.githubusercontent.com/CainBeaudoin/bb/main/evidence/20260923T141817Z/mayan_SOL-Base_s1_full.png" TargetMode="External" Id="rId316" /><Relationship Type="http://schemas.openxmlformats.org/officeDocument/2006/relationships/hyperlink" Target="https://raw.githubusercontent.com/CainBeaudoin/bb/main/evidence/20260923T141817Z/allbridge_SOL-Base_s1_crop.png" TargetMode="External" Id="rId317" /><Relationship Type="http://schemas.openxmlformats.org/officeDocument/2006/relationships/hyperlink" Target="https://raw.githubusercontent.com/CainBeaudoin/bb/main/evidence/20260923T141817Z/allbridge_SOL-Base_s1_full.png" TargetMode="External" Id="rId318" /><Relationship Type="http://schemas.openxmlformats.org/officeDocument/2006/relationships/hyperlink" Target="https://raw.githubusercontent.com/CainBeaudoin/bb/main/evidence/20260923T141817Z/cctp_SOL-Base_s1_crop.png" TargetMode="External" Id="rId319" /><Relationship Type="http://schemas.openxmlformats.org/officeDocument/2006/relationships/hyperlink" Target="https://raw.githubusercontent.com/CainBeaudoin/bb/main/evidence/20260923T141817Z/cctp_SOL-Base_s1_full.png" TargetMode="External" Id="rId320" /><Relationship Type="http://schemas.openxmlformats.org/officeDocument/2006/relationships/hyperlink" Target="https://raw.githubusercontent.com/CainBeaudoin/bb/main/evidence/20260923T141817Z/husher_SOL-Base_s1_crop.png" TargetMode="External" Id="rId321" /><Relationship Type="http://schemas.openxmlformats.org/officeDocument/2006/relationships/hyperlink" Target="https://raw.githubusercontent.com/CainBeaudoin/bb/main/evidence/20260923T141817Z/husher_SOL-Base_s1_full.png" TargetMode="External" Id="rId322" /><Relationship Type="http://schemas.openxmlformats.org/officeDocument/2006/relationships/hyperlink" Target="https://raw.githubusercontent.com/CainBeaudoin/bb/main/evidence/20260923T141817Z/layerswap_SOL-Base_s1_crop.png" TargetMode="External" Id="rId323" /><Relationship Type="http://schemas.openxmlformats.org/officeDocument/2006/relationships/hyperlink" Target="https://raw.githubusercontent.com/CainBeaudoin/bb/main/evidence/20260923T141817Z/layerswap_SOL-Base_s1_full.png" TargetMode="External" Id="rId324" /><Relationship Type="http://schemas.openxmlformats.org/officeDocument/2006/relationships/hyperlink" Target="https://raw.githubusercontent.com/CainBeaudoin/bb/main/evidence/20260923T141817Z/meson_SOL-Base_s1_crop.png" TargetMode="External" Id="rId325" /><Relationship Type="http://schemas.openxmlformats.org/officeDocument/2006/relationships/hyperlink" Target="https://raw.githubusercontent.com/CainBeaudoin/bb/main/evidence/20260923T141817Z/meson_SOL-Base_s1_full.png" TargetMode="External" Id="rId326" /><Relationship Type="http://schemas.openxmlformats.org/officeDocument/2006/relationships/hyperlink" Target="https://raw.githubusercontent.com/CainBeaudoin/bb/main/evidence/20260923T141817Z/simpleswap_SOL-Base_s1_crop.png" TargetMode="External" Id="rId327" /><Relationship Type="http://schemas.openxmlformats.org/officeDocument/2006/relationships/hyperlink" Target="https://raw.githubusercontent.com/CainBeaudoin/bb/main/evidence/20260923T141817Z/simpleswap_SOL-Base_s1_full.png" TargetMode="External" Id="rId328" /><Relationship Type="http://schemas.openxmlformats.org/officeDocument/2006/relationships/hyperlink" Target="https://raw.githubusercontent.com/CainBeaudoin/bb/main/evidence/20260923T141817Z/skip-go_SOL-Base_s1_crop.png" TargetMode="External" Id="rId329" /><Relationship Type="http://schemas.openxmlformats.org/officeDocument/2006/relationships/hyperlink" Target="https://raw.githubusercontent.com/CainBeaudoin/bb/main/evidence/20260923T141817Z/skip-go_SOL-Base_s1_full.png" TargetMode="External" Id="rId330" /><Relationship Type="http://schemas.openxmlformats.org/officeDocument/2006/relationships/hyperlink" Target="https://raw.githubusercontent.com/CainBeaudoin/bb/main/evidence/20260923T141817Z/bridg_SOL-Base_s2_crop.png" TargetMode="External" Id="rId331" /><Relationship Type="http://schemas.openxmlformats.org/officeDocument/2006/relationships/hyperlink" Target="https://raw.githubusercontent.com/CainBeaudoin/bb/main/evidence/20260923T141817Z/bridg_SOL-Base_s2_full.png" TargetMode="External" Id="rId332" /><Relationship Type="http://schemas.openxmlformats.org/officeDocument/2006/relationships/hyperlink" Target="https://raw.githubusercontent.com/CainBeaudoin/bb/main/evidence/20260923T141817Z/opensea_SOL-Base_s2_crop.png" TargetMode="External" Id="rId333" /><Relationship Type="http://schemas.openxmlformats.org/officeDocument/2006/relationships/hyperlink" Target="https://raw.githubusercontent.com/CainBeaudoin/bb/main/evidence/20260923T141817Z/opensea_SOL-Base_s2_full.png" TargetMode="External" Id="rId334" /><Relationship Type="http://schemas.openxmlformats.org/officeDocument/2006/relationships/hyperlink" Target="https://raw.githubusercontent.com/CainBeaudoin/bb/main/evidence/20260923T141817Z/relay_SOL-Base_s2_crop.png" TargetMode="External" Id="rId335" /><Relationship Type="http://schemas.openxmlformats.org/officeDocument/2006/relationships/hyperlink" Target="https://raw.githubusercontent.com/CainBeaudoin/bb/main/evidence/20260923T141817Z/relay_SOL-Base_s2_full.png" TargetMode="External" Id="rId336" /><Relationship Type="http://schemas.openxmlformats.org/officeDocument/2006/relationships/hyperlink" Target="https://raw.githubusercontent.com/CainBeaudoin/bb/main/evidence/20260923T141817Z/debridge_SOL-Base_s2_crop.png" TargetMode="External" Id="rId337" /><Relationship Type="http://schemas.openxmlformats.org/officeDocument/2006/relationships/hyperlink" Target="https://raw.githubusercontent.com/CainBeaudoin/bb/main/evidence/20260923T141817Z/debridge_SOL-Base_s2_full.png" TargetMode="External" Id="rId338" /><Relationship Type="http://schemas.openxmlformats.org/officeDocument/2006/relationships/hyperlink" Target="https://raw.githubusercontent.com/CainBeaudoin/bb/main/evidence/20260923T141817Z/lifi_SOL-Base_s2_crop.png" TargetMode="External" Id="rId339" /><Relationship Type="http://schemas.openxmlformats.org/officeDocument/2006/relationships/hyperlink" Target="https://raw.githubusercontent.com/CainBeaudoin/bb/main/evidence/20260923T141817Z/lifi_SOL-Base_s2_full.png" TargetMode="External" Id="rId340" /><Relationship Type="http://schemas.openxmlformats.org/officeDocument/2006/relationships/hyperlink" Target="https://raw.githubusercontent.com/CainBeaudoin/bb/main/evidence/20260923T141817Z/across_SOL-Base_s2_crop.png" TargetMode="External" Id="rId341" /><Relationship Type="http://schemas.openxmlformats.org/officeDocument/2006/relationships/hyperlink" Target="https://raw.githubusercontent.com/CainBeaudoin/bb/main/evidence/20260923T141817Z/across_SOL-Base_s2_full.png" TargetMode="External" Id="rId342" /><Relationship Type="http://schemas.openxmlformats.org/officeDocument/2006/relationships/hyperlink" Target="https://raw.githubusercontent.com/CainBeaudoin/bb/main/evidence/20260923T141817Z/mayan_SOL-Base_s2_crop.png" TargetMode="External" Id="rId343" /><Relationship Type="http://schemas.openxmlformats.org/officeDocument/2006/relationships/hyperlink" Target="https://raw.githubusercontent.com/CainBeaudoin/bb/main/evidence/20260923T141817Z/mayan_SOL-Base_s2_full.png" TargetMode="External" Id="rId344" /><Relationship Type="http://schemas.openxmlformats.org/officeDocument/2006/relationships/hyperlink" Target="https://raw.githubusercontent.com/CainBeaudoin/bb/main/evidence/20260923T141817Z/allbridge_SOL-Base_s2_crop.png" TargetMode="External" Id="rId345" /><Relationship Type="http://schemas.openxmlformats.org/officeDocument/2006/relationships/hyperlink" Target="https://raw.githubusercontent.com/CainBeaudoin/bb/main/evidence/20260923T141817Z/allbridge_SOL-Base_s2_full.png" TargetMode="External" Id="rId346" /><Relationship Type="http://schemas.openxmlformats.org/officeDocument/2006/relationships/hyperlink" Target="https://raw.githubusercontent.com/CainBeaudoin/bb/main/evidence/20260923T141817Z/cctp_SOL-Base_s2_crop.png" TargetMode="External" Id="rId347" /><Relationship Type="http://schemas.openxmlformats.org/officeDocument/2006/relationships/hyperlink" Target="https://raw.githubusercontent.com/CainBeaudoin/bb/main/evidence/20260923T141817Z/cctp_SOL-Base_s2_full.png" TargetMode="External" Id="rId348" /><Relationship Type="http://schemas.openxmlformats.org/officeDocument/2006/relationships/hyperlink" Target="https://raw.githubusercontent.com/CainBeaudoin/bb/main/evidence/20260923T141817Z/husher_SOL-Base_s2_crop.png" TargetMode="External" Id="rId349" /><Relationship Type="http://schemas.openxmlformats.org/officeDocument/2006/relationships/hyperlink" Target="https://raw.githubusercontent.com/CainBeaudoin/bb/main/evidence/20260923T141817Z/husher_SOL-Base_s2_full.png" TargetMode="External" Id="rId350" /><Relationship Type="http://schemas.openxmlformats.org/officeDocument/2006/relationships/hyperlink" Target="https://raw.githubusercontent.com/CainBeaudoin/bb/main/evidence/20260923T141817Z/layerswap_SOL-Base_s2_crop.png" TargetMode="External" Id="rId351" /><Relationship Type="http://schemas.openxmlformats.org/officeDocument/2006/relationships/hyperlink" Target="https://raw.githubusercontent.com/CainBeaudoin/bb/main/evidence/20260923T141817Z/layerswap_SOL-Base_s2_full.png" TargetMode="External" Id="rId352" /><Relationship Type="http://schemas.openxmlformats.org/officeDocument/2006/relationships/hyperlink" Target="https://raw.githubusercontent.com/CainBeaudoin/bb/main/evidence/20260923T141817Z/meson_SOL-Base_s2_crop.png" TargetMode="External" Id="rId353" /><Relationship Type="http://schemas.openxmlformats.org/officeDocument/2006/relationships/hyperlink" Target="https://raw.githubusercontent.com/CainBeaudoin/bb/main/evidence/20260923T141817Z/meson_SOL-Base_s2_full.png" TargetMode="External" Id="rId354" /><Relationship Type="http://schemas.openxmlformats.org/officeDocument/2006/relationships/hyperlink" Target="https://raw.githubusercontent.com/CainBeaudoin/bb/main/evidence/20260923T141817Z/simpleswap_SOL-Base_s2_crop.png" TargetMode="External" Id="rId355" /><Relationship Type="http://schemas.openxmlformats.org/officeDocument/2006/relationships/hyperlink" Target="https://raw.githubusercontent.com/CainBeaudoin/bb/main/evidence/20260923T141817Z/simpleswap_SOL-Base_s2_full.png" TargetMode="External" Id="rId356" /><Relationship Type="http://schemas.openxmlformats.org/officeDocument/2006/relationships/hyperlink" Target="https://raw.githubusercontent.com/CainBeaudoin/bb/main/evidence/20260923T141817Z/skip-go_SOL-Base_s2_crop.png" TargetMode="External" Id="rId357" /><Relationship Type="http://schemas.openxmlformats.org/officeDocument/2006/relationships/hyperlink" Target="https://raw.githubusercontent.com/CainBeaudoin/bb/main/evidence/20260923T141817Z/skip-go_SOL-Base_s2_full.png" TargetMode="External" Id="rId358" /><Relationship Type="http://schemas.openxmlformats.org/officeDocument/2006/relationships/hyperlink" Target="https://raw.githubusercontent.com/CainBeaudoin/bb/main/evidence/20260923T141817Z/bridg_SOL-Base_s3_crop.png" TargetMode="External" Id="rId359" /><Relationship Type="http://schemas.openxmlformats.org/officeDocument/2006/relationships/hyperlink" Target="https://raw.githubusercontent.com/CainBeaudoin/bb/main/evidence/20260923T141817Z/bridg_SOL-Base_s3_full.png" TargetMode="External" Id="rId360" /><Relationship Type="http://schemas.openxmlformats.org/officeDocument/2006/relationships/hyperlink" Target="https://raw.githubusercontent.com/CainBeaudoin/bb/main/evidence/20260923T141817Z/opensea_SOL-Base_s3_crop.png" TargetMode="External" Id="rId361" /><Relationship Type="http://schemas.openxmlformats.org/officeDocument/2006/relationships/hyperlink" Target="https://raw.githubusercontent.com/CainBeaudoin/bb/main/evidence/20260923T141817Z/opensea_SOL-Base_s3_full.png" TargetMode="External" Id="rId362" /><Relationship Type="http://schemas.openxmlformats.org/officeDocument/2006/relationships/hyperlink" Target="https://raw.githubusercontent.com/CainBeaudoin/bb/main/evidence/20260923T141817Z/relay_SOL-Base_s3_crop.png" TargetMode="External" Id="rId363" /><Relationship Type="http://schemas.openxmlformats.org/officeDocument/2006/relationships/hyperlink" Target="https://raw.githubusercontent.com/CainBeaudoin/bb/main/evidence/20260923T141817Z/relay_SOL-Base_s3_full.png" TargetMode="External" Id="rId364" /><Relationship Type="http://schemas.openxmlformats.org/officeDocument/2006/relationships/hyperlink" Target="https://raw.githubusercontent.com/CainBeaudoin/bb/main/evidence/20260923T141817Z/debridge_SOL-Base_s3_crop.png" TargetMode="External" Id="rId365" /><Relationship Type="http://schemas.openxmlformats.org/officeDocument/2006/relationships/hyperlink" Target="https://raw.githubusercontent.com/CainBeaudoin/bb/main/evidence/20260923T141817Z/debridge_SOL-Base_s3_full.png" TargetMode="External" Id="rId366" /><Relationship Type="http://schemas.openxmlformats.org/officeDocument/2006/relationships/hyperlink" Target="https://raw.githubusercontent.com/CainBeaudoin/bb/main/evidence/20260923T141817Z/lifi_SOL-Base_s3_crop.png" TargetMode="External" Id="rId367" /><Relationship Type="http://schemas.openxmlformats.org/officeDocument/2006/relationships/hyperlink" Target="https://raw.githubusercontent.com/CainBeaudoin/bb/main/evidence/20260923T141817Z/lifi_SOL-Base_s3_full.png" TargetMode="External" Id="rId368" /><Relationship Type="http://schemas.openxmlformats.org/officeDocument/2006/relationships/hyperlink" Target="https://raw.githubusercontent.com/CainBeaudoin/bb/main/evidence/20260923T141817Z/across_SOL-Base_s3_crop.png" TargetMode="External" Id="rId369" /><Relationship Type="http://schemas.openxmlformats.org/officeDocument/2006/relationships/hyperlink" Target="https://raw.githubusercontent.com/CainBeaudoin/bb/main/evidence/20260923T141817Z/across_SOL-Base_s3_full.png" TargetMode="External" Id="rId370" /><Relationship Type="http://schemas.openxmlformats.org/officeDocument/2006/relationships/hyperlink" Target="https://raw.githubusercontent.com/CainBeaudoin/bb/main/evidence/20260923T141817Z/mayan_SOL-Base_s3_crop.png" TargetMode="External" Id="rId371" /><Relationship Type="http://schemas.openxmlformats.org/officeDocument/2006/relationships/hyperlink" Target="https://raw.githubusercontent.com/CainBeaudoin/bb/main/evidence/20260923T141817Z/mayan_SOL-Base_s3_full.png" TargetMode="External" Id="rId372" /><Relationship Type="http://schemas.openxmlformats.org/officeDocument/2006/relationships/hyperlink" Target="https://raw.githubusercontent.com/CainBeaudoin/bb/main/evidence/20260923T141817Z/allbridge_SOL-Base_s3_crop.png" TargetMode="External" Id="rId373" /><Relationship Type="http://schemas.openxmlformats.org/officeDocument/2006/relationships/hyperlink" Target="https://raw.githubusercontent.com/CainBeaudoin/bb/main/evidence/20260923T141817Z/allbridge_SOL-Base_s3_full.png" TargetMode="External" Id="rId374" /><Relationship Type="http://schemas.openxmlformats.org/officeDocument/2006/relationships/hyperlink" Target="https://raw.githubusercontent.com/CainBeaudoin/bb/main/evidence/20260923T141817Z/cctp_SOL-Base_s3_crop.png" TargetMode="External" Id="rId375" /><Relationship Type="http://schemas.openxmlformats.org/officeDocument/2006/relationships/hyperlink" Target="https://raw.githubusercontent.com/CainBeaudoin/bb/main/evidence/20260923T141817Z/cctp_SOL-Base_s3_full.png" TargetMode="External" Id="rId376" /><Relationship Type="http://schemas.openxmlformats.org/officeDocument/2006/relationships/hyperlink" Target="https://raw.githubusercontent.com/CainBeaudoin/bb/main/evidence/20260923T141817Z/husher_SOL-Base_s3_crop.png" TargetMode="External" Id="rId377" /><Relationship Type="http://schemas.openxmlformats.org/officeDocument/2006/relationships/hyperlink" Target="https://raw.githubusercontent.com/CainBeaudoin/bb/main/evidence/20260923T141817Z/husher_SOL-Base_s3_full.png" TargetMode="External" Id="rId378" /><Relationship Type="http://schemas.openxmlformats.org/officeDocument/2006/relationships/hyperlink" Target="https://raw.githubusercontent.com/CainBeaudoin/bb/main/evidence/20260923T141817Z/layerswap_SOL-Base_s3_crop.png" TargetMode="External" Id="rId379" /><Relationship Type="http://schemas.openxmlformats.org/officeDocument/2006/relationships/hyperlink" Target="https://raw.githubusercontent.com/CainBeaudoin/bb/main/evidence/20260923T141817Z/layerswap_SOL-Base_s3_full.png" TargetMode="External" Id="rId380" /><Relationship Type="http://schemas.openxmlformats.org/officeDocument/2006/relationships/hyperlink" Target="https://raw.githubusercontent.com/CainBeaudoin/bb/main/evidence/20260923T141817Z/meson_SOL-Base_s3_crop.png" TargetMode="External" Id="rId381" /><Relationship Type="http://schemas.openxmlformats.org/officeDocument/2006/relationships/hyperlink" Target="https://raw.githubusercontent.com/CainBeaudoin/bb/main/evidence/20260923T141817Z/meson_SOL-Base_s3_full.png" TargetMode="External" Id="rId382" /><Relationship Type="http://schemas.openxmlformats.org/officeDocument/2006/relationships/hyperlink" Target="https://raw.githubusercontent.com/CainBeaudoin/bb/main/evidence/20260923T141817Z/simpleswap_SOL-Base_s3_crop.png" TargetMode="External" Id="rId383" /><Relationship Type="http://schemas.openxmlformats.org/officeDocument/2006/relationships/hyperlink" Target="https://raw.githubusercontent.com/CainBeaudoin/bb/main/evidence/20260923T141817Z/simpleswap_SOL-Base_s3_full.png" TargetMode="External" Id="rId384" /><Relationship Type="http://schemas.openxmlformats.org/officeDocument/2006/relationships/hyperlink" Target="https://raw.githubusercontent.com/CainBeaudoin/bb/main/evidence/20260923T141817Z/skip-go_SOL-Base_s3_crop.png" TargetMode="External" Id="rId385" /><Relationship Type="http://schemas.openxmlformats.org/officeDocument/2006/relationships/hyperlink" Target="https://raw.githubusercontent.com/CainBeaudoin/bb/main/evidence/20260923T141817Z/skip-go_SOL-Base_s3_full.png" TargetMode="External" Id="rId386" /><Relationship Type="http://schemas.openxmlformats.org/officeDocument/2006/relationships/hyperlink" Target="https://raw.githubusercontent.com/CainBeaudoin/bb/main/evidence/20260923T141817Z/bridg_Base-SOL_s1_crop.png" TargetMode="External" Id="rId387" /><Relationship Type="http://schemas.openxmlformats.org/officeDocument/2006/relationships/hyperlink" Target="https://raw.githubusercontent.com/CainBeaudoin/bb/main/evidence/20260923T141817Z/bridg_Base-SOL_s1_full.png" TargetMode="External" Id="rId388" /><Relationship Type="http://schemas.openxmlformats.org/officeDocument/2006/relationships/hyperlink" Target="https://raw.githubusercontent.com/CainBeaudoin/bb/main/evidence/20260923T141817Z/opensea_Base-SOL_s1_crop.png" TargetMode="External" Id="rId389" /><Relationship Type="http://schemas.openxmlformats.org/officeDocument/2006/relationships/hyperlink" Target="https://raw.githubusercontent.com/CainBeaudoin/bb/main/evidence/20260923T141817Z/opensea_Base-SOL_s1_full.png" TargetMode="External" Id="rId390" /><Relationship Type="http://schemas.openxmlformats.org/officeDocument/2006/relationships/hyperlink" Target="https://raw.githubusercontent.com/CainBeaudoin/bb/main/evidence/20260923T141817Z/relay_Base-SOL_s1_crop.png" TargetMode="External" Id="rId391" /><Relationship Type="http://schemas.openxmlformats.org/officeDocument/2006/relationships/hyperlink" Target="https://raw.githubusercontent.com/CainBeaudoin/bb/main/evidence/20260923T141817Z/relay_Base-SOL_s1_full.png" TargetMode="External" Id="rId392" /><Relationship Type="http://schemas.openxmlformats.org/officeDocument/2006/relationships/hyperlink" Target="https://raw.githubusercontent.com/CainBeaudoin/bb/main/evidence/20260923T141817Z/debridge_Base-SOL_s1_crop.png" TargetMode="External" Id="rId393" /><Relationship Type="http://schemas.openxmlformats.org/officeDocument/2006/relationships/hyperlink" Target="https://raw.githubusercontent.com/CainBeaudoin/bb/main/evidence/20260923T141817Z/debridge_Base-SOL_s1_full.png" TargetMode="External" Id="rId394" /><Relationship Type="http://schemas.openxmlformats.org/officeDocument/2006/relationships/hyperlink" Target="https://raw.githubusercontent.com/CainBeaudoin/bb/main/evidence/20260923T141817Z/lifi_Base-SOL_s1_crop.png" TargetMode="External" Id="rId395" /><Relationship Type="http://schemas.openxmlformats.org/officeDocument/2006/relationships/hyperlink" Target="https://raw.githubusercontent.com/CainBeaudoin/bb/main/evidence/20260923T141817Z/lifi_Base-SOL_s1_full.png" TargetMode="External" Id="rId396" /><Relationship Type="http://schemas.openxmlformats.org/officeDocument/2006/relationships/hyperlink" Target="https://raw.githubusercontent.com/CainBeaudoin/bb/main/evidence/20260923T141817Z/across_Base-SOL_s1_crop.png" TargetMode="External" Id="rId397" /><Relationship Type="http://schemas.openxmlformats.org/officeDocument/2006/relationships/hyperlink" Target="https://raw.githubusercontent.com/CainBeaudoin/bb/main/evidence/20260923T141817Z/across_Base-SOL_s1_full.png" TargetMode="External" Id="rId398" /><Relationship Type="http://schemas.openxmlformats.org/officeDocument/2006/relationships/hyperlink" Target="https://raw.githubusercontent.com/CainBeaudoin/bb/main/evidence/20260923T141817Z/mayan_Base-SOL_s1_crop.png" TargetMode="External" Id="rId399" /><Relationship Type="http://schemas.openxmlformats.org/officeDocument/2006/relationships/hyperlink" Target="https://raw.githubusercontent.com/CainBeaudoin/bb/main/evidence/20260923T141817Z/mayan_Base-SOL_s1_full.png" TargetMode="External" Id="rId400" /><Relationship Type="http://schemas.openxmlformats.org/officeDocument/2006/relationships/hyperlink" Target="https://raw.githubusercontent.com/CainBeaudoin/bb/main/evidence/20260923T141817Z/allbridge_Base-SOL_s1_crop.png" TargetMode="External" Id="rId401" /><Relationship Type="http://schemas.openxmlformats.org/officeDocument/2006/relationships/hyperlink" Target="https://raw.githubusercontent.com/CainBeaudoin/bb/main/evidence/20260923T141817Z/allbridge_Base-SOL_s1_full.png" TargetMode="External" Id="rId402" /><Relationship Type="http://schemas.openxmlformats.org/officeDocument/2006/relationships/hyperlink" Target="https://raw.githubusercontent.com/CainBeaudoin/bb/main/evidence/20260923T141817Z/cctp_Base-SOL_s1_crop.png" TargetMode="External" Id="rId403" /><Relationship Type="http://schemas.openxmlformats.org/officeDocument/2006/relationships/hyperlink" Target="https://raw.githubusercontent.com/CainBeaudoin/bb/main/evidence/20260923T141817Z/cctp_Base-SOL_s1_full.png" TargetMode="External" Id="rId404" /><Relationship Type="http://schemas.openxmlformats.org/officeDocument/2006/relationships/hyperlink" Target="https://raw.githubusercontent.com/CainBeaudoin/bb/main/evidence/20260923T141817Z/husher_Base-SOL_s1_crop.png" TargetMode="External" Id="rId405" /><Relationship Type="http://schemas.openxmlformats.org/officeDocument/2006/relationships/hyperlink" Target="https://raw.githubusercontent.com/CainBeaudoin/bb/main/evidence/20260923T141817Z/husher_Base-SOL_s1_full.png" TargetMode="External" Id="rId406" /><Relationship Type="http://schemas.openxmlformats.org/officeDocument/2006/relationships/hyperlink" Target="https://raw.githubusercontent.com/CainBeaudoin/bb/main/evidence/20260923T141817Z/layerswap_Base-SOL_s1_crop.png" TargetMode="External" Id="rId407" /><Relationship Type="http://schemas.openxmlformats.org/officeDocument/2006/relationships/hyperlink" Target="https://raw.githubusercontent.com/CainBeaudoin/bb/main/evidence/20260923T141817Z/layerswap_Base-SOL_s1_full.png" TargetMode="External" Id="rId408" /><Relationship Type="http://schemas.openxmlformats.org/officeDocument/2006/relationships/hyperlink" Target="https://raw.githubusercontent.com/CainBeaudoin/bb/main/evidence/20260923T141817Z/meson_Base-SOL_s1_crop.png" TargetMode="External" Id="rId409" /><Relationship Type="http://schemas.openxmlformats.org/officeDocument/2006/relationships/hyperlink" Target="https://raw.githubusercontent.com/CainBeaudoin/bb/main/evidence/20260923T141817Z/meson_Base-SOL_s1_full.png" TargetMode="External" Id="rId410" /><Relationship Type="http://schemas.openxmlformats.org/officeDocument/2006/relationships/hyperlink" Target="https://raw.githubusercontent.com/CainBeaudoin/bb/main/evidence/20260923T141817Z/simpleswap_Base-SOL_s1_crop.png" TargetMode="External" Id="rId411" /><Relationship Type="http://schemas.openxmlformats.org/officeDocument/2006/relationships/hyperlink" Target="https://raw.githubusercontent.com/CainBeaudoin/bb/main/evidence/20260923T141817Z/simpleswap_Base-SOL_s1_full.png" TargetMode="External" Id="rId412" /><Relationship Type="http://schemas.openxmlformats.org/officeDocument/2006/relationships/hyperlink" Target="https://raw.githubusercontent.com/CainBeaudoin/bb/main/evidence/20260923T141817Z/skip-go_Base-SOL_s1_crop.png" TargetMode="External" Id="rId413" /><Relationship Type="http://schemas.openxmlformats.org/officeDocument/2006/relationships/hyperlink" Target="https://raw.githubusercontent.com/CainBeaudoin/bb/main/evidence/20260923T141817Z/skip-go_Base-SOL_s1_full.png" TargetMode="External" Id="rId414" /><Relationship Type="http://schemas.openxmlformats.org/officeDocument/2006/relationships/hyperlink" Target="https://raw.githubusercontent.com/CainBeaudoin/bb/main/evidence/20260923T141817Z/symbiosis_Base-SOL_s1_crop.png" TargetMode="External" Id="rId415" /><Relationship Type="http://schemas.openxmlformats.org/officeDocument/2006/relationships/hyperlink" Target="https://raw.githubusercontent.com/CainBeaudoin/bb/main/evidence/20260923T141817Z/symbiosis_Base-SOL_s1_full.png" TargetMode="External" Id="rId416" /><Relationship Type="http://schemas.openxmlformats.org/officeDocument/2006/relationships/hyperlink" Target="https://raw.githubusercontent.com/CainBeaudoin/bb/main/evidence/20260923T141817Z/bridg_Base-SOL_s2_crop.png" TargetMode="External" Id="rId417" /><Relationship Type="http://schemas.openxmlformats.org/officeDocument/2006/relationships/hyperlink" Target="https://raw.githubusercontent.com/CainBeaudoin/bb/main/evidence/20260923T141817Z/bridg_Base-SOL_s2_full.png" TargetMode="External" Id="rId418" /><Relationship Type="http://schemas.openxmlformats.org/officeDocument/2006/relationships/hyperlink" Target="https://raw.githubusercontent.com/CainBeaudoin/bb/main/evidence/20260923T141817Z/opensea_Base-SOL_s2_crop.png" TargetMode="External" Id="rId419" /><Relationship Type="http://schemas.openxmlformats.org/officeDocument/2006/relationships/hyperlink" Target="https://raw.githubusercontent.com/CainBeaudoin/bb/main/evidence/20260923T141817Z/opensea_Base-SOL_s2_full.png" TargetMode="External" Id="rId420" /><Relationship Type="http://schemas.openxmlformats.org/officeDocument/2006/relationships/hyperlink" Target="https://raw.githubusercontent.com/CainBeaudoin/bb/main/evidence/20260923T141817Z/relay_Base-SOL_s2_crop.png" TargetMode="External" Id="rId421" /><Relationship Type="http://schemas.openxmlformats.org/officeDocument/2006/relationships/hyperlink" Target="https://raw.githubusercontent.com/CainBeaudoin/bb/main/evidence/20260923T141817Z/relay_Base-SOL_s2_full.png" TargetMode="External" Id="rId422" /><Relationship Type="http://schemas.openxmlformats.org/officeDocument/2006/relationships/hyperlink" Target="https://raw.githubusercontent.com/CainBeaudoin/bb/main/evidence/20260923T141817Z/debridge_Base-SOL_s2_crop.png" TargetMode="External" Id="rId423" /><Relationship Type="http://schemas.openxmlformats.org/officeDocument/2006/relationships/hyperlink" Target="https://raw.githubusercontent.com/CainBeaudoin/bb/main/evidence/20260923T141817Z/debridge_Base-SOL_s2_full.png" TargetMode="External" Id="rId424" /><Relationship Type="http://schemas.openxmlformats.org/officeDocument/2006/relationships/hyperlink" Target="https://raw.githubusercontent.com/CainBeaudoin/bb/main/evidence/20260923T141817Z/lifi_Base-SOL_s2_crop.png" TargetMode="External" Id="rId425" /><Relationship Type="http://schemas.openxmlformats.org/officeDocument/2006/relationships/hyperlink" Target="https://raw.githubusercontent.com/CainBeaudoin/bb/main/evidence/20260923T141817Z/lifi_Base-SOL_s2_full.png" TargetMode="External" Id="rId426" /><Relationship Type="http://schemas.openxmlformats.org/officeDocument/2006/relationships/hyperlink" Target="https://raw.githubusercontent.com/CainBeaudoin/bb/main/evidence/20260923T141817Z/across_Base-SOL_s2_crop.png" TargetMode="External" Id="rId427" /><Relationship Type="http://schemas.openxmlformats.org/officeDocument/2006/relationships/hyperlink" Target="https://raw.githubusercontent.com/CainBeaudoin/bb/main/evidence/20260923T141817Z/across_Base-SOL_s2_full.png" TargetMode="External" Id="rId428" /><Relationship Type="http://schemas.openxmlformats.org/officeDocument/2006/relationships/hyperlink" Target="https://raw.githubusercontent.com/CainBeaudoin/bb/main/evidence/20260923T141817Z/mayan_Base-SOL_s2_crop.png" TargetMode="External" Id="rId429" /><Relationship Type="http://schemas.openxmlformats.org/officeDocument/2006/relationships/hyperlink" Target="https://raw.githubusercontent.com/CainBeaudoin/bb/main/evidence/20260923T141817Z/mayan_Base-SOL_s2_full.png" TargetMode="External" Id="rId430" /><Relationship Type="http://schemas.openxmlformats.org/officeDocument/2006/relationships/hyperlink" Target="https://raw.githubusercontent.com/CainBeaudoin/bb/main/evidence/20260923T141817Z/allbridge_Base-SOL_s2_crop.png" TargetMode="External" Id="rId431" /><Relationship Type="http://schemas.openxmlformats.org/officeDocument/2006/relationships/hyperlink" Target="https://raw.githubusercontent.com/CainBeaudoin/bb/main/evidence/20260923T141817Z/allbridge_Base-SOL_s2_full.png" TargetMode="External" Id="rId432" /><Relationship Type="http://schemas.openxmlformats.org/officeDocument/2006/relationships/hyperlink" Target="https://raw.githubusercontent.com/CainBeaudoin/bb/main/evidence/20260923T141817Z/cctp_Base-SOL_s2_crop.png" TargetMode="External" Id="rId433" /><Relationship Type="http://schemas.openxmlformats.org/officeDocument/2006/relationships/hyperlink" Target="https://raw.githubusercontent.com/CainBeaudoin/bb/main/evidence/20260923T141817Z/cctp_Base-SOL_s2_full.png" TargetMode="External" Id="rId434" /><Relationship Type="http://schemas.openxmlformats.org/officeDocument/2006/relationships/hyperlink" Target="https://raw.githubusercontent.com/CainBeaudoin/bb/main/evidence/20260923T141817Z/husher_Base-SOL_s2_crop.png" TargetMode="External" Id="rId435" /><Relationship Type="http://schemas.openxmlformats.org/officeDocument/2006/relationships/hyperlink" Target="https://raw.githubusercontent.com/CainBeaudoin/bb/main/evidence/20260923T141817Z/husher_Base-SOL_s2_full.png" TargetMode="External" Id="rId436" /><Relationship Type="http://schemas.openxmlformats.org/officeDocument/2006/relationships/hyperlink" Target="https://raw.githubusercontent.com/CainBeaudoin/bb/main/evidence/20260923T141817Z/layerswap_Base-SOL_s2_crop.png" TargetMode="External" Id="rId437" /><Relationship Type="http://schemas.openxmlformats.org/officeDocument/2006/relationships/hyperlink" Target="https://raw.githubusercontent.com/CainBeaudoin/bb/main/evidence/20260923T141817Z/layerswap_Base-SOL_s2_full.png" TargetMode="External" Id="rId438" /><Relationship Type="http://schemas.openxmlformats.org/officeDocument/2006/relationships/hyperlink" Target="https://raw.githubusercontent.com/CainBeaudoin/bb/main/evidence/20260923T141817Z/meson_Base-SOL_s2_crop.png" TargetMode="External" Id="rId439" /><Relationship Type="http://schemas.openxmlformats.org/officeDocument/2006/relationships/hyperlink" Target="https://raw.githubusercontent.com/CainBeaudoin/bb/main/evidence/20260923T141817Z/meson_Base-SOL_s2_full.png" TargetMode="External" Id="rId440" /><Relationship Type="http://schemas.openxmlformats.org/officeDocument/2006/relationships/hyperlink" Target="https://raw.githubusercontent.com/CainBeaudoin/bb/main/evidence/20260923T141817Z/simpleswap_Base-SOL_s2_crop.png" TargetMode="External" Id="rId441" /><Relationship Type="http://schemas.openxmlformats.org/officeDocument/2006/relationships/hyperlink" Target="https://raw.githubusercontent.com/CainBeaudoin/bb/main/evidence/20260923T141817Z/simpleswap_Base-SOL_s2_full.png" TargetMode="External" Id="rId442" /><Relationship Type="http://schemas.openxmlformats.org/officeDocument/2006/relationships/hyperlink" Target="https://raw.githubusercontent.com/CainBeaudoin/bb/main/evidence/20260923T141817Z/skip-go_Base-SOL_s2_crop.png" TargetMode="External" Id="rId443" /><Relationship Type="http://schemas.openxmlformats.org/officeDocument/2006/relationships/hyperlink" Target="https://raw.githubusercontent.com/CainBeaudoin/bb/main/evidence/20260923T141817Z/skip-go_Base-SOL_s2_full.png" TargetMode="External" Id="rId444" /><Relationship Type="http://schemas.openxmlformats.org/officeDocument/2006/relationships/hyperlink" Target="https://raw.githubusercontent.com/CainBeaudoin/bb/main/evidence/20260923T141817Z/symbiosis_Base-SOL_s2_crop.png" TargetMode="External" Id="rId445" /><Relationship Type="http://schemas.openxmlformats.org/officeDocument/2006/relationships/hyperlink" Target="https://raw.githubusercontent.com/CainBeaudoin/bb/main/evidence/20260923T141817Z/symbiosis_Base-SOL_s2_full.png" TargetMode="External" Id="rId446" /><Relationship Type="http://schemas.openxmlformats.org/officeDocument/2006/relationships/hyperlink" Target="https://raw.githubusercontent.com/CainBeaudoin/bb/main/evidence/20260923T141817Z/bridg_Base-SOL_s3_crop.png" TargetMode="External" Id="rId447" /><Relationship Type="http://schemas.openxmlformats.org/officeDocument/2006/relationships/hyperlink" Target="https://raw.githubusercontent.com/CainBeaudoin/bb/main/evidence/20260923T141817Z/bridg_Base-SOL_s3_full.png" TargetMode="External" Id="rId448" /><Relationship Type="http://schemas.openxmlformats.org/officeDocument/2006/relationships/hyperlink" Target="https://raw.githubusercontent.com/CainBeaudoin/bb/main/evidence/20260923T141817Z/opensea_Base-SOL_s3_crop.png" TargetMode="External" Id="rId449" /><Relationship Type="http://schemas.openxmlformats.org/officeDocument/2006/relationships/hyperlink" Target="https://raw.githubusercontent.com/CainBeaudoin/bb/main/evidence/20260923T141817Z/opensea_Base-SOL_s3_full.png" TargetMode="External" Id="rId450" /><Relationship Type="http://schemas.openxmlformats.org/officeDocument/2006/relationships/hyperlink" Target="https://raw.githubusercontent.com/CainBeaudoin/bb/main/evidence/20260923T141817Z/relay_Base-SOL_s3_crop.png" TargetMode="External" Id="rId451" /><Relationship Type="http://schemas.openxmlformats.org/officeDocument/2006/relationships/hyperlink" Target="https://raw.githubusercontent.com/CainBeaudoin/bb/main/evidence/20260923T141817Z/relay_Base-SOL_s3_full.png" TargetMode="External" Id="rId452" /><Relationship Type="http://schemas.openxmlformats.org/officeDocument/2006/relationships/hyperlink" Target="https://raw.githubusercontent.com/CainBeaudoin/bb/main/evidence/20260923T141817Z/debridge_Base-SOL_s3_crop.png" TargetMode="External" Id="rId453" /><Relationship Type="http://schemas.openxmlformats.org/officeDocument/2006/relationships/hyperlink" Target="https://raw.githubusercontent.com/CainBeaudoin/bb/main/evidence/20260923T141817Z/debridge_Base-SOL_s3_full.png" TargetMode="External" Id="rId454" /><Relationship Type="http://schemas.openxmlformats.org/officeDocument/2006/relationships/hyperlink" Target="https://raw.githubusercontent.com/CainBeaudoin/bb/main/evidence/20260923T141817Z/lifi_Base-SOL_s3_crop.png" TargetMode="External" Id="rId455" /><Relationship Type="http://schemas.openxmlformats.org/officeDocument/2006/relationships/hyperlink" Target="https://raw.githubusercontent.com/CainBeaudoin/bb/main/evidence/20260923T141817Z/lifi_Base-SOL_s3_full.png" TargetMode="External" Id="rId456" /><Relationship Type="http://schemas.openxmlformats.org/officeDocument/2006/relationships/hyperlink" Target="https://raw.githubusercontent.com/CainBeaudoin/bb/main/evidence/20260923T141817Z/across_Base-SOL_s3_crop.png" TargetMode="External" Id="rId457" /><Relationship Type="http://schemas.openxmlformats.org/officeDocument/2006/relationships/hyperlink" Target="https://raw.githubusercontent.com/CainBeaudoin/bb/main/evidence/20260923T141817Z/across_Base-SOL_s3_full.png" TargetMode="External" Id="rId458" /><Relationship Type="http://schemas.openxmlformats.org/officeDocument/2006/relationships/hyperlink" Target="https://raw.githubusercontent.com/CainBeaudoin/bb/main/evidence/20260923T141817Z/mayan_Base-SOL_s3_crop.png" TargetMode="External" Id="rId459" /><Relationship Type="http://schemas.openxmlformats.org/officeDocument/2006/relationships/hyperlink" Target="https://raw.githubusercontent.com/CainBeaudoin/bb/main/evidence/20260923T141817Z/mayan_Base-SOL_s3_full.png" TargetMode="External" Id="rId460" /><Relationship Type="http://schemas.openxmlformats.org/officeDocument/2006/relationships/hyperlink" Target="https://raw.githubusercontent.com/CainBeaudoin/bb/main/evidence/20260923T141817Z/allbridge_Base-SOL_s3_crop.png" TargetMode="External" Id="rId461" /><Relationship Type="http://schemas.openxmlformats.org/officeDocument/2006/relationships/hyperlink" Target="https://raw.githubusercontent.com/CainBeaudoin/bb/main/evidence/20260923T141817Z/allbridge_Base-SOL_s3_full.png" TargetMode="External" Id="rId462" /><Relationship Type="http://schemas.openxmlformats.org/officeDocument/2006/relationships/hyperlink" Target="https://raw.githubusercontent.com/CainBeaudoin/bb/main/evidence/20260923T141817Z/cctp_Base-SOL_s3_crop.png" TargetMode="External" Id="rId463" /><Relationship Type="http://schemas.openxmlformats.org/officeDocument/2006/relationships/hyperlink" Target="https://raw.githubusercontent.com/CainBeaudoin/bb/main/evidence/20260923T141817Z/cctp_Base-SOL_s3_full.png" TargetMode="External" Id="rId464" /><Relationship Type="http://schemas.openxmlformats.org/officeDocument/2006/relationships/hyperlink" Target="https://raw.githubusercontent.com/CainBeaudoin/bb/main/evidence/20260923T141817Z/husher_Base-SOL_s3_crop.png" TargetMode="External" Id="rId465" /><Relationship Type="http://schemas.openxmlformats.org/officeDocument/2006/relationships/hyperlink" Target="https://raw.githubusercontent.com/CainBeaudoin/bb/main/evidence/20260923T141817Z/husher_Base-SOL_s3_full.png" TargetMode="External" Id="rId466" /><Relationship Type="http://schemas.openxmlformats.org/officeDocument/2006/relationships/hyperlink" Target="https://raw.githubusercontent.com/CainBeaudoin/bb/main/evidence/20260923T141817Z/layerswap_Base-SOL_s3_crop.png" TargetMode="External" Id="rId467" /><Relationship Type="http://schemas.openxmlformats.org/officeDocument/2006/relationships/hyperlink" Target="https://raw.githubusercontent.com/CainBeaudoin/bb/main/evidence/20260923T141817Z/layerswap_Base-SOL_s3_full.png" TargetMode="External" Id="rId468" /><Relationship Type="http://schemas.openxmlformats.org/officeDocument/2006/relationships/hyperlink" Target="https://raw.githubusercontent.com/CainBeaudoin/bb/main/evidence/20260923T141817Z/meson_Base-SOL_s3_crop.png" TargetMode="External" Id="rId469" /><Relationship Type="http://schemas.openxmlformats.org/officeDocument/2006/relationships/hyperlink" Target="https://raw.githubusercontent.com/CainBeaudoin/bb/main/evidence/20260923T141817Z/meson_Base-SOL_s3_full.png" TargetMode="External" Id="rId470" /><Relationship Type="http://schemas.openxmlformats.org/officeDocument/2006/relationships/hyperlink" Target="https://raw.githubusercontent.com/CainBeaudoin/bb/main/evidence/20260923T141817Z/simpleswap_Base-SOL_s3_crop.png" TargetMode="External" Id="rId471" /><Relationship Type="http://schemas.openxmlformats.org/officeDocument/2006/relationships/hyperlink" Target="https://raw.githubusercontent.com/CainBeaudoin/bb/main/evidence/20260923T141817Z/simpleswap_Base-SOL_s3_full.png" TargetMode="External" Id="rId472" /><Relationship Type="http://schemas.openxmlformats.org/officeDocument/2006/relationships/hyperlink" Target="https://raw.githubusercontent.com/CainBeaudoin/bb/main/evidence/20260923T141817Z/skip-go_Base-SOL_s3_crop.png" TargetMode="External" Id="rId473" /><Relationship Type="http://schemas.openxmlformats.org/officeDocument/2006/relationships/hyperlink" Target="https://raw.githubusercontent.com/CainBeaudoin/bb/main/evidence/20260923T141817Z/skip-go_Base-SOL_s3_full.png" TargetMode="External" Id="rId474" /><Relationship Type="http://schemas.openxmlformats.org/officeDocument/2006/relationships/hyperlink" Target="https://raw.githubusercontent.com/CainBeaudoin/bb/main/evidence/20260923T141817Z/symbiosis_Base-SOL_s3_crop.png" TargetMode="External" Id="rId475" /><Relationship Type="http://schemas.openxmlformats.org/officeDocument/2006/relationships/hyperlink" Target="https://raw.githubusercontent.com/CainBeaudoin/bb/main/evidence/20260923T141817Z/symbiosis_Base-SOL_s3_full.png" TargetMode="External" Id="rId4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25" customWidth="1" min="3" max="3"/>
    <col width="25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Bridg Competitive Benchmark</t>
        </is>
      </c>
    </row>
    <row r="2">
      <c r="A2" s="2" t="inlineStr">
        <is>
          <t>100 USDC → USDC · 6 routes · quotes read from each site's own web UI, no wallet connected · collected 2026-09-23 14:18 – 14:30 UTC</t>
        </is>
      </c>
    </row>
    <row r="4">
      <c r="A4" s="3" t="inlineStr">
        <is>
          <t>Headline</t>
        </is>
      </c>
    </row>
    <row r="5">
      <c r="A5" s="4" t="inlineStr">
        <is>
          <t>Routes where Bridg's best beat every direct quote</t>
        </is>
      </c>
      <c r="B5" s="5">
        <f>COUNTIF('Competitor Matrix'!$E$28:$E$33,"&gt;=-2")&amp;" / 6"</f>
        <v/>
      </c>
    </row>
    <row r="6">
      <c r="A6" s="4" t="inlineStr">
        <is>
          <t>Venue pairs where Bridg's listing matches the venue's site</t>
        </is>
      </c>
      <c r="B6" s="5">
        <f>COUNTIF('Venue Analysis'!$Z$5:$Z$74,"Match*")&amp;" / "&amp;COUNTA('Venue Analysis'!$Z$5:$Z$74)</f>
        <v/>
      </c>
    </row>
    <row r="7">
      <c r="A7" s="4" t="inlineStr">
        <is>
          <t>… Bridg lists LESS than the venue's own site</t>
        </is>
      </c>
      <c r="B7" s="5">
        <f>COUNTIF('Venue Analysis'!$Z$5:$Z$74,"Bridg LOWER*")</f>
        <v/>
      </c>
    </row>
    <row r="8">
      <c r="A8" s="4" t="inlineStr">
        <is>
          <t>… Bridg lists MORE than the venue's own site</t>
        </is>
      </c>
      <c r="B8" s="5">
        <f>COUNTIF('Venue Analysis'!$Z$5:$Z$74,"Bridg HIGHER*")</f>
        <v/>
      </c>
    </row>
    <row r="9">
      <c r="A9" s="4" t="inlineStr">
        <is>
          <t>… venue quotes on its site but is missing from Bridg</t>
        </is>
      </c>
      <c r="B9" s="5">
        <f>COUNTIF('Venue Analysis'!$Z$5:$Z$74,"NOT LISTED*")</f>
        <v/>
      </c>
    </row>
    <row r="10">
      <c r="A10" s="4" t="inlineStr">
        <is>
          <t>Worst venue-accuracy gap (bps, ex-Bridg fee)</t>
        </is>
      </c>
      <c r="B10" s="6">
        <f>MIN('Venue Analysis'!$X$5:$X$74)</f>
        <v/>
      </c>
    </row>
    <row r="11">
      <c r="A11" s="4" t="inlineStr">
        <is>
          <t>Campaign (all quotes collected in one window)</t>
        </is>
      </c>
      <c r="B11" s="7" t="inlineStr">
        <is>
          <t>20260923T141817Z · 2026-09-23 14:18:34 – 14:30:59 UTC</t>
        </is>
      </c>
    </row>
    <row r="12">
      <c r="A12" s="4" t="inlineStr">
        <is>
          <t>Worst value-read spread within a run (s)</t>
        </is>
      </c>
      <c r="B12" s="5">
        <f>MAX('Raw Quotes'!$S:$S)</f>
        <v/>
      </c>
    </row>
    <row r="13">
      <c r="A13" s="4" t="inlineStr">
        <is>
          <t>Venues / platforms compared</t>
        </is>
      </c>
      <c r="B13" s="7" t="inlineStr">
        <is>
          <t>13 venues + 1 platforms</t>
        </is>
      </c>
    </row>
    <row r="14">
      <c r="A14" s="4" t="inlineStr">
        <is>
          <t>Blocked (no public quote)</t>
        </is>
      </c>
      <c r="B14" s="7" t="inlineStr">
        <is>
          <t>3 venues + 4 platforms</t>
        </is>
      </c>
    </row>
    <row r="17">
      <c r="A17" s="3" t="inlineStr">
        <is>
          <t>Route winners (Bridg best vs best direct quote)</t>
        </is>
      </c>
    </row>
    <row r="18">
      <c r="A18" s="8" t="inlineStr">
        <is>
          <t>Route</t>
        </is>
      </c>
      <c r="B18" s="8" t="inlineStr">
        <is>
          <t>Bridg best</t>
        </is>
      </c>
      <c r="C18" s="8" t="inlineStr">
        <is>
          <t>Best elsewhere</t>
        </is>
      </c>
      <c r="D18" s="8" t="inlineStr">
        <is>
          <t>Site</t>
        </is>
      </c>
      <c r="E18" s="8" t="inlineStr">
        <is>
          <t>Bridg vs best (bps)</t>
        </is>
      </c>
      <c r="F18" s="8" t="inlineStr">
        <is>
          <t>Sites Bridg beats</t>
        </is>
      </c>
      <c r="G18" s="8" t="inlineStr">
        <is>
          <t>Sites beating Bridg</t>
        </is>
      </c>
    </row>
    <row r="19">
      <c r="A19" s="9">
        <f>'Competitor Matrix'!A28</f>
        <v/>
      </c>
      <c r="B19" s="10">
        <f>'Competitor Matrix'!B28</f>
        <v/>
      </c>
      <c r="C19" s="10">
        <f>'Competitor Matrix'!C28</f>
        <v/>
      </c>
      <c r="D19" s="9">
        <f>'Competitor Matrix'!D28</f>
        <v/>
      </c>
      <c r="E19" s="11">
        <f>'Competitor Matrix'!E28</f>
        <v/>
      </c>
      <c r="F19" s="9">
        <f>'Competitor Matrix'!F28</f>
        <v/>
      </c>
      <c r="G19" s="9">
        <f>'Competitor Matrix'!G28</f>
        <v/>
      </c>
    </row>
    <row r="20">
      <c r="A20" s="9">
        <f>'Competitor Matrix'!A29</f>
        <v/>
      </c>
      <c r="B20" s="10">
        <f>'Competitor Matrix'!B29</f>
        <v/>
      </c>
      <c r="C20" s="10">
        <f>'Competitor Matrix'!C29</f>
        <v/>
      </c>
      <c r="D20" s="9">
        <f>'Competitor Matrix'!D29</f>
        <v/>
      </c>
      <c r="E20" s="11">
        <f>'Competitor Matrix'!E29</f>
        <v/>
      </c>
      <c r="F20" s="9">
        <f>'Competitor Matrix'!F29</f>
        <v/>
      </c>
      <c r="G20" s="9">
        <f>'Competitor Matrix'!G29</f>
        <v/>
      </c>
    </row>
    <row r="21">
      <c r="A21" s="9">
        <f>'Competitor Matrix'!A30</f>
        <v/>
      </c>
      <c r="B21" s="10">
        <f>'Competitor Matrix'!B30</f>
        <v/>
      </c>
      <c r="C21" s="10">
        <f>'Competitor Matrix'!C30</f>
        <v/>
      </c>
      <c r="D21" s="9">
        <f>'Competitor Matrix'!D30</f>
        <v/>
      </c>
      <c r="E21" s="11">
        <f>'Competitor Matrix'!E30</f>
        <v/>
      </c>
      <c r="F21" s="9">
        <f>'Competitor Matrix'!F30</f>
        <v/>
      </c>
      <c r="G21" s="9">
        <f>'Competitor Matrix'!G30</f>
        <v/>
      </c>
    </row>
    <row r="22">
      <c r="A22" s="9">
        <f>'Competitor Matrix'!A31</f>
        <v/>
      </c>
      <c r="B22" s="10">
        <f>'Competitor Matrix'!B31</f>
        <v/>
      </c>
      <c r="C22" s="10">
        <f>'Competitor Matrix'!C31</f>
        <v/>
      </c>
      <c r="D22" s="9">
        <f>'Competitor Matrix'!D31</f>
        <v/>
      </c>
      <c r="E22" s="11">
        <f>'Competitor Matrix'!E31</f>
        <v/>
      </c>
      <c r="F22" s="9">
        <f>'Competitor Matrix'!F31</f>
        <v/>
      </c>
      <c r="G22" s="9">
        <f>'Competitor Matrix'!G31</f>
        <v/>
      </c>
    </row>
    <row r="23">
      <c r="A23" s="9">
        <f>'Competitor Matrix'!A32</f>
        <v/>
      </c>
      <c r="B23" s="10">
        <f>'Competitor Matrix'!B32</f>
        <v/>
      </c>
      <c r="C23" s="10">
        <f>'Competitor Matrix'!C32</f>
        <v/>
      </c>
      <c r="D23" s="9">
        <f>'Competitor Matrix'!D32</f>
        <v/>
      </c>
      <c r="E23" s="11">
        <f>'Competitor Matrix'!E32</f>
        <v/>
      </c>
      <c r="F23" s="9">
        <f>'Competitor Matrix'!F32</f>
        <v/>
      </c>
      <c r="G23" s="9">
        <f>'Competitor Matrix'!G32</f>
        <v/>
      </c>
    </row>
    <row r="24">
      <c r="A24" s="9">
        <f>'Competitor Matrix'!A33</f>
        <v/>
      </c>
      <c r="B24" s="10">
        <f>'Competitor Matrix'!B33</f>
        <v/>
      </c>
      <c r="C24" s="10">
        <f>'Competitor Matrix'!C33</f>
        <v/>
      </c>
      <c r="D24" s="9">
        <f>'Competitor Matrix'!D33</f>
        <v/>
      </c>
      <c r="E24" s="11">
        <f>'Competitor Matrix'!E33</f>
        <v/>
      </c>
      <c r="F24" s="9">
        <f>'Competitor Matrix'!F33</f>
        <v/>
      </c>
      <c r="G24" s="9">
        <f>'Competitor Matrix'!G33</f>
        <v/>
      </c>
    </row>
    <row r="26">
      <c r="A26" s="3" t="inlineStr">
        <is>
          <t>Venue accuracy (avg gap ex-Bridg fee, bps) — Bridg listed vs venue's own site</t>
        </is>
      </c>
    </row>
    <row r="27">
      <c r="A27" s="12" t="inlineStr">
        <is>
          <t>Venue</t>
        </is>
      </c>
      <c r="B27" s="12" t="inlineStr">
        <is>
          <t>SOL → ETH</t>
        </is>
      </c>
      <c r="C27" s="12" t="inlineStr">
        <is>
          <t>ETH → SOL</t>
        </is>
      </c>
      <c r="D27" s="12" t="inlineStr">
        <is>
          <t>SOL → BSC</t>
        </is>
      </c>
      <c r="E27" s="12" t="inlineStr">
        <is>
          <t>BSC → SOL</t>
        </is>
      </c>
      <c r="F27" s="12" t="inlineStr">
        <is>
          <t>SOL → Base</t>
        </is>
      </c>
      <c r="G27" s="12" t="inlineStr">
        <is>
          <t>Base → SOL</t>
        </is>
      </c>
    </row>
    <row r="28">
      <c r="A28" s="4" t="inlineStr">
        <is>
          <t>Relay</t>
        </is>
      </c>
      <c r="B28" s="11">
        <f>IF('Venue Analysis'!T5=0,"not listed",'Venue Analysis'!X5)</f>
        <v/>
      </c>
      <c r="C28" s="11">
        <f>IF('Venue Analysis'!T18=0,"not listed",'Venue Analysis'!X18)</f>
        <v/>
      </c>
      <c r="D28" s="11">
        <f>IF('Venue Analysis'!T31=0,"not listed",'Venue Analysis'!X31)</f>
        <v/>
      </c>
      <c r="E28" s="11">
        <f>IF('Venue Analysis'!T40=0,"not listed",'Venue Analysis'!X40)</f>
        <v/>
      </c>
      <c r="F28" s="11">
        <f>IF('Venue Analysis'!T50=0,"not listed",'Venue Analysis'!X50)</f>
        <v/>
      </c>
      <c r="G28" s="11">
        <f>IF('Venue Analysis'!T62=0,"not listed",'Venue Analysis'!X62)</f>
        <v/>
      </c>
    </row>
    <row r="29">
      <c r="A29" s="4" t="inlineStr">
        <is>
          <t>deBridge</t>
        </is>
      </c>
      <c r="B29" s="11">
        <f>IF('Venue Analysis'!T6=0,"not listed",'Venue Analysis'!X6)</f>
        <v/>
      </c>
      <c r="C29" s="11">
        <f>IF('Venue Analysis'!T19=0,"not listed",'Venue Analysis'!X19)</f>
        <v/>
      </c>
      <c r="D29" s="11">
        <f>IF('Venue Analysis'!T32=0,"not listed",'Venue Analysis'!X32)</f>
        <v/>
      </c>
      <c r="E29" s="11">
        <f>IF('Venue Analysis'!T41=0,"not listed",'Venue Analysis'!X41)</f>
        <v/>
      </c>
      <c r="F29" s="11">
        <f>IF('Venue Analysis'!T51=0,"not listed",'Venue Analysis'!X51)</f>
        <v/>
      </c>
      <c r="G29" s="11">
        <f>IF('Venue Analysis'!T63=0,"not listed",'Venue Analysis'!X63)</f>
        <v/>
      </c>
    </row>
    <row r="30">
      <c r="A30" s="4" t="inlineStr">
        <is>
          <t>LI.FI (Jumper)</t>
        </is>
      </c>
      <c r="B30" s="11">
        <f>IF('Venue Analysis'!T7=0,"not listed",'Venue Analysis'!X7)</f>
        <v/>
      </c>
      <c r="C30" s="11">
        <f>IF('Venue Analysis'!T20=0,"not listed",'Venue Analysis'!X20)</f>
        <v/>
      </c>
      <c r="D30" s="11">
        <f>IF('Venue Analysis'!T33=0,"not listed",'Venue Analysis'!X33)</f>
        <v/>
      </c>
      <c r="E30" s="11">
        <f>IF('Venue Analysis'!T42=0,"not listed",'Venue Analysis'!X42)</f>
        <v/>
      </c>
      <c r="F30" s="11">
        <f>IF('Venue Analysis'!T52=0,"not listed",'Venue Analysis'!X52)</f>
        <v/>
      </c>
      <c r="G30" s="11">
        <f>IF('Venue Analysis'!T64=0,"not listed",'Venue Analysis'!X64)</f>
        <v/>
      </c>
    </row>
    <row r="31">
      <c r="A31" s="4" t="inlineStr">
        <is>
          <t>Across</t>
        </is>
      </c>
      <c r="B31" s="11">
        <f>IF('Venue Analysis'!T8=0,"not listed",'Venue Analysis'!X8)</f>
        <v/>
      </c>
      <c r="C31" s="11">
        <f>IF('Venue Analysis'!T21=0,"not listed",'Venue Analysis'!X21)</f>
        <v/>
      </c>
      <c r="D31" s="11">
        <f>IF('Venue Analysis'!T34=0,"not listed",'Venue Analysis'!X34)</f>
        <v/>
      </c>
      <c r="E31" s="11">
        <f>IF('Venue Analysis'!T43=0,"not listed",'Venue Analysis'!X43)</f>
        <v/>
      </c>
      <c r="F31" s="11">
        <f>IF('Venue Analysis'!T53=0,"not listed",'Venue Analysis'!X53)</f>
        <v/>
      </c>
      <c r="G31" s="11">
        <f>IF('Venue Analysis'!T65=0,"not listed",'Venue Analysis'!X65)</f>
        <v/>
      </c>
    </row>
    <row r="32">
      <c r="A32" s="4" t="inlineStr">
        <is>
          <t>Mayan</t>
        </is>
      </c>
      <c r="B32" s="11">
        <f>IF('Venue Analysis'!T9=0,"not listed",'Venue Analysis'!X9)</f>
        <v/>
      </c>
      <c r="C32" s="11">
        <f>IF('Venue Analysis'!T22=0,"not listed",'Venue Analysis'!X22)</f>
        <v/>
      </c>
      <c r="D32" s="11">
        <f>IF('Venue Analysis'!T35=0,"not listed",'Venue Analysis'!X35)</f>
        <v/>
      </c>
      <c r="E32" s="11">
        <f>IF('Venue Analysis'!T44=0,"not listed",'Venue Analysis'!X44)</f>
        <v/>
      </c>
      <c r="F32" s="11">
        <f>IF('Venue Analysis'!T54=0,"not listed",'Venue Analysis'!X54)</f>
        <v/>
      </c>
      <c r="G32" s="11">
        <f>IF('Venue Analysis'!T66=0,"not listed",'Venue Analysis'!X66)</f>
        <v/>
      </c>
    </row>
    <row r="33">
      <c r="A33" s="4" t="inlineStr">
        <is>
          <t>Allbridge Core</t>
        </is>
      </c>
      <c r="B33" s="11">
        <f>IF('Venue Analysis'!T10=0,"not listed",'Venue Analysis'!X10)</f>
        <v/>
      </c>
      <c r="C33" s="11">
        <f>IF('Venue Analysis'!T23=0,"not listed",'Venue Analysis'!X23)</f>
        <v/>
      </c>
      <c r="D33" s="2" t="inlineStr">
        <is>
          <t>n/a</t>
        </is>
      </c>
      <c r="E33" s="2" t="inlineStr">
        <is>
          <t>n/a</t>
        </is>
      </c>
      <c r="F33" s="11">
        <f>IF('Venue Analysis'!T55=0,"not listed",'Venue Analysis'!X55)</f>
        <v/>
      </c>
      <c r="G33" s="11">
        <f>IF('Venue Analysis'!T67=0,"not listed",'Venue Analysis'!X67)</f>
        <v/>
      </c>
    </row>
    <row r="34">
      <c r="A34" s="4" t="inlineStr">
        <is>
          <t>CCTP (via Portal)</t>
        </is>
      </c>
      <c r="B34" s="11">
        <f>IF('Venue Analysis'!T11=0,"not listed",'Venue Analysis'!X11)</f>
        <v/>
      </c>
      <c r="C34" s="11">
        <f>IF('Venue Analysis'!T24=0,"not listed",'Venue Analysis'!X24)</f>
        <v/>
      </c>
      <c r="D34" s="2" t="inlineStr">
        <is>
          <t>n/a</t>
        </is>
      </c>
      <c r="E34" s="2" t="inlineStr">
        <is>
          <t>n/a</t>
        </is>
      </c>
      <c r="F34" s="11">
        <f>IF('Venue Analysis'!T56=0,"not listed",'Venue Analysis'!X56)</f>
        <v/>
      </c>
      <c r="G34" s="11">
        <f>IF('Venue Analysis'!T68=0,"not listed",'Venue Analysis'!X68)</f>
        <v/>
      </c>
    </row>
    <row r="35">
      <c r="A35" s="4" t="inlineStr">
        <is>
          <t>Husher</t>
        </is>
      </c>
      <c r="B35" s="11">
        <f>IF('Venue Analysis'!T12=0,"not listed",'Venue Analysis'!X12)</f>
        <v/>
      </c>
      <c r="C35" s="11">
        <f>IF('Venue Analysis'!T25=0,"not listed",'Venue Analysis'!X25)</f>
        <v/>
      </c>
      <c r="D35" s="11">
        <f>IF('Venue Analysis'!T36=0,"not listed",'Venue Analysis'!X36)</f>
        <v/>
      </c>
      <c r="E35" s="11">
        <f>IF('Venue Analysis'!T45=0,"not listed",'Venue Analysis'!X45)</f>
        <v/>
      </c>
      <c r="F35" s="11">
        <f>IF('Venue Analysis'!T57=0,"not listed",'Venue Analysis'!X57)</f>
        <v/>
      </c>
      <c r="G35" s="11">
        <f>IF('Venue Analysis'!T69=0,"not listed",'Venue Analysis'!X69)</f>
        <v/>
      </c>
    </row>
    <row r="36">
      <c r="A36" s="4" t="inlineStr">
        <is>
          <t>Layerswap</t>
        </is>
      </c>
      <c r="B36" s="11">
        <f>IF('Venue Analysis'!T13=0,"not listed",'Venue Analysis'!X13)</f>
        <v/>
      </c>
      <c r="C36" s="11">
        <f>IF('Venue Analysis'!T26=0,"not listed",'Venue Analysis'!X26)</f>
        <v/>
      </c>
      <c r="D36" s="11">
        <f>IF('Venue Analysis'!T37=0,"not listed",'Venue Analysis'!X37)</f>
        <v/>
      </c>
      <c r="E36" s="11">
        <f>IF('Venue Analysis'!T46=0,"not listed",'Venue Analysis'!X46)</f>
        <v/>
      </c>
      <c r="F36" s="11">
        <f>IF('Venue Analysis'!T58=0,"not listed",'Venue Analysis'!X58)</f>
        <v/>
      </c>
      <c r="G36" s="11">
        <f>IF('Venue Analysis'!T70=0,"not listed",'Venue Analysis'!X70)</f>
        <v/>
      </c>
    </row>
    <row r="37">
      <c r="A37" s="4" t="inlineStr">
        <is>
          <t>Meson</t>
        </is>
      </c>
      <c r="B37" s="11">
        <f>IF('Venue Analysis'!T14=0,"not listed",'Venue Analysis'!X14)</f>
        <v/>
      </c>
      <c r="C37" s="11">
        <f>IF('Venue Analysis'!T27=0,"not listed",'Venue Analysis'!X27)</f>
        <v/>
      </c>
      <c r="D37" s="11">
        <f>IF('Venue Analysis'!T38=0,"not listed",'Venue Analysis'!X38)</f>
        <v/>
      </c>
      <c r="E37" s="11">
        <f>IF('Venue Analysis'!T47=0,"not listed",'Venue Analysis'!X47)</f>
        <v/>
      </c>
      <c r="F37" s="11">
        <f>IF('Venue Analysis'!T59=0,"not listed",'Venue Analysis'!X59)</f>
        <v/>
      </c>
      <c r="G37" s="11">
        <f>IF('Venue Analysis'!T71=0,"not listed",'Venue Analysis'!X71)</f>
        <v/>
      </c>
    </row>
    <row r="38">
      <c r="A38" s="4" t="inlineStr">
        <is>
          <t>SimpleSwap</t>
        </is>
      </c>
      <c r="B38" s="11">
        <f>IF('Venue Analysis'!T15=0,"not listed",'Venue Analysis'!X15)</f>
        <v/>
      </c>
      <c r="C38" s="11">
        <f>IF('Venue Analysis'!T28=0,"not listed",'Venue Analysis'!X28)</f>
        <v/>
      </c>
      <c r="D38" s="11">
        <f>IF('Venue Analysis'!T39=0,"not listed",'Venue Analysis'!X39)</f>
        <v/>
      </c>
      <c r="E38" s="11">
        <f>IF('Venue Analysis'!T48=0,"not listed",'Venue Analysis'!X48)</f>
        <v/>
      </c>
      <c r="F38" s="11">
        <f>IF('Venue Analysis'!T60=0,"not listed",'Venue Analysis'!X60)</f>
        <v/>
      </c>
      <c r="G38" s="11">
        <f>IF('Venue Analysis'!T72=0,"not listed",'Venue Analysis'!X72)</f>
        <v/>
      </c>
    </row>
    <row r="39">
      <c r="A39" s="4" t="inlineStr">
        <is>
          <t>Skip Go</t>
        </is>
      </c>
      <c r="B39" s="11">
        <f>IF('Venue Analysis'!T16=0,"not listed",'Venue Analysis'!X16)</f>
        <v/>
      </c>
      <c r="C39" s="11">
        <f>IF('Venue Analysis'!T29=0,"not listed",'Venue Analysis'!X29)</f>
        <v/>
      </c>
      <c r="D39" s="2" t="inlineStr">
        <is>
          <t>n/a</t>
        </is>
      </c>
      <c r="E39" s="2" t="inlineStr">
        <is>
          <t>n/a</t>
        </is>
      </c>
      <c r="F39" s="11">
        <f>IF('Venue Analysis'!T61=0,"not listed",'Venue Analysis'!X61)</f>
        <v/>
      </c>
      <c r="G39" s="11">
        <f>IF('Venue Analysis'!T73=0,"not listed",'Venue Analysis'!X73)</f>
        <v/>
      </c>
    </row>
    <row r="40">
      <c r="A40" s="4" t="inlineStr">
        <is>
          <t>Symbiosis</t>
        </is>
      </c>
      <c r="B40" s="11">
        <f>IF('Venue Analysis'!T17=0,"not listed",'Venue Analysis'!X17)</f>
        <v/>
      </c>
      <c r="C40" s="11">
        <f>IF('Venue Analysis'!T30=0,"not listed",'Venue Analysis'!X30)</f>
        <v/>
      </c>
      <c r="D40" s="2" t="inlineStr">
        <is>
          <t>n/a</t>
        </is>
      </c>
      <c r="E40" s="11">
        <f>IF('Venue Analysis'!T49=0,"not listed",'Venue Analysis'!X49)</f>
        <v/>
      </c>
      <c r="F40" s="2" t="inlineStr">
        <is>
          <t>n/a</t>
        </is>
      </c>
      <c r="G40" s="11">
        <f>IF('Venue Analysis'!T74=0,"not listed",'Venue Analysis'!X74)</f>
        <v/>
      </c>
    </row>
    <row r="42">
      <c r="A42" s="2" t="inlineStr">
        <is>
          <t>Green = linked from other sheets. Red cells: Bridg lower / going direct pays more; blue: Bridg higher / Bridg pays more. Hypotheses in Issues are unverified.</t>
        </is>
      </c>
    </row>
    <row r="44">
      <c r="A44" s="3" t="inlineStr">
        <is>
          <t>Run timing — every site typed at one instant, then all read their compared value at one instant</t>
        </is>
      </c>
    </row>
    <row r="45" ht="30" customHeight="1">
      <c r="A45" s="8" t="inlineStr">
        <is>
          <t>Route</t>
        </is>
      </c>
      <c r="B45" s="8" t="inlineStr">
        <is>
          <t>Sample</t>
        </is>
      </c>
      <c r="C45" s="8" t="inlineStr">
        <is>
          <t>Typed at (UTC)</t>
        </is>
      </c>
      <c r="D45" s="8" t="inlineStr">
        <is>
          <t>Values read at (UTC)</t>
        </is>
      </c>
      <c r="E45" s="8" t="inlineStr">
        <is>
          <t>Typed spread (s)</t>
        </is>
      </c>
      <c r="F45" s="8" t="inlineStr">
        <is>
          <t>Read spread (s)</t>
        </is>
      </c>
      <c r="G45" s="8" t="inlineStr">
        <is>
          <t>Screenshot spread (s)</t>
        </is>
      </c>
      <c r="H45" s="8" t="inlineStr">
        <is>
          <t>Sites OK</t>
        </is>
      </c>
    </row>
    <row r="46">
      <c r="A46" s="4" t="inlineStr">
        <is>
          <t>SOL → ETH</t>
        </is>
      </c>
      <c r="B46" s="4" t="n">
        <v>1</v>
      </c>
      <c r="C46" s="4" t="inlineStr">
        <is>
          <t>2026-09-23T14:18:34.538Z</t>
        </is>
      </c>
      <c r="D46" s="4" t="inlineStr">
        <is>
          <t>2026-09-23T14:18:55.406Z</t>
        </is>
      </c>
      <c r="E46" s="13" t="n">
        <v>0.187</v>
      </c>
      <c r="F46" s="13" t="n">
        <v>0.006</v>
      </c>
      <c r="G46" s="13" t="n">
        <v>0.183</v>
      </c>
      <c r="H46" s="4" t="inlineStr">
        <is>
          <t>15/15</t>
        </is>
      </c>
    </row>
    <row r="47">
      <c r="A47" s="4" t="inlineStr">
        <is>
          <t>ETH → SOL</t>
        </is>
      </c>
      <c r="B47" s="4" t="n">
        <v>1</v>
      </c>
      <c r="C47" s="4" t="inlineStr">
        <is>
          <t>2026-09-23T14:19:22.123Z</t>
        </is>
      </c>
      <c r="D47" s="4" t="inlineStr">
        <is>
          <t>2026-09-23T14:19:28.697Z</t>
        </is>
      </c>
      <c r="E47" s="13" t="n">
        <v>0.01</v>
      </c>
      <c r="F47" s="13" t="n">
        <v>0.006</v>
      </c>
      <c r="G47" s="13" t="n">
        <v>0.919</v>
      </c>
      <c r="H47" s="4" t="inlineStr">
        <is>
          <t>15/15</t>
        </is>
      </c>
    </row>
    <row r="48">
      <c r="A48" s="4" t="inlineStr">
        <is>
          <t>SOL → BSC</t>
        </is>
      </c>
      <c r="B48" s="4" t="n">
        <v>1</v>
      </c>
      <c r="C48" s="4" t="inlineStr">
        <is>
          <t>2026-09-23T14:19:52.315Z</t>
        </is>
      </c>
      <c r="D48" s="4" t="inlineStr">
        <is>
          <t>2026-09-23T14:19:58.625Z</t>
        </is>
      </c>
      <c r="E48" s="13" t="n">
        <v>0.011</v>
      </c>
      <c r="F48" s="13" t="n">
        <v>0.004</v>
      </c>
      <c r="G48" s="13" t="n">
        <v>0.079</v>
      </c>
      <c r="H48" s="4" t="inlineStr">
        <is>
          <t>10/10</t>
        </is>
      </c>
    </row>
    <row r="49">
      <c r="A49" s="4" t="inlineStr">
        <is>
          <t>BSC → SOL</t>
        </is>
      </c>
      <c r="B49" s="4" t="n">
        <v>1</v>
      </c>
      <c r="C49" s="4" t="inlineStr">
        <is>
          <t>2026-09-23T14:20:23.792Z</t>
        </is>
      </c>
      <c r="D49" s="4" t="inlineStr">
        <is>
          <t>2026-09-23T14:20:29.480Z</t>
        </is>
      </c>
      <c r="E49" s="13" t="n">
        <v>0.004</v>
      </c>
      <c r="F49" s="13" t="n">
        <v>0.004</v>
      </c>
      <c r="G49" s="13" t="n">
        <v>0.147</v>
      </c>
      <c r="H49" s="4" t="inlineStr">
        <is>
          <t>11/11</t>
        </is>
      </c>
    </row>
    <row r="50">
      <c r="A50" s="4" t="inlineStr">
        <is>
          <t>SOL → Base</t>
        </is>
      </c>
      <c r="B50" s="4" t="n">
        <v>1</v>
      </c>
      <c r="C50" s="4" t="inlineStr">
        <is>
          <t>2026-09-23T14:21:02.757Z</t>
        </is>
      </c>
      <c r="D50" s="4" t="inlineStr">
        <is>
          <t>2026-09-23T14:21:09.321Z</t>
        </is>
      </c>
      <c r="E50" s="13" t="n">
        <v>0.005</v>
      </c>
      <c r="F50" s="13" t="n">
        <v>0.006</v>
      </c>
      <c r="G50" s="13" t="n">
        <v>0.285</v>
      </c>
      <c r="H50" s="4" t="inlineStr">
        <is>
          <t>14/14</t>
        </is>
      </c>
    </row>
    <row r="51">
      <c r="A51" s="4" t="inlineStr">
        <is>
          <t>Base → SOL</t>
        </is>
      </c>
      <c r="B51" s="4" t="n">
        <v>1</v>
      </c>
      <c r="C51" s="4" t="inlineStr">
        <is>
          <t>2026-09-23T14:21:37.200Z</t>
        </is>
      </c>
      <c r="D51" s="4" t="inlineStr">
        <is>
          <t>2026-09-23T14:21:44.562Z</t>
        </is>
      </c>
      <c r="E51" s="13" t="n">
        <v>0.054</v>
      </c>
      <c r="F51" s="13" t="n">
        <v>0.008</v>
      </c>
      <c r="G51" s="13" t="n">
        <v>1.073</v>
      </c>
      <c r="H51" s="4" t="inlineStr">
        <is>
          <t>15/15</t>
        </is>
      </c>
    </row>
    <row r="52">
      <c r="A52" s="4" t="inlineStr">
        <is>
          <t>SOL → ETH</t>
        </is>
      </c>
      <c r="B52" s="4" t="n">
        <v>2</v>
      </c>
      <c r="C52" s="4" t="inlineStr">
        <is>
          <t>2026-09-23T14:22:16.319Z</t>
        </is>
      </c>
      <c r="D52" s="4" t="inlineStr">
        <is>
          <t>2026-09-23T14:22:28.648Z</t>
        </is>
      </c>
      <c r="E52" s="13" t="n">
        <v>0.005</v>
      </c>
      <c r="F52" s="13" t="n">
        <v>0.01</v>
      </c>
      <c r="G52" s="13" t="n">
        <v>3.016</v>
      </c>
      <c r="H52" s="4" t="inlineStr">
        <is>
          <t>15/15</t>
        </is>
      </c>
    </row>
    <row r="53">
      <c r="A53" s="4" t="inlineStr">
        <is>
          <t>ETH → SOL</t>
        </is>
      </c>
      <c r="B53" s="4" t="n">
        <v>2</v>
      </c>
      <c r="C53" s="4" t="inlineStr">
        <is>
          <t>2026-09-23T14:23:01.562Z</t>
        </is>
      </c>
      <c r="D53" s="4" t="inlineStr">
        <is>
          <t>2026-09-23T14:23:47.144Z</t>
        </is>
      </c>
      <c r="E53" s="13" t="n">
        <v>0.035</v>
      </c>
      <c r="F53" s="13" t="n">
        <v>0.008</v>
      </c>
      <c r="G53" s="13" t="n">
        <v>0.332</v>
      </c>
      <c r="H53" s="4" t="inlineStr">
        <is>
          <t>15/15</t>
        </is>
      </c>
    </row>
    <row r="54">
      <c r="A54" s="4" t="inlineStr">
        <is>
          <t>SOL → BSC</t>
        </is>
      </c>
      <c r="B54" s="4" t="n">
        <v>2</v>
      </c>
      <c r="C54" s="4" t="inlineStr">
        <is>
          <t>2026-09-23T14:24:12.906Z</t>
        </is>
      </c>
      <c r="D54" s="4" t="inlineStr">
        <is>
          <t>2026-09-23T14:24:42.081Z</t>
        </is>
      </c>
      <c r="E54" s="13" t="n">
        <v>0.015</v>
      </c>
      <c r="F54" s="13" t="n">
        <v>0.005</v>
      </c>
      <c r="G54" s="13" t="n">
        <v>0.095</v>
      </c>
      <c r="H54" s="4" t="inlineStr">
        <is>
          <t>10/10</t>
        </is>
      </c>
    </row>
    <row r="55">
      <c r="A55" s="4" t="inlineStr">
        <is>
          <t>BSC → SOL</t>
        </is>
      </c>
      <c r="B55" s="4" t="n">
        <v>2</v>
      </c>
      <c r="C55" s="4" t="inlineStr">
        <is>
          <t>2026-09-23T14:25:07.466Z</t>
        </is>
      </c>
      <c r="D55" s="4" t="inlineStr">
        <is>
          <t>2026-09-23T14:25:12.872Z</t>
        </is>
      </c>
      <c r="E55" s="13" t="n">
        <v>0.023</v>
      </c>
      <c r="F55" s="13" t="n">
        <v>0.003</v>
      </c>
      <c r="G55" s="13" t="n">
        <v>0.08699999999999999</v>
      </c>
      <c r="H55" s="4" t="inlineStr">
        <is>
          <t>11/11</t>
        </is>
      </c>
    </row>
    <row r="56">
      <c r="A56" s="4" t="inlineStr">
        <is>
          <t>SOL → Base</t>
        </is>
      </c>
      <c r="B56" s="4" t="n">
        <v>2</v>
      </c>
      <c r="C56" s="4" t="inlineStr">
        <is>
          <t>2026-09-23T14:25:40.428Z</t>
        </is>
      </c>
      <c r="D56" s="4" t="inlineStr">
        <is>
          <t>2026-09-23T14:25:46.682Z</t>
        </is>
      </c>
      <c r="E56" s="13" t="n">
        <v>0.008</v>
      </c>
      <c r="F56" s="13" t="n">
        <v>0.004</v>
      </c>
      <c r="G56" s="13" t="n">
        <v>0.536</v>
      </c>
      <c r="H56" s="4" t="inlineStr">
        <is>
          <t>14/14</t>
        </is>
      </c>
    </row>
    <row r="57">
      <c r="A57" s="4" t="inlineStr">
        <is>
          <t>Base → SOL</t>
        </is>
      </c>
      <c r="B57" s="4" t="n">
        <v>2</v>
      </c>
      <c r="C57" s="4" t="inlineStr">
        <is>
          <t>2026-09-23T14:26:14.638Z</t>
        </is>
      </c>
      <c r="D57" s="4" t="inlineStr">
        <is>
          <t>2026-09-23T14:26:20.602Z</t>
        </is>
      </c>
      <c r="E57" s="13" t="n">
        <v>0.008999999999999999</v>
      </c>
      <c r="F57" s="13" t="n">
        <v>0.004</v>
      </c>
      <c r="G57" s="13" t="n">
        <v>0.491</v>
      </c>
      <c r="H57" s="4" t="inlineStr">
        <is>
          <t>15/15</t>
        </is>
      </c>
    </row>
    <row r="58">
      <c r="A58" s="4" t="inlineStr">
        <is>
          <t>SOL → ETH</t>
        </is>
      </c>
      <c r="B58" s="4" t="n">
        <v>3</v>
      </c>
      <c r="C58" s="4" t="inlineStr">
        <is>
          <t>2026-09-23T14:26:48.253Z</t>
        </is>
      </c>
      <c r="D58" s="4" t="inlineStr">
        <is>
          <t>2026-09-23T14:26:54.591Z</t>
        </is>
      </c>
      <c r="E58" s="13" t="n">
        <v>0.007</v>
      </c>
      <c r="F58" s="13" t="n">
        <v>0.006</v>
      </c>
      <c r="G58" s="13" t="n">
        <v>1.259</v>
      </c>
      <c r="H58" s="4" t="inlineStr">
        <is>
          <t>15/15</t>
        </is>
      </c>
    </row>
    <row r="59">
      <c r="A59" s="4" t="inlineStr">
        <is>
          <t>ETH → SOL</t>
        </is>
      </c>
      <c r="B59" s="4" t="n">
        <v>3</v>
      </c>
      <c r="C59" s="4" t="inlineStr">
        <is>
          <t>2026-09-23T14:27:21.676Z</t>
        </is>
      </c>
      <c r="D59" s="4" t="inlineStr">
        <is>
          <t>2026-09-23T14:27:28.356Z</t>
        </is>
      </c>
      <c r="E59" s="13" t="n">
        <v>0.012</v>
      </c>
      <c r="F59" s="13" t="n">
        <v>0.004</v>
      </c>
      <c r="G59" s="13" t="n">
        <v>1.647</v>
      </c>
      <c r="H59" s="4" t="inlineStr">
        <is>
          <t>15/15</t>
        </is>
      </c>
    </row>
    <row r="60">
      <c r="A60" s="4" t="inlineStr">
        <is>
          <t>SOL → BSC</t>
        </is>
      </c>
      <c r="B60" s="4" t="n">
        <v>3</v>
      </c>
      <c r="C60" s="4" t="inlineStr">
        <is>
          <t>2026-09-23T14:27:54.703Z</t>
        </is>
      </c>
      <c r="D60" s="4" t="inlineStr">
        <is>
          <t>2026-09-23T14:28:40.088Z</t>
        </is>
      </c>
      <c r="E60" s="13" t="n">
        <v>0.006</v>
      </c>
      <c r="F60" s="13" t="n">
        <v>0.008999999999999999</v>
      </c>
      <c r="G60" s="13" t="n">
        <v>0.018</v>
      </c>
      <c r="H60" s="4" t="inlineStr">
        <is>
          <t>10/10</t>
        </is>
      </c>
    </row>
    <row r="61">
      <c r="A61" s="4" t="inlineStr">
        <is>
          <t>BSC → SOL</t>
        </is>
      </c>
      <c r="B61" s="4" t="n">
        <v>3</v>
      </c>
      <c r="C61" s="4" t="inlineStr">
        <is>
          <t>2026-09-23T14:29:03.643Z</t>
        </is>
      </c>
      <c r="D61" s="4" t="inlineStr">
        <is>
          <t>2026-09-23T14:29:48.304Z</t>
        </is>
      </c>
      <c r="E61" s="13" t="n">
        <v>0.005</v>
      </c>
      <c r="F61" s="13" t="n">
        <v>0.004</v>
      </c>
      <c r="G61" s="13" t="n">
        <v>0.051</v>
      </c>
      <c r="H61" s="4" t="inlineStr">
        <is>
          <t>11/11</t>
        </is>
      </c>
    </row>
    <row r="62">
      <c r="A62" s="4" t="inlineStr">
        <is>
          <t>SOL → Base</t>
        </is>
      </c>
      <c r="B62" s="4" t="n">
        <v>3</v>
      </c>
      <c r="C62" s="4" t="inlineStr">
        <is>
          <t>2026-09-23T14:30:16.483Z</t>
        </is>
      </c>
      <c r="D62" s="4" t="inlineStr">
        <is>
          <t>2026-09-23T14:30:23.906Z</t>
        </is>
      </c>
      <c r="E62" s="13" t="n">
        <v>0.018</v>
      </c>
      <c r="F62" s="13" t="n">
        <v>0.004</v>
      </c>
      <c r="G62" s="13" t="n">
        <v>0.283</v>
      </c>
      <c r="H62" s="4" t="inlineStr">
        <is>
          <t>14/14</t>
        </is>
      </c>
    </row>
    <row r="63">
      <c r="A63" s="4" t="inlineStr">
        <is>
          <t>Base → SOL</t>
        </is>
      </c>
      <c r="B63" s="4" t="n">
        <v>3</v>
      </c>
      <c r="C63" s="4" t="inlineStr">
        <is>
          <t>2026-09-23T14:30:52.317Z</t>
        </is>
      </c>
      <c r="D63" s="4" t="inlineStr">
        <is>
          <t>2026-09-23T14:30:58.847Z</t>
        </is>
      </c>
      <c r="E63" s="13" t="n">
        <v>0.012</v>
      </c>
      <c r="F63" s="13" t="n">
        <v>0.004</v>
      </c>
      <c r="G63" s="13" t="n">
        <v>0.854</v>
      </c>
      <c r="H63" s="4" t="inlineStr">
        <is>
          <t>15/15</t>
        </is>
      </c>
    </row>
  </sheetData>
  <conditionalFormatting sqref="E19:E24">
    <cfRule type="cellIs" priority="1" operator="lessThan" dxfId="0">
      <formula>-2</formula>
    </cfRule>
    <cfRule type="cellIs" priority="2" operator="greaterThan" dxfId="1">
      <formula>2</formula>
    </cfRule>
  </conditionalFormatting>
  <conditionalFormatting sqref="B28:G40">
    <cfRule type="cellIs" priority="3" operator="lessThan" dxfId="0">
      <formula>-2</formula>
    </cfRule>
    <cfRule type="cellIs" priority="4" operator="greaterThan" dxfId="1">
      <formula>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40" customWidth="1" min="9" max="9"/>
  </cols>
  <sheetData>
    <row r="1">
      <c r="A1" s="1" t="inlineStr">
        <is>
          <t>Competitor Matrix — does a user get more on Bridg, or by going direct?</t>
        </is>
      </c>
    </row>
    <row r="2">
      <c r="A2" s="2" t="inlineStr">
        <is>
          <t>Savings (bps) = (Bridg best − other) / 100 × 10,000. Positive = Bridg pays more. Bridg best = what Bridg's own page says you receive on its best-price route. Source-chain gas paid separately is not counted on either side.</t>
        </is>
      </c>
    </row>
    <row r="4">
      <c r="A4" s="3" t="inlineStr">
        <is>
          <t>Average savings (bps) by site and route</t>
        </is>
      </c>
    </row>
    <row r="5">
      <c r="A5" s="14" t="inlineStr">
        <is>
          <t>Site</t>
        </is>
      </c>
      <c r="B5" s="14" t="inlineStr">
        <is>
          <t>Kind</t>
        </is>
      </c>
      <c r="C5" s="14" t="inlineStr">
        <is>
          <t>SOL → ETH</t>
        </is>
      </c>
      <c r="D5" s="14" t="inlineStr">
        <is>
          <t>ETH → SOL</t>
        </is>
      </c>
      <c r="E5" s="14" t="inlineStr">
        <is>
          <t>SOL → BSC</t>
        </is>
      </c>
      <c r="F5" s="14" t="inlineStr">
        <is>
          <t>BSC → SOL</t>
        </is>
      </c>
      <c r="G5" s="14" t="inlineStr">
        <is>
          <t>SOL → Base</t>
        </is>
      </c>
      <c r="H5" s="14" t="inlineStr">
        <is>
          <t>Base → SOL</t>
        </is>
      </c>
      <c r="N5" s="2" t="inlineStr">
        <is>
          <t>Avg other out (helper)</t>
        </is>
      </c>
      <c r="O5" s="15" t="inlineStr">
        <is>
          <t>SOL → ETH</t>
        </is>
      </c>
      <c r="P5" s="15" t="inlineStr">
        <is>
          <t>ETH → SOL</t>
        </is>
      </c>
      <c r="Q5" s="15" t="inlineStr">
        <is>
          <t>SOL → BSC</t>
        </is>
      </c>
      <c r="R5" s="15" t="inlineStr">
        <is>
          <t>BSC → SOL</t>
        </is>
      </c>
      <c r="S5" s="15" t="inlineStr">
        <is>
          <t>SOL → Base</t>
        </is>
      </c>
      <c r="T5" s="15" t="inlineStr">
        <is>
          <t>Base → SOL</t>
        </is>
      </c>
    </row>
    <row r="6">
      <c r="A6" s="4" t="inlineStr">
        <is>
          <t>OpenSea</t>
        </is>
      </c>
      <c r="B6" s="4" t="inlineStr">
        <is>
          <t>platform</t>
        </is>
      </c>
      <c r="C6" s="16">
        <f>IFERROR(AVERAGEIFS($H$37:$H$256,$A$37:$A$256,"SOL → ETH",$C$37:$C$256,$A6),"n/a")</f>
        <v/>
      </c>
      <c r="D6" s="16">
        <f>IFERROR(AVERAGEIFS($H$37:$H$256,$A$37:$A$256,"ETH → SOL",$C$37:$C$256,$A6),"n/a")</f>
        <v/>
      </c>
      <c r="E6" s="16">
        <f>IFERROR(AVERAGEIFS($H$37:$H$256,$A$37:$A$256,"SOL → BSC",$C$37:$C$256,$A6),"n/a")</f>
        <v/>
      </c>
      <c r="F6" s="16">
        <f>IFERROR(AVERAGEIFS($H$37:$H$256,$A$37:$A$256,"BSC → SOL",$C$37:$C$256,$A6),"n/a")</f>
        <v/>
      </c>
      <c r="G6" s="16">
        <f>IFERROR(AVERAGEIFS($H$37:$H$256,$A$37:$A$256,"SOL → Base",$C$37:$C$256,$A6),"n/a")</f>
        <v/>
      </c>
      <c r="H6" s="16">
        <f>IFERROR(AVERAGEIFS($H$37:$H$256,$A$37:$A$256,"Base → SOL",$C$37:$C$256,$A6),"n/a")</f>
        <v/>
      </c>
      <c r="N6" s="4" t="inlineStr">
        <is>
          <t>OpenSea</t>
        </is>
      </c>
      <c r="O6" s="17">
        <f>IFERROR(AVERAGEIFS($G$37:$G$256,$A$37:$A$256,"SOL → ETH",$C$37:$C$256,$N6),"")</f>
        <v/>
      </c>
      <c r="P6" s="17">
        <f>IFERROR(AVERAGEIFS($G$37:$G$256,$A$37:$A$256,"ETH → SOL",$C$37:$C$256,$N6),"")</f>
        <v/>
      </c>
      <c r="Q6" s="17">
        <f>IFERROR(AVERAGEIFS($G$37:$G$256,$A$37:$A$256,"SOL → BSC",$C$37:$C$256,$N6),"")</f>
        <v/>
      </c>
      <c r="R6" s="17">
        <f>IFERROR(AVERAGEIFS($G$37:$G$256,$A$37:$A$256,"BSC → SOL",$C$37:$C$256,$N6),"")</f>
        <v/>
      </c>
      <c r="S6" s="17">
        <f>IFERROR(AVERAGEIFS($G$37:$G$256,$A$37:$A$256,"SOL → Base",$C$37:$C$256,$N6),"")</f>
        <v/>
      </c>
      <c r="T6" s="17">
        <f>IFERROR(AVERAGEIFS($G$37:$G$256,$A$37:$A$256,"Base → SOL",$C$37:$C$256,$N6),"")</f>
        <v/>
      </c>
    </row>
    <row r="7">
      <c r="A7" s="4" t="inlineStr">
        <is>
          <t>Relay</t>
        </is>
      </c>
      <c r="B7" s="4" t="inlineStr">
        <is>
          <t>venue</t>
        </is>
      </c>
      <c r="C7" s="16">
        <f>IFERROR(AVERAGEIFS($H$37:$H$256,$A$37:$A$256,"SOL → ETH",$C$37:$C$256,$A7),"n/a")</f>
        <v/>
      </c>
      <c r="D7" s="16">
        <f>IFERROR(AVERAGEIFS($H$37:$H$256,$A$37:$A$256,"ETH → SOL",$C$37:$C$256,$A7),"n/a")</f>
        <v/>
      </c>
      <c r="E7" s="16">
        <f>IFERROR(AVERAGEIFS($H$37:$H$256,$A$37:$A$256,"SOL → BSC",$C$37:$C$256,$A7),"n/a")</f>
        <v/>
      </c>
      <c r="F7" s="16">
        <f>IFERROR(AVERAGEIFS($H$37:$H$256,$A$37:$A$256,"BSC → SOL",$C$37:$C$256,$A7),"n/a")</f>
        <v/>
      </c>
      <c r="G7" s="16">
        <f>IFERROR(AVERAGEIFS($H$37:$H$256,$A$37:$A$256,"SOL → Base",$C$37:$C$256,$A7),"n/a")</f>
        <v/>
      </c>
      <c r="H7" s="16">
        <f>IFERROR(AVERAGEIFS($H$37:$H$256,$A$37:$A$256,"Base → SOL",$C$37:$C$256,$A7),"n/a")</f>
        <v/>
      </c>
      <c r="N7" s="4" t="inlineStr">
        <is>
          <t>Relay</t>
        </is>
      </c>
      <c r="O7" s="17">
        <f>IFERROR(AVERAGEIFS($G$37:$G$256,$A$37:$A$256,"SOL → ETH",$C$37:$C$256,$N7),"")</f>
        <v/>
      </c>
      <c r="P7" s="17">
        <f>IFERROR(AVERAGEIFS($G$37:$G$256,$A$37:$A$256,"ETH → SOL",$C$37:$C$256,$N7),"")</f>
        <v/>
      </c>
      <c r="Q7" s="17">
        <f>IFERROR(AVERAGEIFS($G$37:$G$256,$A$37:$A$256,"SOL → BSC",$C$37:$C$256,$N7),"")</f>
        <v/>
      </c>
      <c r="R7" s="17">
        <f>IFERROR(AVERAGEIFS($G$37:$G$256,$A$37:$A$256,"BSC → SOL",$C$37:$C$256,$N7),"")</f>
        <v/>
      </c>
      <c r="S7" s="17">
        <f>IFERROR(AVERAGEIFS($G$37:$G$256,$A$37:$A$256,"SOL → Base",$C$37:$C$256,$N7),"")</f>
        <v/>
      </c>
      <c r="T7" s="17">
        <f>IFERROR(AVERAGEIFS($G$37:$G$256,$A$37:$A$256,"Base → SOL",$C$37:$C$256,$N7),"")</f>
        <v/>
      </c>
    </row>
    <row r="8">
      <c r="A8" s="4" t="inlineStr">
        <is>
          <t>deBridge</t>
        </is>
      </c>
      <c r="B8" s="4" t="inlineStr">
        <is>
          <t>venue</t>
        </is>
      </c>
      <c r="C8" s="16">
        <f>IFERROR(AVERAGEIFS($H$37:$H$256,$A$37:$A$256,"SOL → ETH",$C$37:$C$256,$A8),"n/a")</f>
        <v/>
      </c>
      <c r="D8" s="16">
        <f>IFERROR(AVERAGEIFS($H$37:$H$256,$A$37:$A$256,"ETH → SOL",$C$37:$C$256,$A8),"n/a")</f>
        <v/>
      </c>
      <c r="E8" s="16">
        <f>IFERROR(AVERAGEIFS($H$37:$H$256,$A$37:$A$256,"SOL → BSC",$C$37:$C$256,$A8),"n/a")</f>
        <v/>
      </c>
      <c r="F8" s="16">
        <f>IFERROR(AVERAGEIFS($H$37:$H$256,$A$37:$A$256,"BSC → SOL",$C$37:$C$256,$A8),"n/a")</f>
        <v/>
      </c>
      <c r="G8" s="16">
        <f>IFERROR(AVERAGEIFS($H$37:$H$256,$A$37:$A$256,"SOL → Base",$C$37:$C$256,$A8),"n/a")</f>
        <v/>
      </c>
      <c r="H8" s="16">
        <f>IFERROR(AVERAGEIFS($H$37:$H$256,$A$37:$A$256,"Base → SOL",$C$37:$C$256,$A8),"n/a")</f>
        <v/>
      </c>
      <c r="N8" s="4" t="inlineStr">
        <is>
          <t>deBridge</t>
        </is>
      </c>
      <c r="O8" s="17">
        <f>IFERROR(AVERAGEIFS($G$37:$G$256,$A$37:$A$256,"SOL → ETH",$C$37:$C$256,$N8),"")</f>
        <v/>
      </c>
      <c r="P8" s="17">
        <f>IFERROR(AVERAGEIFS($G$37:$G$256,$A$37:$A$256,"ETH → SOL",$C$37:$C$256,$N8),"")</f>
        <v/>
      </c>
      <c r="Q8" s="17">
        <f>IFERROR(AVERAGEIFS($G$37:$G$256,$A$37:$A$256,"SOL → BSC",$C$37:$C$256,$N8),"")</f>
        <v/>
      </c>
      <c r="R8" s="17">
        <f>IFERROR(AVERAGEIFS($G$37:$G$256,$A$37:$A$256,"BSC → SOL",$C$37:$C$256,$N8),"")</f>
        <v/>
      </c>
      <c r="S8" s="17">
        <f>IFERROR(AVERAGEIFS($G$37:$G$256,$A$37:$A$256,"SOL → Base",$C$37:$C$256,$N8),"")</f>
        <v/>
      </c>
      <c r="T8" s="17">
        <f>IFERROR(AVERAGEIFS($G$37:$G$256,$A$37:$A$256,"Base → SOL",$C$37:$C$256,$N8),"")</f>
        <v/>
      </c>
    </row>
    <row r="9">
      <c r="A9" s="4" t="inlineStr">
        <is>
          <t>LI.FI (Jumper)</t>
        </is>
      </c>
      <c r="B9" s="4" t="inlineStr">
        <is>
          <t>venue</t>
        </is>
      </c>
      <c r="C9" s="16">
        <f>IFERROR(AVERAGEIFS($H$37:$H$256,$A$37:$A$256,"SOL → ETH",$C$37:$C$256,$A9),"n/a")</f>
        <v/>
      </c>
      <c r="D9" s="16">
        <f>IFERROR(AVERAGEIFS($H$37:$H$256,$A$37:$A$256,"ETH → SOL",$C$37:$C$256,$A9),"n/a")</f>
        <v/>
      </c>
      <c r="E9" s="16">
        <f>IFERROR(AVERAGEIFS($H$37:$H$256,$A$37:$A$256,"SOL → BSC",$C$37:$C$256,$A9),"n/a")</f>
        <v/>
      </c>
      <c r="F9" s="16">
        <f>IFERROR(AVERAGEIFS($H$37:$H$256,$A$37:$A$256,"BSC → SOL",$C$37:$C$256,$A9),"n/a")</f>
        <v/>
      </c>
      <c r="G9" s="16">
        <f>IFERROR(AVERAGEIFS($H$37:$H$256,$A$37:$A$256,"SOL → Base",$C$37:$C$256,$A9),"n/a")</f>
        <v/>
      </c>
      <c r="H9" s="16">
        <f>IFERROR(AVERAGEIFS($H$37:$H$256,$A$37:$A$256,"Base → SOL",$C$37:$C$256,$A9),"n/a")</f>
        <v/>
      </c>
      <c r="N9" s="4" t="inlineStr">
        <is>
          <t>LI.FI (Jumper)</t>
        </is>
      </c>
      <c r="O9" s="17">
        <f>IFERROR(AVERAGEIFS($G$37:$G$256,$A$37:$A$256,"SOL → ETH",$C$37:$C$256,$N9),"")</f>
        <v/>
      </c>
      <c r="P9" s="17">
        <f>IFERROR(AVERAGEIFS($G$37:$G$256,$A$37:$A$256,"ETH → SOL",$C$37:$C$256,$N9),"")</f>
        <v/>
      </c>
      <c r="Q9" s="17">
        <f>IFERROR(AVERAGEIFS($G$37:$G$256,$A$37:$A$256,"SOL → BSC",$C$37:$C$256,$N9),"")</f>
        <v/>
      </c>
      <c r="R9" s="17">
        <f>IFERROR(AVERAGEIFS($G$37:$G$256,$A$37:$A$256,"BSC → SOL",$C$37:$C$256,$N9),"")</f>
        <v/>
      </c>
      <c r="S9" s="17">
        <f>IFERROR(AVERAGEIFS($G$37:$G$256,$A$37:$A$256,"SOL → Base",$C$37:$C$256,$N9),"")</f>
        <v/>
      </c>
      <c r="T9" s="17">
        <f>IFERROR(AVERAGEIFS($G$37:$G$256,$A$37:$A$256,"Base → SOL",$C$37:$C$256,$N9),"")</f>
        <v/>
      </c>
    </row>
    <row r="10">
      <c r="A10" s="4" t="inlineStr">
        <is>
          <t>Across</t>
        </is>
      </c>
      <c r="B10" s="4" t="inlineStr">
        <is>
          <t>venue</t>
        </is>
      </c>
      <c r="C10" s="16">
        <f>IFERROR(AVERAGEIFS($H$37:$H$256,$A$37:$A$256,"SOL → ETH",$C$37:$C$256,$A10),"n/a")</f>
        <v/>
      </c>
      <c r="D10" s="16">
        <f>IFERROR(AVERAGEIFS($H$37:$H$256,$A$37:$A$256,"ETH → SOL",$C$37:$C$256,$A10),"n/a")</f>
        <v/>
      </c>
      <c r="E10" s="16">
        <f>IFERROR(AVERAGEIFS($H$37:$H$256,$A$37:$A$256,"SOL → BSC",$C$37:$C$256,$A10),"n/a")</f>
        <v/>
      </c>
      <c r="F10" s="16">
        <f>IFERROR(AVERAGEIFS($H$37:$H$256,$A$37:$A$256,"BSC → SOL",$C$37:$C$256,$A10),"n/a")</f>
        <v/>
      </c>
      <c r="G10" s="16">
        <f>IFERROR(AVERAGEIFS($H$37:$H$256,$A$37:$A$256,"SOL → Base",$C$37:$C$256,$A10),"n/a")</f>
        <v/>
      </c>
      <c r="H10" s="16">
        <f>IFERROR(AVERAGEIFS($H$37:$H$256,$A$37:$A$256,"Base → SOL",$C$37:$C$256,$A10),"n/a")</f>
        <v/>
      </c>
      <c r="N10" s="4" t="inlineStr">
        <is>
          <t>Across</t>
        </is>
      </c>
      <c r="O10" s="17">
        <f>IFERROR(AVERAGEIFS($G$37:$G$256,$A$37:$A$256,"SOL → ETH",$C$37:$C$256,$N10),"")</f>
        <v/>
      </c>
      <c r="P10" s="17">
        <f>IFERROR(AVERAGEIFS($G$37:$G$256,$A$37:$A$256,"ETH → SOL",$C$37:$C$256,$N10),"")</f>
        <v/>
      </c>
      <c r="Q10" s="17">
        <f>IFERROR(AVERAGEIFS($G$37:$G$256,$A$37:$A$256,"SOL → BSC",$C$37:$C$256,$N10),"")</f>
        <v/>
      </c>
      <c r="R10" s="17">
        <f>IFERROR(AVERAGEIFS($G$37:$G$256,$A$37:$A$256,"BSC → SOL",$C$37:$C$256,$N10),"")</f>
        <v/>
      </c>
      <c r="S10" s="17">
        <f>IFERROR(AVERAGEIFS($G$37:$G$256,$A$37:$A$256,"SOL → Base",$C$37:$C$256,$N10),"")</f>
        <v/>
      </c>
      <c r="T10" s="17">
        <f>IFERROR(AVERAGEIFS($G$37:$G$256,$A$37:$A$256,"Base → SOL",$C$37:$C$256,$N10),"")</f>
        <v/>
      </c>
    </row>
    <row r="11">
      <c r="A11" s="4" t="inlineStr">
        <is>
          <t>Mayan</t>
        </is>
      </c>
      <c r="B11" s="4" t="inlineStr">
        <is>
          <t>venue</t>
        </is>
      </c>
      <c r="C11" s="16">
        <f>IFERROR(AVERAGEIFS($H$37:$H$256,$A$37:$A$256,"SOL → ETH",$C$37:$C$256,$A11),"n/a")</f>
        <v/>
      </c>
      <c r="D11" s="16">
        <f>IFERROR(AVERAGEIFS($H$37:$H$256,$A$37:$A$256,"ETH → SOL",$C$37:$C$256,$A11),"n/a")</f>
        <v/>
      </c>
      <c r="E11" s="16">
        <f>IFERROR(AVERAGEIFS($H$37:$H$256,$A$37:$A$256,"SOL → BSC",$C$37:$C$256,$A11),"n/a")</f>
        <v/>
      </c>
      <c r="F11" s="16">
        <f>IFERROR(AVERAGEIFS($H$37:$H$256,$A$37:$A$256,"BSC → SOL",$C$37:$C$256,$A11),"n/a")</f>
        <v/>
      </c>
      <c r="G11" s="16">
        <f>IFERROR(AVERAGEIFS($H$37:$H$256,$A$37:$A$256,"SOL → Base",$C$37:$C$256,$A11),"n/a")</f>
        <v/>
      </c>
      <c r="H11" s="16">
        <f>IFERROR(AVERAGEIFS($H$37:$H$256,$A$37:$A$256,"Base → SOL",$C$37:$C$256,$A11),"n/a")</f>
        <v/>
      </c>
      <c r="N11" s="4" t="inlineStr">
        <is>
          <t>Mayan</t>
        </is>
      </c>
      <c r="O11" s="17">
        <f>IFERROR(AVERAGEIFS($G$37:$G$256,$A$37:$A$256,"SOL → ETH",$C$37:$C$256,$N11),"")</f>
        <v/>
      </c>
      <c r="P11" s="17">
        <f>IFERROR(AVERAGEIFS($G$37:$G$256,$A$37:$A$256,"ETH → SOL",$C$37:$C$256,$N11),"")</f>
        <v/>
      </c>
      <c r="Q11" s="17">
        <f>IFERROR(AVERAGEIFS($G$37:$G$256,$A$37:$A$256,"SOL → BSC",$C$37:$C$256,$N11),"")</f>
        <v/>
      </c>
      <c r="R11" s="17">
        <f>IFERROR(AVERAGEIFS($G$37:$G$256,$A$37:$A$256,"BSC → SOL",$C$37:$C$256,$N11),"")</f>
        <v/>
      </c>
      <c r="S11" s="17">
        <f>IFERROR(AVERAGEIFS($G$37:$G$256,$A$37:$A$256,"SOL → Base",$C$37:$C$256,$N11),"")</f>
        <v/>
      </c>
      <c r="T11" s="17">
        <f>IFERROR(AVERAGEIFS($G$37:$G$256,$A$37:$A$256,"Base → SOL",$C$37:$C$256,$N11),"")</f>
        <v/>
      </c>
    </row>
    <row r="12">
      <c r="A12" s="4" t="inlineStr">
        <is>
          <t>Allbridge Core</t>
        </is>
      </c>
      <c r="B12" s="4" t="inlineStr">
        <is>
          <t>venue</t>
        </is>
      </c>
      <c r="C12" s="16">
        <f>IFERROR(AVERAGEIFS($H$37:$H$256,$A$37:$A$256,"SOL → ETH",$C$37:$C$256,$A12),"n/a")</f>
        <v/>
      </c>
      <c r="D12" s="16">
        <f>IFERROR(AVERAGEIFS($H$37:$H$256,$A$37:$A$256,"ETH → SOL",$C$37:$C$256,$A12),"n/a")</f>
        <v/>
      </c>
      <c r="E12" s="16">
        <f>IFERROR(AVERAGEIFS($H$37:$H$256,$A$37:$A$256,"SOL → BSC",$C$37:$C$256,$A12),"n/a")</f>
        <v/>
      </c>
      <c r="F12" s="16">
        <f>IFERROR(AVERAGEIFS($H$37:$H$256,$A$37:$A$256,"BSC → SOL",$C$37:$C$256,$A12),"n/a")</f>
        <v/>
      </c>
      <c r="G12" s="16">
        <f>IFERROR(AVERAGEIFS($H$37:$H$256,$A$37:$A$256,"SOL → Base",$C$37:$C$256,$A12),"n/a")</f>
        <v/>
      </c>
      <c r="H12" s="16">
        <f>IFERROR(AVERAGEIFS($H$37:$H$256,$A$37:$A$256,"Base → SOL",$C$37:$C$256,$A12),"n/a")</f>
        <v/>
      </c>
      <c r="N12" s="4" t="inlineStr">
        <is>
          <t>Allbridge Core</t>
        </is>
      </c>
      <c r="O12" s="17">
        <f>IFERROR(AVERAGEIFS($G$37:$G$256,$A$37:$A$256,"SOL → ETH",$C$37:$C$256,$N12),"")</f>
        <v/>
      </c>
      <c r="P12" s="17">
        <f>IFERROR(AVERAGEIFS($G$37:$G$256,$A$37:$A$256,"ETH → SOL",$C$37:$C$256,$N12),"")</f>
        <v/>
      </c>
      <c r="Q12" s="17">
        <f>IFERROR(AVERAGEIFS($G$37:$G$256,$A$37:$A$256,"SOL → BSC",$C$37:$C$256,$N12),"")</f>
        <v/>
      </c>
      <c r="R12" s="17">
        <f>IFERROR(AVERAGEIFS($G$37:$G$256,$A$37:$A$256,"BSC → SOL",$C$37:$C$256,$N12),"")</f>
        <v/>
      </c>
      <c r="S12" s="17">
        <f>IFERROR(AVERAGEIFS($G$37:$G$256,$A$37:$A$256,"SOL → Base",$C$37:$C$256,$N12),"")</f>
        <v/>
      </c>
      <c r="T12" s="17">
        <f>IFERROR(AVERAGEIFS($G$37:$G$256,$A$37:$A$256,"Base → SOL",$C$37:$C$256,$N12),"")</f>
        <v/>
      </c>
    </row>
    <row r="13">
      <c r="A13" s="4" t="inlineStr">
        <is>
          <t>CCTP (via Portal)</t>
        </is>
      </c>
      <c r="B13" s="4" t="inlineStr">
        <is>
          <t>venue</t>
        </is>
      </c>
      <c r="C13" s="16">
        <f>IFERROR(AVERAGEIFS($H$37:$H$256,$A$37:$A$256,"SOL → ETH",$C$37:$C$256,$A13),"n/a")</f>
        <v/>
      </c>
      <c r="D13" s="16">
        <f>IFERROR(AVERAGEIFS($H$37:$H$256,$A$37:$A$256,"ETH → SOL",$C$37:$C$256,$A13),"n/a")</f>
        <v/>
      </c>
      <c r="E13" s="16">
        <f>IFERROR(AVERAGEIFS($H$37:$H$256,$A$37:$A$256,"SOL → BSC",$C$37:$C$256,$A13),"n/a")</f>
        <v/>
      </c>
      <c r="F13" s="16">
        <f>IFERROR(AVERAGEIFS($H$37:$H$256,$A$37:$A$256,"BSC → SOL",$C$37:$C$256,$A13),"n/a")</f>
        <v/>
      </c>
      <c r="G13" s="16">
        <f>IFERROR(AVERAGEIFS($H$37:$H$256,$A$37:$A$256,"SOL → Base",$C$37:$C$256,$A13),"n/a")</f>
        <v/>
      </c>
      <c r="H13" s="16">
        <f>IFERROR(AVERAGEIFS($H$37:$H$256,$A$37:$A$256,"Base → SOL",$C$37:$C$256,$A13),"n/a")</f>
        <v/>
      </c>
      <c r="N13" s="4" t="inlineStr">
        <is>
          <t>CCTP (via Portal)</t>
        </is>
      </c>
      <c r="O13" s="17">
        <f>IFERROR(AVERAGEIFS($G$37:$G$256,$A$37:$A$256,"SOL → ETH",$C$37:$C$256,$N13),"")</f>
        <v/>
      </c>
      <c r="P13" s="17">
        <f>IFERROR(AVERAGEIFS($G$37:$G$256,$A$37:$A$256,"ETH → SOL",$C$37:$C$256,$N13),"")</f>
        <v/>
      </c>
      <c r="Q13" s="17">
        <f>IFERROR(AVERAGEIFS($G$37:$G$256,$A$37:$A$256,"SOL → BSC",$C$37:$C$256,$N13),"")</f>
        <v/>
      </c>
      <c r="R13" s="17">
        <f>IFERROR(AVERAGEIFS($G$37:$G$256,$A$37:$A$256,"BSC → SOL",$C$37:$C$256,$N13),"")</f>
        <v/>
      </c>
      <c r="S13" s="17">
        <f>IFERROR(AVERAGEIFS($G$37:$G$256,$A$37:$A$256,"SOL → Base",$C$37:$C$256,$N13),"")</f>
        <v/>
      </c>
      <c r="T13" s="17">
        <f>IFERROR(AVERAGEIFS($G$37:$G$256,$A$37:$A$256,"Base → SOL",$C$37:$C$256,$N13),"")</f>
        <v/>
      </c>
    </row>
    <row r="14">
      <c r="A14" s="4" t="inlineStr">
        <is>
          <t>Husher</t>
        </is>
      </c>
      <c r="B14" s="4" t="inlineStr">
        <is>
          <t>venue</t>
        </is>
      </c>
      <c r="C14" s="16">
        <f>IFERROR(AVERAGEIFS($H$37:$H$256,$A$37:$A$256,"SOL → ETH",$C$37:$C$256,$A14),"n/a")</f>
        <v/>
      </c>
      <c r="D14" s="16">
        <f>IFERROR(AVERAGEIFS($H$37:$H$256,$A$37:$A$256,"ETH → SOL",$C$37:$C$256,$A14),"n/a")</f>
        <v/>
      </c>
      <c r="E14" s="16">
        <f>IFERROR(AVERAGEIFS($H$37:$H$256,$A$37:$A$256,"SOL → BSC",$C$37:$C$256,$A14),"n/a")</f>
        <v/>
      </c>
      <c r="F14" s="16">
        <f>IFERROR(AVERAGEIFS($H$37:$H$256,$A$37:$A$256,"BSC → SOL",$C$37:$C$256,$A14),"n/a")</f>
        <v/>
      </c>
      <c r="G14" s="16">
        <f>IFERROR(AVERAGEIFS($H$37:$H$256,$A$37:$A$256,"SOL → Base",$C$37:$C$256,$A14),"n/a")</f>
        <v/>
      </c>
      <c r="H14" s="16">
        <f>IFERROR(AVERAGEIFS($H$37:$H$256,$A$37:$A$256,"Base → SOL",$C$37:$C$256,$A14),"n/a")</f>
        <v/>
      </c>
      <c r="N14" s="4" t="inlineStr">
        <is>
          <t>Husher</t>
        </is>
      </c>
      <c r="O14" s="17">
        <f>IFERROR(AVERAGEIFS($G$37:$G$256,$A$37:$A$256,"SOL → ETH",$C$37:$C$256,$N14),"")</f>
        <v/>
      </c>
      <c r="P14" s="17">
        <f>IFERROR(AVERAGEIFS($G$37:$G$256,$A$37:$A$256,"ETH → SOL",$C$37:$C$256,$N14),"")</f>
        <v/>
      </c>
      <c r="Q14" s="17">
        <f>IFERROR(AVERAGEIFS($G$37:$G$256,$A$37:$A$256,"SOL → BSC",$C$37:$C$256,$N14),"")</f>
        <v/>
      </c>
      <c r="R14" s="17">
        <f>IFERROR(AVERAGEIFS($G$37:$G$256,$A$37:$A$256,"BSC → SOL",$C$37:$C$256,$N14),"")</f>
        <v/>
      </c>
      <c r="S14" s="17">
        <f>IFERROR(AVERAGEIFS($G$37:$G$256,$A$37:$A$256,"SOL → Base",$C$37:$C$256,$N14),"")</f>
        <v/>
      </c>
      <c r="T14" s="17">
        <f>IFERROR(AVERAGEIFS($G$37:$G$256,$A$37:$A$256,"Base → SOL",$C$37:$C$256,$N14),"")</f>
        <v/>
      </c>
    </row>
    <row r="15">
      <c r="A15" s="4" t="inlineStr">
        <is>
          <t>Layerswap</t>
        </is>
      </c>
      <c r="B15" s="4" t="inlineStr">
        <is>
          <t>venue</t>
        </is>
      </c>
      <c r="C15" s="16">
        <f>IFERROR(AVERAGEIFS($H$37:$H$256,$A$37:$A$256,"SOL → ETH",$C$37:$C$256,$A15),"n/a")</f>
        <v/>
      </c>
      <c r="D15" s="16">
        <f>IFERROR(AVERAGEIFS($H$37:$H$256,$A$37:$A$256,"ETH → SOL",$C$37:$C$256,$A15),"n/a")</f>
        <v/>
      </c>
      <c r="E15" s="16">
        <f>IFERROR(AVERAGEIFS($H$37:$H$256,$A$37:$A$256,"SOL → BSC",$C$37:$C$256,$A15),"n/a")</f>
        <v/>
      </c>
      <c r="F15" s="16">
        <f>IFERROR(AVERAGEIFS($H$37:$H$256,$A$37:$A$256,"BSC → SOL",$C$37:$C$256,$A15),"n/a")</f>
        <v/>
      </c>
      <c r="G15" s="16">
        <f>IFERROR(AVERAGEIFS($H$37:$H$256,$A$37:$A$256,"SOL → Base",$C$37:$C$256,$A15),"n/a")</f>
        <v/>
      </c>
      <c r="H15" s="16">
        <f>IFERROR(AVERAGEIFS($H$37:$H$256,$A$37:$A$256,"Base → SOL",$C$37:$C$256,$A15),"n/a")</f>
        <v/>
      </c>
      <c r="N15" s="4" t="inlineStr">
        <is>
          <t>Layerswap</t>
        </is>
      </c>
      <c r="O15" s="17">
        <f>IFERROR(AVERAGEIFS($G$37:$G$256,$A$37:$A$256,"SOL → ETH",$C$37:$C$256,$N15),"")</f>
        <v/>
      </c>
      <c r="P15" s="17">
        <f>IFERROR(AVERAGEIFS($G$37:$G$256,$A$37:$A$256,"ETH → SOL",$C$37:$C$256,$N15),"")</f>
        <v/>
      </c>
      <c r="Q15" s="17">
        <f>IFERROR(AVERAGEIFS($G$37:$G$256,$A$37:$A$256,"SOL → BSC",$C$37:$C$256,$N15),"")</f>
        <v/>
      </c>
      <c r="R15" s="17">
        <f>IFERROR(AVERAGEIFS($G$37:$G$256,$A$37:$A$256,"BSC → SOL",$C$37:$C$256,$N15),"")</f>
        <v/>
      </c>
      <c r="S15" s="17">
        <f>IFERROR(AVERAGEIFS($G$37:$G$256,$A$37:$A$256,"SOL → Base",$C$37:$C$256,$N15),"")</f>
        <v/>
      </c>
      <c r="T15" s="17">
        <f>IFERROR(AVERAGEIFS($G$37:$G$256,$A$37:$A$256,"Base → SOL",$C$37:$C$256,$N15),"")</f>
        <v/>
      </c>
    </row>
    <row r="16">
      <c r="A16" s="4" t="inlineStr">
        <is>
          <t>Meson</t>
        </is>
      </c>
      <c r="B16" s="4" t="inlineStr">
        <is>
          <t>venue</t>
        </is>
      </c>
      <c r="C16" s="16">
        <f>IFERROR(AVERAGEIFS($H$37:$H$256,$A$37:$A$256,"SOL → ETH",$C$37:$C$256,$A16),"n/a")</f>
        <v/>
      </c>
      <c r="D16" s="16">
        <f>IFERROR(AVERAGEIFS($H$37:$H$256,$A$37:$A$256,"ETH → SOL",$C$37:$C$256,$A16),"n/a")</f>
        <v/>
      </c>
      <c r="E16" s="16">
        <f>IFERROR(AVERAGEIFS($H$37:$H$256,$A$37:$A$256,"SOL → BSC",$C$37:$C$256,$A16),"n/a")</f>
        <v/>
      </c>
      <c r="F16" s="16">
        <f>IFERROR(AVERAGEIFS($H$37:$H$256,$A$37:$A$256,"BSC → SOL",$C$37:$C$256,$A16),"n/a")</f>
        <v/>
      </c>
      <c r="G16" s="16">
        <f>IFERROR(AVERAGEIFS($H$37:$H$256,$A$37:$A$256,"SOL → Base",$C$37:$C$256,$A16),"n/a")</f>
        <v/>
      </c>
      <c r="H16" s="16">
        <f>IFERROR(AVERAGEIFS($H$37:$H$256,$A$37:$A$256,"Base → SOL",$C$37:$C$256,$A16),"n/a")</f>
        <v/>
      </c>
      <c r="N16" s="4" t="inlineStr">
        <is>
          <t>Meson</t>
        </is>
      </c>
      <c r="O16" s="17">
        <f>IFERROR(AVERAGEIFS($G$37:$G$256,$A$37:$A$256,"SOL → ETH",$C$37:$C$256,$N16),"")</f>
        <v/>
      </c>
      <c r="P16" s="17">
        <f>IFERROR(AVERAGEIFS($G$37:$G$256,$A$37:$A$256,"ETH → SOL",$C$37:$C$256,$N16),"")</f>
        <v/>
      </c>
      <c r="Q16" s="17">
        <f>IFERROR(AVERAGEIFS($G$37:$G$256,$A$37:$A$256,"SOL → BSC",$C$37:$C$256,$N16),"")</f>
        <v/>
      </c>
      <c r="R16" s="17">
        <f>IFERROR(AVERAGEIFS($G$37:$G$256,$A$37:$A$256,"BSC → SOL",$C$37:$C$256,$N16),"")</f>
        <v/>
      </c>
      <c r="S16" s="17">
        <f>IFERROR(AVERAGEIFS($G$37:$G$256,$A$37:$A$256,"SOL → Base",$C$37:$C$256,$N16),"")</f>
        <v/>
      </c>
      <c r="T16" s="17">
        <f>IFERROR(AVERAGEIFS($G$37:$G$256,$A$37:$A$256,"Base → SOL",$C$37:$C$256,$N16),"")</f>
        <v/>
      </c>
    </row>
    <row r="17">
      <c r="A17" s="4" t="inlineStr">
        <is>
          <t>SimpleSwap</t>
        </is>
      </c>
      <c r="B17" s="4" t="inlineStr">
        <is>
          <t>venue</t>
        </is>
      </c>
      <c r="C17" s="16">
        <f>IFERROR(AVERAGEIFS($H$37:$H$256,$A$37:$A$256,"SOL → ETH",$C$37:$C$256,$A17),"n/a")</f>
        <v/>
      </c>
      <c r="D17" s="16">
        <f>IFERROR(AVERAGEIFS($H$37:$H$256,$A$37:$A$256,"ETH → SOL",$C$37:$C$256,$A17),"n/a")</f>
        <v/>
      </c>
      <c r="E17" s="16">
        <f>IFERROR(AVERAGEIFS($H$37:$H$256,$A$37:$A$256,"SOL → BSC",$C$37:$C$256,$A17),"n/a")</f>
        <v/>
      </c>
      <c r="F17" s="16">
        <f>IFERROR(AVERAGEIFS($H$37:$H$256,$A$37:$A$256,"BSC → SOL",$C$37:$C$256,$A17),"n/a")</f>
        <v/>
      </c>
      <c r="G17" s="16">
        <f>IFERROR(AVERAGEIFS($H$37:$H$256,$A$37:$A$256,"SOL → Base",$C$37:$C$256,$A17),"n/a")</f>
        <v/>
      </c>
      <c r="H17" s="16">
        <f>IFERROR(AVERAGEIFS($H$37:$H$256,$A$37:$A$256,"Base → SOL",$C$37:$C$256,$A17),"n/a")</f>
        <v/>
      </c>
      <c r="N17" s="4" t="inlineStr">
        <is>
          <t>SimpleSwap</t>
        </is>
      </c>
      <c r="O17" s="17">
        <f>IFERROR(AVERAGEIFS($G$37:$G$256,$A$37:$A$256,"SOL → ETH",$C$37:$C$256,$N17),"")</f>
        <v/>
      </c>
      <c r="P17" s="17">
        <f>IFERROR(AVERAGEIFS($G$37:$G$256,$A$37:$A$256,"ETH → SOL",$C$37:$C$256,$N17),"")</f>
        <v/>
      </c>
      <c r="Q17" s="17">
        <f>IFERROR(AVERAGEIFS($G$37:$G$256,$A$37:$A$256,"SOL → BSC",$C$37:$C$256,$N17),"")</f>
        <v/>
      </c>
      <c r="R17" s="17">
        <f>IFERROR(AVERAGEIFS($G$37:$G$256,$A$37:$A$256,"BSC → SOL",$C$37:$C$256,$N17),"")</f>
        <v/>
      </c>
      <c r="S17" s="17">
        <f>IFERROR(AVERAGEIFS($G$37:$G$256,$A$37:$A$256,"SOL → Base",$C$37:$C$256,$N17),"")</f>
        <v/>
      </c>
      <c r="T17" s="17">
        <f>IFERROR(AVERAGEIFS($G$37:$G$256,$A$37:$A$256,"Base → SOL",$C$37:$C$256,$N17),"")</f>
        <v/>
      </c>
    </row>
    <row r="18">
      <c r="A18" s="4" t="inlineStr">
        <is>
          <t>Skip Go</t>
        </is>
      </c>
      <c r="B18" s="4" t="inlineStr">
        <is>
          <t>venue</t>
        </is>
      </c>
      <c r="C18" s="16">
        <f>IFERROR(AVERAGEIFS($H$37:$H$256,$A$37:$A$256,"SOL → ETH",$C$37:$C$256,$A18),"n/a")</f>
        <v/>
      </c>
      <c r="D18" s="16">
        <f>IFERROR(AVERAGEIFS($H$37:$H$256,$A$37:$A$256,"ETH → SOL",$C$37:$C$256,$A18),"n/a")</f>
        <v/>
      </c>
      <c r="E18" s="16">
        <f>IFERROR(AVERAGEIFS($H$37:$H$256,$A$37:$A$256,"SOL → BSC",$C$37:$C$256,$A18),"n/a")</f>
        <v/>
      </c>
      <c r="F18" s="16">
        <f>IFERROR(AVERAGEIFS($H$37:$H$256,$A$37:$A$256,"BSC → SOL",$C$37:$C$256,$A18),"n/a")</f>
        <v/>
      </c>
      <c r="G18" s="16">
        <f>IFERROR(AVERAGEIFS($H$37:$H$256,$A$37:$A$256,"SOL → Base",$C$37:$C$256,$A18),"n/a")</f>
        <v/>
      </c>
      <c r="H18" s="16">
        <f>IFERROR(AVERAGEIFS($H$37:$H$256,$A$37:$A$256,"Base → SOL",$C$37:$C$256,$A18),"n/a")</f>
        <v/>
      </c>
      <c r="N18" s="4" t="inlineStr">
        <is>
          <t>Skip Go</t>
        </is>
      </c>
      <c r="O18" s="17">
        <f>IFERROR(AVERAGEIFS($G$37:$G$256,$A$37:$A$256,"SOL → ETH",$C$37:$C$256,$N18),"")</f>
        <v/>
      </c>
      <c r="P18" s="17">
        <f>IFERROR(AVERAGEIFS($G$37:$G$256,$A$37:$A$256,"ETH → SOL",$C$37:$C$256,$N18),"")</f>
        <v/>
      </c>
      <c r="Q18" s="17">
        <f>IFERROR(AVERAGEIFS($G$37:$G$256,$A$37:$A$256,"SOL → BSC",$C$37:$C$256,$N18),"")</f>
        <v/>
      </c>
      <c r="R18" s="17">
        <f>IFERROR(AVERAGEIFS($G$37:$G$256,$A$37:$A$256,"BSC → SOL",$C$37:$C$256,$N18),"")</f>
        <v/>
      </c>
      <c r="S18" s="17">
        <f>IFERROR(AVERAGEIFS($G$37:$G$256,$A$37:$A$256,"SOL → Base",$C$37:$C$256,$N18),"")</f>
        <v/>
      </c>
      <c r="T18" s="17">
        <f>IFERROR(AVERAGEIFS($G$37:$G$256,$A$37:$A$256,"Base → SOL",$C$37:$C$256,$N18),"")</f>
        <v/>
      </c>
    </row>
    <row r="19">
      <c r="A19" s="4" t="inlineStr">
        <is>
          <t>Symbiosis</t>
        </is>
      </c>
      <c r="B19" s="4" t="inlineStr">
        <is>
          <t>venue</t>
        </is>
      </c>
      <c r="C19" s="16">
        <f>IFERROR(AVERAGEIFS($H$37:$H$256,$A$37:$A$256,"SOL → ETH",$C$37:$C$256,$A19),"n/a")</f>
        <v/>
      </c>
      <c r="D19" s="16">
        <f>IFERROR(AVERAGEIFS($H$37:$H$256,$A$37:$A$256,"ETH → SOL",$C$37:$C$256,$A19),"n/a")</f>
        <v/>
      </c>
      <c r="E19" s="16">
        <f>IFERROR(AVERAGEIFS($H$37:$H$256,$A$37:$A$256,"SOL → BSC",$C$37:$C$256,$A19),"n/a")</f>
        <v/>
      </c>
      <c r="F19" s="16">
        <f>IFERROR(AVERAGEIFS($H$37:$H$256,$A$37:$A$256,"BSC → SOL",$C$37:$C$256,$A19),"n/a")</f>
        <v/>
      </c>
      <c r="G19" s="16">
        <f>IFERROR(AVERAGEIFS($H$37:$H$256,$A$37:$A$256,"SOL → Base",$C$37:$C$256,$A19),"n/a")</f>
        <v/>
      </c>
      <c r="H19" s="16">
        <f>IFERROR(AVERAGEIFS($H$37:$H$256,$A$37:$A$256,"Base → SOL",$C$37:$C$256,$A19),"n/a")</f>
        <v/>
      </c>
      <c r="N19" s="4" t="inlineStr">
        <is>
          <t>Symbiosis</t>
        </is>
      </c>
      <c r="O19" s="17">
        <f>IFERROR(AVERAGEIFS($G$37:$G$256,$A$37:$A$256,"SOL → ETH",$C$37:$C$256,$N19),"")</f>
        <v/>
      </c>
      <c r="P19" s="17">
        <f>IFERROR(AVERAGEIFS($G$37:$G$256,$A$37:$A$256,"ETH → SOL",$C$37:$C$256,$N19),"")</f>
        <v/>
      </c>
      <c r="Q19" s="17">
        <f>IFERROR(AVERAGEIFS($G$37:$G$256,$A$37:$A$256,"SOL → BSC",$C$37:$C$256,$N19),"")</f>
        <v/>
      </c>
      <c r="R19" s="17">
        <f>IFERROR(AVERAGEIFS($G$37:$G$256,$A$37:$A$256,"BSC → SOL",$C$37:$C$256,$N19),"")</f>
        <v/>
      </c>
      <c r="S19" s="17">
        <f>IFERROR(AVERAGEIFS($G$37:$G$256,$A$37:$A$256,"SOL → Base",$C$37:$C$256,$N19),"")</f>
        <v/>
      </c>
      <c r="T19" s="17">
        <f>IFERROR(AVERAGEIFS($G$37:$G$256,$A$37:$A$256,"Base → SOL",$C$37:$C$256,$N19),"")</f>
        <v/>
      </c>
    </row>
    <row r="20">
      <c r="A20" s="4" t="inlineStr">
        <is>
          <t>Axiom</t>
        </is>
      </c>
      <c r="B20" s="4" t="inlineStr">
        <is>
          <t>platform</t>
        </is>
      </c>
      <c r="C20" s="2" t="inlineStr">
        <is>
          <t>BLOCKED — PARTIAL — no 100 USDC quote without funds. Signed-in check (user logged in; built-in browser, 2026-09-23): Axiom 'Exchange' has a cross-chain Convert (e.g. 'Swap USDC on Solana for USDC on Ethereum', indicative 1 USDC = 1.0000 USDC) but the amount field clamps to the wallet balance (0), so 100 can't be priced. Deposit auto-bridges EVM→Solana and shows fees only at its minimum: ETH→SOL USDC ($3 min) ~26s, impact −0.388%, fees ~$0.27 (gas $0.27, routing/liquidity &lt;$0.01); BSC→SOL ($2 min) ~26s, impact −8.357%, fees ~$0.21 (gas); Base→SOL ($2 min) ~26s, impact −0.455%, fees ~$0.02. Indicative only — not comparable to a 100 USDC quote.</t>
        </is>
      </c>
    </row>
    <row r="21">
      <c r="A21" s="4" t="inlineStr">
        <is>
          <t>FOMO</t>
        </is>
      </c>
      <c r="B21" s="4" t="inlineStr">
        <is>
          <t>platform</t>
        </is>
      </c>
      <c r="C21" s="2" t="inlineStr">
        <is>
          <t>BLOCKED — BLOCKED — signed-in check (user logged in): deposits accept USDC from Solana, Base, BNB Chain, Monad, Robinhood Chain, Arc, Ethereum into one USD cash balance; no fee/quote is shown at deposit and moving funds out needs a balance. No chain-to-chain quote.</t>
        </is>
      </c>
    </row>
    <row r="22">
      <c r="A22" s="4" t="inlineStr">
        <is>
          <t>GMGN</t>
        </is>
      </c>
      <c r="B22" s="4" t="inlineStr">
        <is>
          <t>platform</t>
        </is>
      </c>
      <c r="C22" s="2" t="inlineStr">
        <is>
          <t>BLOCKED — BLOCKED — signed-in check (user logged in): wallet menu has Convert, but it requires binding 2FA (a security-setting change the user must make) and then a 3-hour lock before Convert works. Deposit accepts SOL/USDT/USDC/USD1 on the Solana network only.</t>
        </is>
      </c>
    </row>
    <row r="23">
      <c r="A23" s="4" t="inlineStr">
        <is>
          <t>Pump.fun</t>
        </is>
      </c>
      <c r="B23" s="4" t="inlineStr">
        <is>
          <t>platform</t>
        </is>
      </c>
      <c r="C23" s="2" t="inlineStr">
        <is>
          <t>BLOCKED — BLOCKED — signed-in check (user logged in): web Deposit is Solana-only ('Only send assets on the Solana network', min 0.01 SOL). No cross-chain quote on web; the MoonPay cross-chain deposit reported in news may be mobile-only.</t>
        </is>
      </c>
    </row>
    <row r="26">
      <c r="A26" s="3" t="inlineStr">
        <is>
          <t>Route winners</t>
        </is>
      </c>
    </row>
    <row r="27" ht="30" customHeight="1">
      <c r="A27" s="18" t="inlineStr">
        <is>
          <t>Route</t>
        </is>
      </c>
      <c r="B27" s="18" t="inlineStr">
        <is>
          <t>Bridg best (avg)</t>
        </is>
      </c>
      <c r="C27" s="18" t="inlineStr">
        <is>
          <t>Best elsewhere (avg out)</t>
        </is>
      </c>
      <c r="D27" s="18" t="inlineStr">
        <is>
          <t>Site</t>
        </is>
      </c>
      <c r="E27" s="18" t="inlineStr">
        <is>
          <t>Bridg vs best (bps)</t>
        </is>
      </c>
      <c r="F27" s="18" t="inlineStr">
        <is>
          <t>Sites Bridg beats</t>
        </is>
      </c>
      <c r="G27" s="18" t="inlineStr">
        <is>
          <t>Sites beating Bridg</t>
        </is>
      </c>
    </row>
    <row r="28">
      <c r="A28" s="4" t="inlineStr">
        <is>
          <t>SOL → ETH</t>
        </is>
      </c>
      <c r="B28" s="10">
        <f>IFERROR(AVERAGEIFS('Raw Quotes'!$K:$K,'Raw Quotes'!$B:$B,"SOL-&gt;ETH",'Raw Quotes'!$D:$D,"Bridg",'Raw Quotes'!$F:$F,"OK"),"")</f>
        <v/>
      </c>
      <c r="C28" s="17">
        <f>MAX($O$6:$O$19)</f>
        <v/>
      </c>
      <c r="D28" s="4">
        <f>INDEX($N$6:$N$19,MATCH(C28,$O$6:$O$19,0))</f>
        <v/>
      </c>
      <c r="E28" s="16">
        <f>(B28-C28)/100*10000</f>
        <v/>
      </c>
      <c r="F28" s="4">
        <f>COUNTIF($C$6:$C$19,"&gt;2")</f>
        <v/>
      </c>
      <c r="G28" s="4">
        <f>COUNTIF($C$6:$C$19,"&lt;-2")</f>
        <v/>
      </c>
      <c r="H28" s="2" t="inlineStr">
        <is>
          <t>Bridg best is averaged per synchronized run (Raw Quotes); savings compare it with the best per-site average.</t>
        </is>
      </c>
    </row>
    <row r="29">
      <c r="A29" s="4" t="inlineStr">
        <is>
          <t>ETH → SOL</t>
        </is>
      </c>
      <c r="B29" s="10">
        <f>IFERROR(AVERAGEIFS('Raw Quotes'!$K:$K,'Raw Quotes'!$B:$B,"ETH-&gt;SOL",'Raw Quotes'!$D:$D,"Bridg",'Raw Quotes'!$F:$F,"OK"),"")</f>
        <v/>
      </c>
      <c r="C29" s="17">
        <f>MAX($P$6:$P$19)</f>
        <v/>
      </c>
      <c r="D29" s="4">
        <f>INDEX($N$6:$N$19,MATCH(C29,$P$6:$P$19,0))</f>
        <v/>
      </c>
      <c r="E29" s="16">
        <f>(B29-C29)/100*10000</f>
        <v/>
      </c>
      <c r="F29" s="4">
        <f>COUNTIF($D$6:$D$19,"&gt;2")</f>
        <v/>
      </c>
      <c r="G29" s="4">
        <f>COUNTIF($D$6:$D$19,"&lt;-2")</f>
        <v/>
      </c>
    </row>
    <row r="30">
      <c r="A30" s="4" t="inlineStr">
        <is>
          <t>SOL → BSC</t>
        </is>
      </c>
      <c r="B30" s="10">
        <f>IFERROR(AVERAGEIFS('Raw Quotes'!$K:$K,'Raw Quotes'!$B:$B,"SOL-&gt;BSC",'Raw Quotes'!$D:$D,"Bridg",'Raw Quotes'!$F:$F,"OK"),"")</f>
        <v/>
      </c>
      <c r="C30" s="17">
        <f>MAX($Q$6:$Q$19)</f>
        <v/>
      </c>
      <c r="D30" s="4">
        <f>INDEX($N$6:$N$19,MATCH(C30,$Q$6:$Q$19,0))</f>
        <v/>
      </c>
      <c r="E30" s="16">
        <f>(B30-C30)/100*10000</f>
        <v/>
      </c>
      <c r="F30" s="4">
        <f>COUNTIF($E$6:$E$19,"&gt;2")</f>
        <v/>
      </c>
      <c r="G30" s="4">
        <f>COUNTIF($E$6:$E$19,"&lt;-2")</f>
        <v/>
      </c>
    </row>
    <row r="31">
      <c r="A31" s="4" t="inlineStr">
        <is>
          <t>BSC → SOL</t>
        </is>
      </c>
      <c r="B31" s="10">
        <f>IFERROR(AVERAGEIFS('Raw Quotes'!$K:$K,'Raw Quotes'!$B:$B,"BSC-&gt;SOL",'Raw Quotes'!$D:$D,"Bridg",'Raw Quotes'!$F:$F,"OK"),"")</f>
        <v/>
      </c>
      <c r="C31" s="17">
        <f>MAX($R$6:$R$19)</f>
        <v/>
      </c>
      <c r="D31" s="4">
        <f>INDEX($N$6:$N$19,MATCH(C31,$R$6:$R$19,0))</f>
        <v/>
      </c>
      <c r="E31" s="16">
        <f>(B31-C31)/100*10000</f>
        <v/>
      </c>
      <c r="F31" s="4">
        <f>COUNTIF($F$6:$F$19,"&gt;2")</f>
        <v/>
      </c>
      <c r="G31" s="4">
        <f>COUNTIF($F$6:$F$19,"&lt;-2")</f>
        <v/>
      </c>
    </row>
    <row r="32">
      <c r="A32" s="4" t="inlineStr">
        <is>
          <t>SOL → Base</t>
        </is>
      </c>
      <c r="B32" s="10">
        <f>IFERROR(AVERAGEIFS('Raw Quotes'!$K:$K,'Raw Quotes'!$B:$B,"SOL-&gt;Base",'Raw Quotes'!$D:$D,"Bridg",'Raw Quotes'!$F:$F,"OK"),"")</f>
        <v/>
      </c>
      <c r="C32" s="17">
        <f>MAX($S$6:$S$19)</f>
        <v/>
      </c>
      <c r="D32" s="4">
        <f>INDEX($N$6:$N$19,MATCH(C32,$S$6:$S$19,0))</f>
        <v/>
      </c>
      <c r="E32" s="16">
        <f>(B32-C32)/100*10000</f>
        <v/>
      </c>
      <c r="F32" s="4">
        <f>COUNTIF($G$6:$G$19,"&gt;2")</f>
        <v/>
      </c>
      <c r="G32" s="4">
        <f>COUNTIF($G$6:$G$19,"&lt;-2")</f>
        <v/>
      </c>
    </row>
    <row r="33">
      <c r="A33" s="4" t="inlineStr">
        <is>
          <t>Base → SOL</t>
        </is>
      </c>
      <c r="B33" s="10">
        <f>IFERROR(AVERAGEIFS('Raw Quotes'!$K:$K,'Raw Quotes'!$B:$B,"Base-&gt;SOL",'Raw Quotes'!$D:$D,"Bridg",'Raw Quotes'!$F:$F,"OK"),"")</f>
        <v/>
      </c>
      <c r="C33" s="17">
        <f>MAX($T$6:$T$19)</f>
        <v/>
      </c>
      <c r="D33" s="4">
        <f>INDEX($N$6:$N$19,MATCH(C33,$T$6:$T$19,0))</f>
        <v/>
      </c>
      <c r="E33" s="16">
        <f>(B33-C33)/100*10000</f>
        <v/>
      </c>
      <c r="F33" s="4">
        <f>COUNTIF($H$6:$H$19,"&gt;2")</f>
        <v/>
      </c>
      <c r="G33" s="4">
        <f>COUNTIF($H$6:$H$19,"&lt;-2")</f>
        <v/>
      </c>
    </row>
    <row r="35">
      <c r="A35" s="3" t="inlineStr">
        <is>
          <t>Per-sample observations</t>
        </is>
      </c>
    </row>
    <row r="36">
      <c r="A36" s="18" t="inlineStr">
        <is>
          <t>Route</t>
        </is>
      </c>
      <c r="B36" s="18" t="inlineStr">
        <is>
          <t>Sample</t>
        </is>
      </c>
      <c r="C36" s="18" t="inlineStr">
        <is>
          <t>Site</t>
        </is>
      </c>
      <c r="D36" s="18" t="inlineStr">
        <is>
          <t>Kind</t>
        </is>
      </c>
      <c r="E36" s="18" t="inlineStr">
        <is>
          <t>Bridg best</t>
        </is>
      </c>
      <c r="F36" s="18" t="inlineStr">
        <is>
          <t>Bridg best via</t>
        </is>
      </c>
      <c r="G36" s="18" t="inlineStr">
        <is>
          <t>Other out (cmp)</t>
        </is>
      </c>
      <c r="H36" s="18" t="inlineStr">
        <is>
          <t>Savings bps</t>
        </is>
      </c>
      <c r="I36" s="18" t="inlineStr">
        <is>
          <t>Fee on top in SOL/ETH (not counted)</t>
        </is>
      </c>
      <c r="J36" s="18" t="inlineStr">
        <is>
          <t>Bridg value read (UTC)</t>
        </is>
      </c>
      <c r="K36" s="18" t="inlineStr">
        <is>
          <t>Other value read (UTC)</t>
        </is>
      </c>
      <c r="L36" s="18" t="inlineStr">
        <is>
          <t>Δ read (s)</t>
        </is>
      </c>
    </row>
    <row r="37">
      <c r="A37" s="4" t="inlineStr">
        <is>
          <t>SOL → ETH</t>
        </is>
      </c>
      <c r="B37" s="4" t="n">
        <v>1</v>
      </c>
      <c r="C37" s="4" t="inlineStr">
        <is>
          <t>OpenSea</t>
        </is>
      </c>
      <c r="D37" s="4" t="inlineStr">
        <is>
          <t>platform</t>
        </is>
      </c>
      <c r="E37" s="19" t="n">
        <v>99.84001499999999</v>
      </c>
      <c r="F37" s="4" t="inlineStr">
        <is>
          <t>Across</t>
        </is>
      </c>
      <c r="G37" s="19" t="n">
        <v>98.9896</v>
      </c>
      <c r="H37" s="16">
        <f>(E37-G37)/100*10000</f>
        <v/>
      </c>
      <c r="I37" s="4" t="inlineStr">
        <is>
          <t>yes</t>
        </is>
      </c>
      <c r="J37" s="4" t="inlineStr">
        <is>
          <t>2026-09-23T14:18:55.406Z</t>
        </is>
      </c>
      <c r="K37" s="4" t="inlineStr">
        <is>
          <t>2026-09-23T14:18:55.405Z</t>
        </is>
      </c>
      <c r="L37" s="13" t="n">
        <v>0.001</v>
      </c>
    </row>
    <row r="38">
      <c r="A38" s="4" t="inlineStr">
        <is>
          <t>SOL → ETH</t>
        </is>
      </c>
      <c r="B38" s="4" t="n">
        <v>2</v>
      </c>
      <c r="C38" s="4" t="inlineStr">
        <is>
          <t>OpenSea</t>
        </is>
      </c>
      <c r="D38" s="4" t="inlineStr">
        <is>
          <t>platform</t>
        </is>
      </c>
      <c r="E38" s="19" t="n">
        <v>99.84001499999999</v>
      </c>
      <c r="F38" s="4" t="inlineStr">
        <is>
          <t>Across</t>
        </is>
      </c>
      <c r="G38" s="19" t="n">
        <v>98.78740000000001</v>
      </c>
      <c r="H38" s="16">
        <f>(E38-G38)/100*10000</f>
        <v/>
      </c>
      <c r="I38" s="4" t="inlineStr"/>
      <c r="J38" s="4" t="inlineStr">
        <is>
          <t>2026-09-23T14:22:28.648Z</t>
        </is>
      </c>
      <c r="K38" s="4" t="inlineStr">
        <is>
          <t>2026-09-23T14:22:28.640Z</t>
        </is>
      </c>
      <c r="L38" s="13" t="n">
        <v>0.008</v>
      </c>
    </row>
    <row r="39">
      <c r="A39" s="4" t="inlineStr">
        <is>
          <t>SOL → ETH</t>
        </is>
      </c>
      <c r="B39" s="4" t="n">
        <v>3</v>
      </c>
      <c r="C39" s="4" t="inlineStr">
        <is>
          <t>OpenSea</t>
        </is>
      </c>
      <c r="D39" s="4" t="inlineStr">
        <is>
          <t>platform</t>
        </is>
      </c>
      <c r="E39" s="19" t="n">
        <v>99.84001499999999</v>
      </c>
      <c r="F39" s="4" t="inlineStr">
        <is>
          <t>Across</t>
        </is>
      </c>
      <c r="G39" s="19" t="n">
        <v>99.06699999999999</v>
      </c>
      <c r="H39" s="16">
        <f>(E39-G39)/100*10000</f>
        <v/>
      </c>
      <c r="I39" s="4" t="inlineStr">
        <is>
          <t>yes</t>
        </is>
      </c>
      <c r="J39" s="4" t="inlineStr">
        <is>
          <t>2026-09-23T14:26:54.591Z</t>
        </is>
      </c>
      <c r="K39" s="4" t="inlineStr">
        <is>
          <t>2026-09-23T14:26:54.593Z</t>
        </is>
      </c>
      <c r="L39" s="13" t="n">
        <v>0.002</v>
      </c>
    </row>
    <row r="40">
      <c r="A40" s="4" t="inlineStr">
        <is>
          <t>SOL → ETH</t>
        </is>
      </c>
      <c r="B40" s="4" t="n">
        <v>1</v>
      </c>
      <c r="C40" s="4" t="inlineStr">
        <is>
          <t>Relay</t>
        </is>
      </c>
      <c r="D40" s="4" t="inlineStr">
        <is>
          <t>venue</t>
        </is>
      </c>
      <c r="E40" s="19" t="n">
        <v>99.84001499999999</v>
      </c>
      <c r="F40" s="4" t="inlineStr">
        <is>
          <t>Across</t>
        </is>
      </c>
      <c r="G40" s="19" t="n">
        <v>99.193956</v>
      </c>
      <c r="H40" s="16">
        <f>(E40-G40)/100*10000</f>
        <v/>
      </c>
      <c r="I40" s="4" t="inlineStr"/>
      <c r="J40" s="4" t="inlineStr">
        <is>
          <t>2026-09-23T14:18:55.406Z</t>
        </is>
      </c>
      <c r="K40" s="4" t="inlineStr">
        <is>
          <t>2026-09-23T14:18:55.404Z</t>
        </is>
      </c>
      <c r="L40" s="13" t="n">
        <v>0.002</v>
      </c>
    </row>
    <row r="41">
      <c r="A41" s="4" t="inlineStr">
        <is>
          <t>SOL → ETH</t>
        </is>
      </c>
      <c r="B41" s="4" t="n">
        <v>2</v>
      </c>
      <c r="C41" s="4" t="inlineStr">
        <is>
          <t>Relay</t>
        </is>
      </c>
      <c r="D41" s="4" t="inlineStr">
        <is>
          <t>venue</t>
        </is>
      </c>
      <c r="E41" s="19" t="n">
        <v>99.84001499999999</v>
      </c>
      <c r="F41" s="4" t="inlineStr">
        <is>
          <t>Across</t>
        </is>
      </c>
      <c r="G41" s="19" t="n">
        <v>99.087326</v>
      </c>
      <c r="H41" s="16">
        <f>(E41-G41)/100*10000</f>
        <v/>
      </c>
      <c r="I41" s="4" t="inlineStr"/>
      <c r="J41" s="4" t="inlineStr">
        <is>
          <t>2026-09-23T14:22:28.648Z</t>
        </is>
      </c>
      <c r="K41" s="4" t="inlineStr">
        <is>
          <t>2026-09-23T14:22:28.645Z</t>
        </is>
      </c>
      <c r="L41" s="13" t="n">
        <v>0.003</v>
      </c>
    </row>
    <row r="42">
      <c r="A42" s="4" t="inlineStr">
        <is>
          <t>SOL → ETH</t>
        </is>
      </c>
      <c r="B42" s="4" t="n">
        <v>3</v>
      </c>
      <c r="C42" s="4" t="inlineStr">
        <is>
          <t>Relay</t>
        </is>
      </c>
      <c r="D42" s="4" t="inlineStr">
        <is>
          <t>venue</t>
        </is>
      </c>
      <c r="E42" s="19" t="n">
        <v>99.84001499999999</v>
      </c>
      <c r="F42" s="4" t="inlineStr">
        <is>
          <t>Across</t>
        </is>
      </c>
      <c r="G42" s="19" t="n">
        <v>99.260036</v>
      </c>
      <c r="H42" s="16">
        <f>(E42-G42)/100*10000</f>
        <v/>
      </c>
      <c r="I42" s="4" t="inlineStr"/>
      <c r="J42" s="4" t="inlineStr">
        <is>
          <t>2026-09-23T14:26:54.591Z</t>
        </is>
      </c>
      <c r="K42" s="4" t="inlineStr">
        <is>
          <t>2026-09-23T14:26:54.589Z</t>
        </is>
      </c>
      <c r="L42" s="13" t="n">
        <v>0.002</v>
      </c>
    </row>
    <row r="43">
      <c r="A43" s="4" t="inlineStr">
        <is>
          <t>SOL → ETH</t>
        </is>
      </c>
      <c r="B43" s="4" t="n">
        <v>1</v>
      </c>
      <c r="C43" s="4" t="inlineStr">
        <is>
          <t>deBridge</t>
        </is>
      </c>
      <c r="D43" s="4" t="inlineStr">
        <is>
          <t>venue</t>
        </is>
      </c>
      <c r="E43" s="19" t="n">
        <v>99.84001499999999</v>
      </c>
      <c r="F43" s="4" t="inlineStr">
        <is>
          <t>Across</t>
        </is>
      </c>
      <c r="G43" s="19" t="n">
        <v>96.984618</v>
      </c>
      <c r="H43" s="16">
        <f>(E43-G43)/100*10000</f>
        <v/>
      </c>
      <c r="I43" s="4" t="inlineStr"/>
      <c r="J43" s="4" t="inlineStr">
        <is>
          <t>2026-09-23T14:18:55.406Z</t>
        </is>
      </c>
      <c r="K43" s="4" t="inlineStr">
        <is>
          <t>2026-09-23T14:18:55.402Z</t>
        </is>
      </c>
      <c r="L43" s="13" t="n">
        <v>0.004</v>
      </c>
    </row>
    <row r="44">
      <c r="A44" s="4" t="inlineStr">
        <is>
          <t>SOL → ETH</t>
        </is>
      </c>
      <c r="B44" s="4" t="n">
        <v>2</v>
      </c>
      <c r="C44" s="4" t="inlineStr">
        <is>
          <t>deBridge</t>
        </is>
      </c>
      <c r="D44" s="4" t="inlineStr">
        <is>
          <t>venue</t>
        </is>
      </c>
      <c r="E44" s="19" t="n">
        <v>99.84001499999999</v>
      </c>
      <c r="F44" s="4" t="inlineStr">
        <is>
          <t>Across</t>
        </is>
      </c>
      <c r="G44" s="19" t="n">
        <v>96.646618</v>
      </c>
      <c r="H44" s="16">
        <f>(E44-G44)/100*10000</f>
        <v/>
      </c>
      <c r="I44" s="4" t="inlineStr"/>
      <c r="J44" s="4" t="inlineStr">
        <is>
          <t>2026-09-23T14:22:28.648Z</t>
        </is>
      </c>
      <c r="K44" s="4" t="inlineStr">
        <is>
          <t>2026-09-23T14:22:28.646Z</t>
        </is>
      </c>
      <c r="L44" s="13" t="n">
        <v>0.002</v>
      </c>
    </row>
    <row r="45">
      <c r="A45" s="4" t="inlineStr">
        <is>
          <t>SOL → ETH</t>
        </is>
      </c>
      <c r="B45" s="4" t="n">
        <v>3</v>
      </c>
      <c r="C45" s="4" t="inlineStr">
        <is>
          <t>deBridge</t>
        </is>
      </c>
      <c r="D45" s="4" t="inlineStr">
        <is>
          <t>venue</t>
        </is>
      </c>
      <c r="E45" s="19" t="n">
        <v>99.84001499999999</v>
      </c>
      <c r="F45" s="4" t="inlineStr">
        <is>
          <t>Across</t>
        </is>
      </c>
      <c r="G45" s="19" t="n">
        <v>97.06013299999999</v>
      </c>
      <c r="H45" s="16">
        <f>(E45-G45)/100*10000</f>
        <v/>
      </c>
      <c r="I45" s="4" t="inlineStr"/>
      <c r="J45" s="4" t="inlineStr">
        <is>
          <t>2026-09-23T14:26:54.591Z</t>
        </is>
      </c>
      <c r="K45" s="4" t="inlineStr">
        <is>
          <t>2026-09-23T14:26:54.593Z</t>
        </is>
      </c>
      <c r="L45" s="13" t="n">
        <v>0.002</v>
      </c>
    </row>
    <row r="46">
      <c r="A46" s="4" t="inlineStr">
        <is>
          <t>SOL → ETH</t>
        </is>
      </c>
      <c r="B46" s="4" t="n">
        <v>1</v>
      </c>
      <c r="C46" s="4" t="inlineStr">
        <is>
          <t>LI.FI (Jumper)</t>
        </is>
      </c>
      <c r="D46" s="4" t="inlineStr">
        <is>
          <t>venue</t>
        </is>
      </c>
      <c r="E46" s="19" t="n">
        <v>99.84001499999999</v>
      </c>
      <c r="F46" s="4" t="inlineStr">
        <is>
          <t>Across</t>
        </is>
      </c>
      <c r="G46" s="19" t="n">
        <v>99.193956</v>
      </c>
      <c r="H46" s="16">
        <f>(E46-G46)/100*10000</f>
        <v/>
      </c>
      <c r="I46" s="4" t="inlineStr"/>
      <c r="J46" s="4" t="inlineStr">
        <is>
          <t>2026-09-23T14:18:55.406Z</t>
        </is>
      </c>
      <c r="K46" s="4" t="inlineStr">
        <is>
          <t>2026-09-23T14:18:55.400Z</t>
        </is>
      </c>
      <c r="L46" s="13" t="n">
        <v>0.006</v>
      </c>
    </row>
    <row r="47">
      <c r="A47" s="4" t="inlineStr">
        <is>
          <t>SOL → ETH</t>
        </is>
      </c>
      <c r="B47" s="4" t="n">
        <v>2</v>
      </c>
      <c r="C47" s="4" t="inlineStr">
        <is>
          <t>LI.FI (Jumper)</t>
        </is>
      </c>
      <c r="D47" s="4" t="inlineStr">
        <is>
          <t>venue</t>
        </is>
      </c>
      <c r="E47" s="19" t="n">
        <v>99.84001499999999</v>
      </c>
      <c r="F47" s="4" t="inlineStr">
        <is>
          <t>Across</t>
        </is>
      </c>
      <c r="G47" s="19" t="n">
        <v>99.087326</v>
      </c>
      <c r="H47" s="16">
        <f>(E47-G47)/100*10000</f>
        <v/>
      </c>
      <c r="I47" s="4" t="inlineStr"/>
      <c r="J47" s="4" t="inlineStr">
        <is>
          <t>2026-09-23T14:22:28.648Z</t>
        </is>
      </c>
      <c r="K47" s="4" t="inlineStr">
        <is>
          <t>2026-09-23T14:22:28.650Z</t>
        </is>
      </c>
      <c r="L47" s="13" t="n">
        <v>0.002</v>
      </c>
    </row>
    <row r="48">
      <c r="A48" s="4" t="inlineStr">
        <is>
          <t>SOL → ETH</t>
        </is>
      </c>
      <c r="B48" s="4" t="n">
        <v>3</v>
      </c>
      <c r="C48" s="4" t="inlineStr">
        <is>
          <t>LI.FI (Jumper)</t>
        </is>
      </c>
      <c r="D48" s="4" t="inlineStr">
        <is>
          <t>venue</t>
        </is>
      </c>
      <c r="E48" s="19" t="n">
        <v>99.84001499999999</v>
      </c>
      <c r="F48" s="4" t="inlineStr">
        <is>
          <t>Across</t>
        </is>
      </c>
      <c r="G48" s="19" t="n">
        <v>99.260036</v>
      </c>
      <c r="H48" s="16">
        <f>(E48-G48)/100*10000</f>
        <v/>
      </c>
      <c r="I48" s="4" t="inlineStr"/>
      <c r="J48" s="4" t="inlineStr">
        <is>
          <t>2026-09-23T14:26:54.591Z</t>
        </is>
      </c>
      <c r="K48" s="4" t="inlineStr">
        <is>
          <t>2026-09-23T14:26:54.591Z</t>
        </is>
      </c>
      <c r="L48" s="13" t="n">
        <v>0</v>
      </c>
    </row>
    <row r="49">
      <c r="A49" s="4" t="inlineStr">
        <is>
          <t>SOL → ETH</t>
        </is>
      </c>
      <c r="B49" s="4" t="n">
        <v>1</v>
      </c>
      <c r="C49" s="4" t="inlineStr">
        <is>
          <t>Across</t>
        </is>
      </c>
      <c r="D49" s="4" t="inlineStr">
        <is>
          <t>venue</t>
        </is>
      </c>
      <c r="E49" s="19" t="n">
        <v>99.84001499999999</v>
      </c>
      <c r="F49" s="4" t="inlineStr">
        <is>
          <t>Across</t>
        </is>
      </c>
      <c r="G49" s="19" t="n">
        <v>99.98999999999999</v>
      </c>
      <c r="H49" s="16">
        <f>(E49-G49)/100*10000</f>
        <v/>
      </c>
      <c r="I49" s="4" t="inlineStr"/>
      <c r="J49" s="4" t="inlineStr">
        <is>
          <t>2026-09-23T14:18:55.406Z</t>
        </is>
      </c>
      <c r="K49" s="4" t="inlineStr">
        <is>
          <t>2026-09-23T14:18:55.400Z</t>
        </is>
      </c>
      <c r="L49" s="13" t="n">
        <v>0.006</v>
      </c>
    </row>
    <row r="50">
      <c r="A50" s="4" t="inlineStr">
        <is>
          <t>SOL → ETH</t>
        </is>
      </c>
      <c r="B50" s="4" t="n">
        <v>2</v>
      </c>
      <c r="C50" s="4" t="inlineStr">
        <is>
          <t>Across</t>
        </is>
      </c>
      <c r="D50" s="4" t="inlineStr">
        <is>
          <t>venue</t>
        </is>
      </c>
      <c r="E50" s="19" t="n">
        <v>99.84001499999999</v>
      </c>
      <c r="F50" s="4" t="inlineStr">
        <is>
          <t>Across</t>
        </is>
      </c>
      <c r="G50" s="19" t="n">
        <v>99.98999999999999</v>
      </c>
      <c r="H50" s="16">
        <f>(E50-G50)/100*10000</f>
        <v/>
      </c>
      <c r="I50" s="4" t="inlineStr"/>
      <c r="J50" s="4" t="inlineStr">
        <is>
          <t>2026-09-23T14:22:28.648Z</t>
        </is>
      </c>
      <c r="K50" s="4" t="inlineStr">
        <is>
          <t>2026-09-23T14:22:28.644Z</t>
        </is>
      </c>
      <c r="L50" s="13" t="n">
        <v>0.004</v>
      </c>
    </row>
    <row r="51">
      <c r="A51" s="4" t="inlineStr">
        <is>
          <t>SOL → ETH</t>
        </is>
      </c>
      <c r="B51" s="4" t="n">
        <v>3</v>
      </c>
      <c r="C51" s="4" t="inlineStr">
        <is>
          <t>Across</t>
        </is>
      </c>
      <c r="D51" s="4" t="inlineStr">
        <is>
          <t>venue</t>
        </is>
      </c>
      <c r="E51" s="19" t="n">
        <v>99.84001499999999</v>
      </c>
      <c r="F51" s="4" t="inlineStr">
        <is>
          <t>Across</t>
        </is>
      </c>
      <c r="G51" s="19" t="n">
        <v>99.98999999999999</v>
      </c>
      <c r="H51" s="16">
        <f>(E51-G51)/100*10000</f>
        <v/>
      </c>
      <c r="I51" s="4" t="inlineStr"/>
      <c r="J51" s="4" t="inlineStr">
        <is>
          <t>2026-09-23T14:26:54.591Z</t>
        </is>
      </c>
      <c r="K51" s="4" t="inlineStr">
        <is>
          <t>2026-09-23T14:26:54.589Z</t>
        </is>
      </c>
      <c r="L51" s="13" t="n">
        <v>0.002</v>
      </c>
    </row>
    <row r="52">
      <c r="A52" s="4" t="inlineStr">
        <is>
          <t>SOL → ETH</t>
        </is>
      </c>
      <c r="B52" s="4" t="n">
        <v>1</v>
      </c>
      <c r="C52" s="4" t="inlineStr">
        <is>
          <t>Mayan</t>
        </is>
      </c>
      <c r="D52" s="4" t="inlineStr">
        <is>
          <t>venue</t>
        </is>
      </c>
      <c r="E52" s="19" t="n">
        <v>99.84001499999999</v>
      </c>
      <c r="F52" s="4" t="inlineStr">
        <is>
          <t>Across</t>
        </is>
      </c>
      <c r="G52" s="19" t="n">
        <v>96.6446</v>
      </c>
      <c r="H52" s="16">
        <f>(E52-G52)/100*10000</f>
        <v/>
      </c>
      <c r="I52" s="4" t="inlineStr"/>
      <c r="J52" s="4" t="inlineStr">
        <is>
          <t>2026-09-23T14:18:55.406Z</t>
        </is>
      </c>
      <c r="K52" s="4" t="inlineStr">
        <is>
          <t>2026-09-23T14:18:55.400Z</t>
        </is>
      </c>
      <c r="L52" s="13" t="n">
        <v>0.006</v>
      </c>
    </row>
    <row r="53">
      <c r="A53" s="4" t="inlineStr">
        <is>
          <t>SOL → ETH</t>
        </is>
      </c>
      <c r="B53" s="4" t="n">
        <v>2</v>
      </c>
      <c r="C53" s="4" t="inlineStr">
        <is>
          <t>Mayan</t>
        </is>
      </c>
      <c r="D53" s="4" t="inlineStr">
        <is>
          <t>venue</t>
        </is>
      </c>
      <c r="E53" s="19" t="n">
        <v>99.84001499999999</v>
      </c>
      <c r="F53" s="4" t="inlineStr">
        <is>
          <t>Across</t>
        </is>
      </c>
      <c r="G53" s="19" t="n">
        <v>96.6844</v>
      </c>
      <c r="H53" s="16">
        <f>(E53-G53)/100*10000</f>
        <v/>
      </c>
      <c r="I53" s="4" t="inlineStr"/>
      <c r="J53" s="4" t="inlineStr">
        <is>
          <t>2026-09-23T14:22:28.648Z</t>
        </is>
      </c>
      <c r="K53" s="4" t="inlineStr">
        <is>
          <t>2026-09-23T14:22:28.643Z</t>
        </is>
      </c>
      <c r="L53" s="13" t="n">
        <v>0.005</v>
      </c>
    </row>
    <row r="54">
      <c r="A54" s="4" t="inlineStr">
        <is>
          <t>SOL → ETH</t>
        </is>
      </c>
      <c r="B54" s="4" t="n">
        <v>3</v>
      </c>
      <c r="C54" s="4" t="inlineStr">
        <is>
          <t>Mayan</t>
        </is>
      </c>
      <c r="D54" s="4" t="inlineStr">
        <is>
          <t>venue</t>
        </is>
      </c>
      <c r="E54" s="19" t="n">
        <v>99.84001499999999</v>
      </c>
      <c r="F54" s="4" t="inlineStr">
        <is>
          <t>Across</t>
        </is>
      </c>
      <c r="G54" s="19" t="n">
        <v>96.851</v>
      </c>
      <c r="H54" s="16">
        <f>(E54-G54)/100*10000</f>
        <v/>
      </c>
      <c r="I54" s="4" t="inlineStr"/>
      <c r="J54" s="4" t="inlineStr">
        <is>
          <t>2026-09-23T14:26:54.591Z</t>
        </is>
      </c>
      <c r="K54" s="4" t="inlineStr">
        <is>
          <t>2026-09-23T14:26:54.588Z</t>
        </is>
      </c>
      <c r="L54" s="13" t="n">
        <v>0.003</v>
      </c>
    </row>
    <row r="55">
      <c r="A55" s="4" t="inlineStr">
        <is>
          <t>SOL → ETH</t>
        </is>
      </c>
      <c r="B55" s="4" t="n">
        <v>1</v>
      </c>
      <c r="C55" s="4" t="inlineStr">
        <is>
          <t>Allbridge Core</t>
        </is>
      </c>
      <c r="D55" s="4" t="inlineStr">
        <is>
          <t>venue</t>
        </is>
      </c>
      <c r="E55" s="19" t="n">
        <v>99.84001499999999</v>
      </c>
      <c r="F55" s="4" t="inlineStr">
        <is>
          <t>Across</t>
        </is>
      </c>
      <c r="G55" s="19" t="n">
        <v>99.90000000000001</v>
      </c>
      <c r="H55" s="16">
        <f>(E55-G55)/100*10000</f>
        <v/>
      </c>
      <c r="I55" s="4" t="inlineStr">
        <is>
          <t>yes</t>
        </is>
      </c>
      <c r="J55" s="4" t="inlineStr">
        <is>
          <t>2026-09-23T14:18:55.406Z</t>
        </is>
      </c>
      <c r="K55" s="4" t="inlineStr">
        <is>
          <t>2026-09-23T14:18:55.401Z</t>
        </is>
      </c>
      <c r="L55" s="13" t="n">
        <v>0.005</v>
      </c>
    </row>
    <row r="56">
      <c r="A56" s="4" t="inlineStr">
        <is>
          <t>SOL → ETH</t>
        </is>
      </c>
      <c r="B56" s="4" t="n">
        <v>2</v>
      </c>
      <c r="C56" s="4" t="inlineStr">
        <is>
          <t>Allbridge Core</t>
        </is>
      </c>
      <c r="D56" s="4" t="inlineStr">
        <is>
          <t>venue</t>
        </is>
      </c>
      <c r="E56" s="19" t="n">
        <v>99.84001499999999</v>
      </c>
      <c r="F56" s="4" t="inlineStr">
        <is>
          <t>Across</t>
        </is>
      </c>
      <c r="G56" s="19" t="n">
        <v>99.90000000000001</v>
      </c>
      <c r="H56" s="16">
        <f>(E56-G56)/100*10000</f>
        <v/>
      </c>
      <c r="I56" s="4" t="inlineStr">
        <is>
          <t>yes</t>
        </is>
      </c>
      <c r="J56" s="4" t="inlineStr">
        <is>
          <t>2026-09-23T14:22:28.648Z</t>
        </is>
      </c>
      <c r="K56" s="4" t="inlineStr">
        <is>
          <t>2026-09-23T14:22:28.644Z</t>
        </is>
      </c>
      <c r="L56" s="13" t="n">
        <v>0.004</v>
      </c>
    </row>
    <row r="57">
      <c r="A57" s="4" t="inlineStr">
        <is>
          <t>SOL → ETH</t>
        </is>
      </c>
      <c r="B57" s="4" t="n">
        <v>3</v>
      </c>
      <c r="C57" s="4" t="inlineStr">
        <is>
          <t>Allbridge Core</t>
        </is>
      </c>
      <c r="D57" s="4" t="inlineStr">
        <is>
          <t>venue</t>
        </is>
      </c>
      <c r="E57" s="19" t="n">
        <v>99.84001499999999</v>
      </c>
      <c r="F57" s="4" t="inlineStr">
        <is>
          <t>Across</t>
        </is>
      </c>
      <c r="G57" s="19" t="n">
        <v>99.90000000000001</v>
      </c>
      <c r="H57" s="16">
        <f>(E57-G57)/100*10000</f>
        <v/>
      </c>
      <c r="I57" s="4" t="inlineStr">
        <is>
          <t>yes</t>
        </is>
      </c>
      <c r="J57" s="4" t="inlineStr">
        <is>
          <t>2026-09-23T14:26:54.591Z</t>
        </is>
      </c>
      <c r="K57" s="4" t="inlineStr">
        <is>
          <t>2026-09-23T14:26:54.590Z</t>
        </is>
      </c>
      <c r="L57" s="13" t="n">
        <v>0.001</v>
      </c>
    </row>
    <row r="58">
      <c r="A58" s="4" t="inlineStr">
        <is>
          <t>SOL → ETH</t>
        </is>
      </c>
      <c r="B58" s="4" t="n">
        <v>1</v>
      </c>
      <c r="C58" s="4" t="inlineStr">
        <is>
          <t>CCTP (via Portal)</t>
        </is>
      </c>
      <c r="D58" s="4" t="inlineStr">
        <is>
          <t>venue</t>
        </is>
      </c>
      <c r="E58" s="19" t="n">
        <v>99.84001499999999</v>
      </c>
      <c r="F58" s="4" t="inlineStr">
        <is>
          <t>Across</t>
        </is>
      </c>
      <c r="G58" s="19" t="n">
        <v>99.98999999999999</v>
      </c>
      <c r="H58" s="16">
        <f>(E58-G58)/100*10000</f>
        <v/>
      </c>
      <c r="I58" s="4" t="inlineStr"/>
      <c r="J58" s="4" t="inlineStr">
        <is>
          <t>2026-09-23T14:18:55.406Z</t>
        </is>
      </c>
      <c r="K58" s="4" t="inlineStr">
        <is>
          <t>2026-09-23T14:18:55.406Z</t>
        </is>
      </c>
      <c r="L58" s="13" t="n">
        <v>0</v>
      </c>
    </row>
    <row r="59">
      <c r="A59" s="4" t="inlineStr">
        <is>
          <t>SOL → ETH</t>
        </is>
      </c>
      <c r="B59" s="4" t="n">
        <v>2</v>
      </c>
      <c r="C59" s="4" t="inlineStr">
        <is>
          <t>CCTP (via Portal)</t>
        </is>
      </c>
      <c r="D59" s="4" t="inlineStr">
        <is>
          <t>venue</t>
        </is>
      </c>
      <c r="E59" s="19" t="n">
        <v>99.84001499999999</v>
      </c>
      <c r="F59" s="4" t="inlineStr">
        <is>
          <t>Across</t>
        </is>
      </c>
      <c r="G59" s="19" t="n">
        <v>99.98999999999999</v>
      </c>
      <c r="H59" s="16">
        <f>(E59-G59)/100*10000</f>
        <v/>
      </c>
      <c r="I59" s="4" t="inlineStr"/>
      <c r="J59" s="4" t="inlineStr">
        <is>
          <t>2026-09-23T14:22:28.648Z</t>
        </is>
      </c>
      <c r="K59" s="4" t="inlineStr">
        <is>
          <t>2026-09-23T14:22:28.649Z</t>
        </is>
      </c>
      <c r="L59" s="13" t="n">
        <v>0.001</v>
      </c>
    </row>
    <row r="60">
      <c r="A60" s="4" t="inlineStr">
        <is>
          <t>SOL → ETH</t>
        </is>
      </c>
      <c r="B60" s="4" t="n">
        <v>3</v>
      </c>
      <c r="C60" s="4" t="inlineStr">
        <is>
          <t>CCTP (via Portal)</t>
        </is>
      </c>
      <c r="D60" s="4" t="inlineStr">
        <is>
          <t>venue</t>
        </is>
      </c>
      <c r="E60" s="19" t="n">
        <v>99.84001499999999</v>
      </c>
      <c r="F60" s="4" t="inlineStr">
        <is>
          <t>Across</t>
        </is>
      </c>
      <c r="G60" s="19" t="n">
        <v>99.98999999999999</v>
      </c>
      <c r="H60" s="16">
        <f>(E60-G60)/100*10000</f>
        <v/>
      </c>
      <c r="I60" s="4" t="inlineStr"/>
      <c r="J60" s="4" t="inlineStr">
        <is>
          <t>2026-09-23T14:26:54.591Z</t>
        </is>
      </c>
      <c r="K60" s="4" t="inlineStr">
        <is>
          <t>2026-09-23T14:26:54.588Z</t>
        </is>
      </c>
      <c r="L60" s="13" t="n">
        <v>0.003</v>
      </c>
    </row>
    <row r="61">
      <c r="A61" s="4" t="inlineStr">
        <is>
          <t>SOL → ETH</t>
        </is>
      </c>
      <c r="B61" s="4" t="n">
        <v>1</v>
      </c>
      <c r="C61" s="4" t="inlineStr">
        <is>
          <t>Husher</t>
        </is>
      </c>
      <c r="D61" s="4" t="inlineStr">
        <is>
          <t>venue</t>
        </is>
      </c>
      <c r="E61" s="19" t="n">
        <v>99.84001499999999</v>
      </c>
      <c r="F61" s="4" t="inlineStr">
        <is>
          <t>Across</t>
        </is>
      </c>
      <c r="G61" s="19" t="n">
        <v>99.05</v>
      </c>
      <c r="H61" s="16">
        <f>(E61-G61)/100*10000</f>
        <v/>
      </c>
      <c r="I61" s="4" t="inlineStr"/>
      <c r="J61" s="4" t="inlineStr">
        <is>
          <t>2026-09-23T14:18:55.406Z</t>
        </is>
      </c>
      <c r="K61" s="4" t="inlineStr">
        <is>
          <t>2026-09-23T14:18:55.401Z</t>
        </is>
      </c>
      <c r="L61" s="13" t="n">
        <v>0.005</v>
      </c>
    </row>
    <row r="62">
      <c r="A62" s="4" t="inlineStr">
        <is>
          <t>SOL → ETH</t>
        </is>
      </c>
      <c r="B62" s="4" t="n">
        <v>2</v>
      </c>
      <c r="C62" s="4" t="inlineStr">
        <is>
          <t>Husher</t>
        </is>
      </c>
      <c r="D62" s="4" t="inlineStr">
        <is>
          <t>venue</t>
        </is>
      </c>
      <c r="E62" s="19" t="n">
        <v>99.84001499999999</v>
      </c>
      <c r="F62" s="4" t="inlineStr">
        <is>
          <t>Across</t>
        </is>
      </c>
      <c r="G62" s="19" t="n">
        <v>99.05</v>
      </c>
      <c r="H62" s="16">
        <f>(E62-G62)/100*10000</f>
        <v/>
      </c>
      <c r="I62" s="4" t="inlineStr"/>
      <c r="J62" s="4" t="inlineStr">
        <is>
          <t>2026-09-23T14:22:28.648Z</t>
        </is>
      </c>
      <c r="K62" s="4" t="inlineStr">
        <is>
          <t>2026-09-23T14:22:28.643Z</t>
        </is>
      </c>
      <c r="L62" s="13" t="n">
        <v>0.005</v>
      </c>
    </row>
    <row r="63">
      <c r="A63" s="4" t="inlineStr">
        <is>
          <t>SOL → ETH</t>
        </is>
      </c>
      <c r="B63" s="4" t="n">
        <v>3</v>
      </c>
      <c r="C63" s="4" t="inlineStr">
        <is>
          <t>Husher</t>
        </is>
      </c>
      <c r="D63" s="4" t="inlineStr">
        <is>
          <t>venue</t>
        </is>
      </c>
      <c r="E63" s="19" t="n">
        <v>99.84001499999999</v>
      </c>
      <c r="F63" s="4" t="inlineStr">
        <is>
          <t>Across</t>
        </is>
      </c>
      <c r="G63" s="19" t="n">
        <v>99.05</v>
      </c>
      <c r="H63" s="16">
        <f>(E63-G63)/100*10000</f>
        <v/>
      </c>
      <c r="I63" s="4" t="inlineStr"/>
      <c r="J63" s="4" t="inlineStr">
        <is>
          <t>2026-09-23T14:26:54.591Z</t>
        </is>
      </c>
      <c r="K63" s="4" t="inlineStr">
        <is>
          <t>2026-09-23T14:26:54.589Z</t>
        </is>
      </c>
      <c r="L63" s="13" t="n">
        <v>0.002</v>
      </c>
    </row>
    <row r="64">
      <c r="A64" s="4" t="inlineStr">
        <is>
          <t>SOL → ETH</t>
        </is>
      </c>
      <c r="B64" s="4" t="n">
        <v>1</v>
      </c>
      <c r="C64" s="4" t="inlineStr">
        <is>
          <t>Layerswap</t>
        </is>
      </c>
      <c r="D64" s="4" t="inlineStr">
        <is>
          <t>venue</t>
        </is>
      </c>
      <c r="E64" s="19" t="n">
        <v>99.84001499999999</v>
      </c>
      <c r="F64" s="4" t="inlineStr">
        <is>
          <t>Across</t>
        </is>
      </c>
      <c r="G64" s="19" t="n">
        <v>99.716863</v>
      </c>
      <c r="H64" s="16">
        <f>(E64-G64)/100*10000</f>
        <v/>
      </c>
      <c r="I64" s="4" t="inlineStr"/>
      <c r="J64" s="4" t="inlineStr">
        <is>
          <t>2026-09-23T14:18:55.406Z</t>
        </is>
      </c>
      <c r="K64" s="4" t="inlineStr">
        <is>
          <t>2026-09-23T14:18:55.402Z</t>
        </is>
      </c>
      <c r="L64" s="13" t="n">
        <v>0.004</v>
      </c>
    </row>
    <row r="65">
      <c r="A65" s="4" t="inlineStr">
        <is>
          <t>SOL → ETH</t>
        </is>
      </c>
      <c r="B65" s="4" t="n">
        <v>2</v>
      </c>
      <c r="C65" s="4" t="inlineStr">
        <is>
          <t>Layerswap</t>
        </is>
      </c>
      <c r="D65" s="4" t="inlineStr">
        <is>
          <t>venue</t>
        </is>
      </c>
      <c r="E65" s="19" t="n">
        <v>99.84001499999999</v>
      </c>
      <c r="F65" s="4" t="inlineStr">
        <is>
          <t>Across</t>
        </is>
      </c>
      <c r="G65" s="19" t="n">
        <v>99.717755</v>
      </c>
      <c r="H65" s="16">
        <f>(E65-G65)/100*10000</f>
        <v/>
      </c>
      <c r="I65" s="4" t="inlineStr"/>
      <c r="J65" s="4" t="inlineStr">
        <is>
          <t>2026-09-23T14:22:28.648Z</t>
        </is>
      </c>
      <c r="K65" s="4" t="inlineStr">
        <is>
          <t>2026-09-23T14:22:28.646Z</t>
        </is>
      </c>
      <c r="L65" s="13" t="n">
        <v>0.002</v>
      </c>
    </row>
    <row r="66">
      <c r="A66" s="4" t="inlineStr">
        <is>
          <t>SOL → ETH</t>
        </is>
      </c>
      <c r="B66" s="4" t="n">
        <v>3</v>
      </c>
      <c r="C66" s="4" t="inlineStr">
        <is>
          <t>Layerswap</t>
        </is>
      </c>
      <c r="D66" s="4" t="inlineStr">
        <is>
          <t>venue</t>
        </is>
      </c>
      <c r="E66" s="19" t="n">
        <v>99.84001499999999</v>
      </c>
      <c r="F66" s="4" t="inlineStr">
        <is>
          <t>Across</t>
        </is>
      </c>
      <c r="G66" s="19" t="n">
        <v>99.706546</v>
      </c>
      <c r="H66" s="16">
        <f>(E66-G66)/100*10000</f>
        <v/>
      </c>
      <c r="I66" s="4" t="inlineStr"/>
      <c r="J66" s="4" t="inlineStr">
        <is>
          <t>2026-09-23T14:26:54.591Z</t>
        </is>
      </c>
      <c r="K66" s="4" t="inlineStr">
        <is>
          <t>2026-09-23T14:26:54.592Z</t>
        </is>
      </c>
      <c r="L66" s="13" t="n">
        <v>0.001</v>
      </c>
    </row>
    <row r="67">
      <c r="A67" s="4" t="inlineStr">
        <is>
          <t>SOL → ETH</t>
        </is>
      </c>
      <c r="B67" s="4" t="n">
        <v>1</v>
      </c>
      <c r="C67" s="4" t="inlineStr">
        <is>
          <t>Meson</t>
        </is>
      </c>
      <c r="D67" s="4" t="inlineStr">
        <is>
          <t>venue</t>
        </is>
      </c>
      <c r="E67" s="19" t="n">
        <v>99.84001499999999</v>
      </c>
      <c r="F67" s="4" t="inlineStr">
        <is>
          <t>Across</t>
        </is>
      </c>
      <c r="G67" s="19" t="n">
        <v>98.65000000000001</v>
      </c>
      <c r="H67" s="16">
        <f>(E67-G67)/100*10000</f>
        <v/>
      </c>
      <c r="I67" s="4" t="inlineStr"/>
      <c r="J67" s="4" t="inlineStr">
        <is>
          <t>2026-09-23T14:18:55.406Z</t>
        </is>
      </c>
      <c r="K67" s="4" t="inlineStr">
        <is>
          <t>2026-09-23T14:18:55.400Z</t>
        </is>
      </c>
      <c r="L67" s="13" t="n">
        <v>0.006</v>
      </c>
    </row>
    <row r="68">
      <c r="A68" s="4" t="inlineStr">
        <is>
          <t>SOL → ETH</t>
        </is>
      </c>
      <c r="B68" s="4" t="n">
        <v>2</v>
      </c>
      <c r="C68" s="4" t="inlineStr">
        <is>
          <t>Meson</t>
        </is>
      </c>
      <c r="D68" s="4" t="inlineStr">
        <is>
          <t>venue</t>
        </is>
      </c>
      <c r="E68" s="19" t="n">
        <v>99.84001499999999</v>
      </c>
      <c r="F68" s="4" t="inlineStr">
        <is>
          <t>Across</t>
        </is>
      </c>
      <c r="G68" s="19" t="n">
        <v>98.37</v>
      </c>
      <c r="H68" s="16">
        <f>(E68-G68)/100*10000</f>
        <v/>
      </c>
      <c r="I68" s="4" t="inlineStr"/>
      <c r="J68" s="4" t="inlineStr">
        <is>
          <t>2026-09-23T14:22:28.648Z</t>
        </is>
      </c>
      <c r="K68" s="4" t="inlineStr">
        <is>
          <t>2026-09-23T14:22:28.642Z</t>
        </is>
      </c>
      <c r="L68" s="13" t="n">
        <v>0.006</v>
      </c>
    </row>
    <row r="69">
      <c r="A69" s="4" t="inlineStr">
        <is>
          <t>SOL → ETH</t>
        </is>
      </c>
      <c r="B69" s="4" t="n">
        <v>3</v>
      </c>
      <c r="C69" s="4" t="inlineStr">
        <is>
          <t>Meson</t>
        </is>
      </c>
      <c r="D69" s="4" t="inlineStr">
        <is>
          <t>venue</t>
        </is>
      </c>
      <c r="E69" s="19" t="n">
        <v>99.84001499999999</v>
      </c>
      <c r="F69" s="4" t="inlineStr">
        <is>
          <t>Across</t>
        </is>
      </c>
      <c r="G69" s="19" t="n">
        <v>98.67</v>
      </c>
      <c r="H69" s="16">
        <f>(E69-G69)/100*10000</f>
        <v/>
      </c>
      <c r="I69" s="4" t="inlineStr"/>
      <c r="J69" s="4" t="inlineStr">
        <is>
          <t>2026-09-23T14:26:54.591Z</t>
        </is>
      </c>
      <c r="K69" s="4" t="inlineStr">
        <is>
          <t>2026-09-23T14:26:54.588Z</t>
        </is>
      </c>
      <c r="L69" s="13" t="n">
        <v>0.003</v>
      </c>
    </row>
    <row r="70">
      <c r="A70" s="4" t="inlineStr">
        <is>
          <t>SOL → ETH</t>
        </is>
      </c>
      <c r="B70" s="4" t="n">
        <v>1</v>
      </c>
      <c r="C70" s="4" t="inlineStr">
        <is>
          <t>SimpleSwap</t>
        </is>
      </c>
      <c r="D70" s="4" t="inlineStr">
        <is>
          <t>venue</t>
        </is>
      </c>
      <c r="E70" s="19" t="n">
        <v>99.84001499999999</v>
      </c>
      <c r="F70" s="4" t="inlineStr">
        <is>
          <t>Across</t>
        </is>
      </c>
      <c r="G70" s="19" t="n">
        <v>98.20630199999999</v>
      </c>
      <c r="H70" s="16">
        <f>(E70-G70)/100*10000</f>
        <v/>
      </c>
      <c r="I70" s="4" t="inlineStr"/>
      <c r="J70" s="4" t="inlineStr">
        <is>
          <t>2026-09-23T14:18:55.406Z</t>
        </is>
      </c>
      <c r="K70" s="4" t="inlineStr">
        <is>
          <t>2026-09-23T14:18:55.405Z</t>
        </is>
      </c>
      <c r="L70" s="13" t="n">
        <v>0.001</v>
      </c>
    </row>
    <row r="71">
      <c r="A71" s="4" t="inlineStr">
        <is>
          <t>SOL → ETH</t>
        </is>
      </c>
      <c r="B71" s="4" t="n">
        <v>2</v>
      </c>
      <c r="C71" s="4" t="inlineStr">
        <is>
          <t>SimpleSwap</t>
        </is>
      </c>
      <c r="D71" s="4" t="inlineStr">
        <is>
          <t>venue</t>
        </is>
      </c>
      <c r="E71" s="19" t="n">
        <v>99.84001499999999</v>
      </c>
      <c r="F71" s="4" t="inlineStr">
        <is>
          <t>Across</t>
        </is>
      </c>
      <c r="G71" s="19" t="n">
        <v>98.205703</v>
      </c>
      <c r="H71" s="16">
        <f>(E71-G71)/100*10000</f>
        <v/>
      </c>
      <c r="I71" s="4" t="inlineStr"/>
      <c r="J71" s="4" t="inlineStr">
        <is>
          <t>2026-09-23T14:22:28.648Z</t>
        </is>
      </c>
      <c r="K71" s="4" t="inlineStr">
        <is>
          <t>2026-09-23T14:22:28.646Z</t>
        </is>
      </c>
      <c r="L71" s="13" t="n">
        <v>0.002</v>
      </c>
    </row>
    <row r="72">
      <c r="A72" s="4" t="inlineStr">
        <is>
          <t>SOL → ETH</t>
        </is>
      </c>
      <c r="B72" s="4" t="n">
        <v>3</v>
      </c>
      <c r="C72" s="4" t="inlineStr">
        <is>
          <t>SimpleSwap</t>
        </is>
      </c>
      <c r="D72" s="4" t="inlineStr">
        <is>
          <t>venue</t>
        </is>
      </c>
      <c r="E72" s="19" t="n">
        <v>99.84001499999999</v>
      </c>
      <c r="F72" s="4" t="inlineStr">
        <is>
          <t>Across</t>
        </is>
      </c>
      <c r="G72" s="19" t="n">
        <v>98.205814</v>
      </c>
      <c r="H72" s="16">
        <f>(E72-G72)/100*10000</f>
        <v/>
      </c>
      <c r="I72" s="4" t="inlineStr"/>
      <c r="J72" s="4" t="inlineStr">
        <is>
          <t>2026-09-23T14:26:54.591Z</t>
        </is>
      </c>
      <c r="K72" s="4" t="inlineStr">
        <is>
          <t>2026-09-23T14:26:54.594Z</t>
        </is>
      </c>
      <c r="L72" s="13" t="n">
        <v>0.003</v>
      </c>
    </row>
    <row r="73">
      <c r="A73" s="4" t="inlineStr">
        <is>
          <t>SOL → ETH</t>
        </is>
      </c>
      <c r="B73" s="4" t="n">
        <v>1</v>
      </c>
      <c r="C73" s="4" t="inlineStr">
        <is>
          <t>Skip Go</t>
        </is>
      </c>
      <c r="D73" s="4" t="inlineStr">
        <is>
          <t>venue</t>
        </is>
      </c>
      <c r="E73" s="19" t="n">
        <v>99.84001499999999</v>
      </c>
      <c r="F73" s="4" t="inlineStr">
        <is>
          <t>Across</t>
        </is>
      </c>
      <c r="G73" s="19" t="n">
        <v>96.94911</v>
      </c>
      <c r="H73" s="16">
        <f>(E73-G73)/100*10000</f>
        <v/>
      </c>
      <c r="I73" s="4" t="inlineStr"/>
      <c r="J73" s="4" t="inlineStr">
        <is>
          <t>2026-09-23T14:18:55.406Z</t>
        </is>
      </c>
      <c r="K73" s="4" t="inlineStr">
        <is>
          <t>2026-09-23T14:18:55.406Z</t>
        </is>
      </c>
      <c r="L73" s="13" t="n">
        <v>0</v>
      </c>
    </row>
    <row r="74">
      <c r="A74" s="4" t="inlineStr">
        <is>
          <t>SOL → ETH</t>
        </is>
      </c>
      <c r="B74" s="4" t="n">
        <v>2</v>
      </c>
      <c r="C74" s="4" t="inlineStr">
        <is>
          <t>Skip Go</t>
        </is>
      </c>
      <c r="D74" s="4" t="inlineStr">
        <is>
          <t>venue</t>
        </is>
      </c>
      <c r="E74" s="19" t="n">
        <v>99.84001499999999</v>
      </c>
      <c r="F74" s="4" t="inlineStr">
        <is>
          <t>Across</t>
        </is>
      </c>
      <c r="G74" s="19" t="n">
        <v>96.94911</v>
      </c>
      <c r="H74" s="16">
        <f>(E74-G74)/100*10000</f>
        <v/>
      </c>
      <c r="I74" s="4" t="inlineStr"/>
      <c r="J74" s="4" t="inlineStr">
        <is>
          <t>2026-09-23T14:22:28.648Z</t>
        </is>
      </c>
      <c r="K74" s="4" t="inlineStr">
        <is>
          <t>2026-09-23T14:22:28.648Z</t>
        </is>
      </c>
      <c r="L74" s="13" t="n">
        <v>0</v>
      </c>
    </row>
    <row r="75">
      <c r="A75" s="4" t="inlineStr">
        <is>
          <t>SOL → ETH</t>
        </is>
      </c>
      <c r="B75" s="4" t="n">
        <v>3</v>
      </c>
      <c r="C75" s="4" t="inlineStr">
        <is>
          <t>Skip Go</t>
        </is>
      </c>
      <c r="D75" s="4" t="inlineStr">
        <is>
          <t>venue</t>
        </is>
      </c>
      <c r="E75" s="19" t="n">
        <v>99.84001499999999</v>
      </c>
      <c r="F75" s="4" t="inlineStr">
        <is>
          <t>Across</t>
        </is>
      </c>
      <c r="G75" s="19" t="n">
        <v>97.44691</v>
      </c>
      <c r="H75" s="16">
        <f>(E75-G75)/100*10000</f>
        <v/>
      </c>
      <c r="I75" s="4" t="inlineStr"/>
      <c r="J75" s="4" t="inlineStr">
        <is>
          <t>2026-09-23T14:26:54.591Z</t>
        </is>
      </c>
      <c r="K75" s="4" t="inlineStr">
        <is>
          <t>2026-09-23T14:26:54.592Z</t>
        </is>
      </c>
      <c r="L75" s="13" t="n">
        <v>0.001</v>
      </c>
    </row>
    <row r="76">
      <c r="A76" s="4" t="inlineStr">
        <is>
          <t>SOL → ETH</t>
        </is>
      </c>
      <c r="B76" s="4" t="n">
        <v>1</v>
      </c>
      <c r="C76" s="4" t="inlineStr">
        <is>
          <t>Symbiosis</t>
        </is>
      </c>
      <c r="D76" s="4" t="inlineStr">
        <is>
          <t>venue</t>
        </is>
      </c>
      <c r="E76" s="19" t="n">
        <v>99.84001499999999</v>
      </c>
      <c r="F76" s="4" t="inlineStr">
        <is>
          <t>Across</t>
        </is>
      </c>
      <c r="G76" s="19" t="n">
        <v>96.860997</v>
      </c>
      <c r="H76" s="16">
        <f>(E76-G76)/100*10000</f>
        <v/>
      </c>
      <c r="I76" s="4" t="inlineStr"/>
      <c r="J76" s="4" t="inlineStr">
        <is>
          <t>2026-09-23T14:18:55.406Z</t>
        </is>
      </c>
      <c r="K76" s="4" t="inlineStr">
        <is>
          <t>2026-09-23T14:18:55.404Z</t>
        </is>
      </c>
      <c r="L76" s="13" t="n">
        <v>0.002</v>
      </c>
    </row>
    <row r="77">
      <c r="A77" s="4" t="inlineStr">
        <is>
          <t>SOL → ETH</t>
        </is>
      </c>
      <c r="B77" s="4" t="n">
        <v>2</v>
      </c>
      <c r="C77" s="4" t="inlineStr">
        <is>
          <t>Symbiosis</t>
        </is>
      </c>
      <c r="D77" s="4" t="inlineStr">
        <is>
          <t>venue</t>
        </is>
      </c>
      <c r="E77" s="19" t="n">
        <v>99.84001499999999</v>
      </c>
      <c r="F77" s="4" t="inlineStr">
        <is>
          <t>Across</t>
        </is>
      </c>
      <c r="G77" s="19" t="n">
        <v>96.37869999999999</v>
      </c>
      <c r="H77" s="16">
        <f>(E77-G77)/100*10000</f>
        <v/>
      </c>
      <c r="I77" s="4" t="inlineStr"/>
      <c r="J77" s="4" t="inlineStr">
        <is>
          <t>2026-09-23T14:22:28.648Z</t>
        </is>
      </c>
      <c r="K77" s="4" t="inlineStr">
        <is>
          <t>2026-09-23T14:22:28.649Z</t>
        </is>
      </c>
      <c r="L77" s="13" t="n">
        <v>0.001</v>
      </c>
    </row>
    <row r="78">
      <c r="A78" s="4" t="inlineStr">
        <is>
          <t>SOL → ETH</t>
        </is>
      </c>
      <c r="B78" s="4" t="n">
        <v>3</v>
      </c>
      <c r="C78" s="4" t="inlineStr">
        <is>
          <t>Symbiosis</t>
        </is>
      </c>
      <c r="D78" s="4" t="inlineStr">
        <is>
          <t>venue</t>
        </is>
      </c>
      <c r="E78" s="19" t="n">
        <v>99.84001499999999</v>
      </c>
      <c r="F78" s="4" t="inlineStr">
        <is>
          <t>Across</t>
        </is>
      </c>
      <c r="G78" s="19" t="n">
        <v>96.510498</v>
      </c>
      <c r="H78" s="16">
        <f>(E78-G78)/100*10000</f>
        <v/>
      </c>
      <c r="I78" s="4" t="inlineStr"/>
      <c r="J78" s="4" t="inlineStr">
        <is>
          <t>2026-09-23T14:26:54.591Z</t>
        </is>
      </c>
      <c r="K78" s="4" t="inlineStr">
        <is>
          <t>2026-09-23T14:26:54.591Z</t>
        </is>
      </c>
      <c r="L78" s="13" t="n">
        <v>0</v>
      </c>
    </row>
    <row r="79">
      <c r="A79" s="4" t="inlineStr">
        <is>
          <t>ETH → SOL</t>
        </is>
      </c>
      <c r="B79" s="4" t="n">
        <v>1</v>
      </c>
      <c r="C79" s="4" t="inlineStr">
        <is>
          <t>OpenSea</t>
        </is>
      </c>
      <c r="D79" s="4" t="inlineStr">
        <is>
          <t>platform</t>
        </is>
      </c>
      <c r="E79" s="19" t="n">
        <v>99.85005</v>
      </c>
      <c r="F79" s="4" t="inlineStr">
        <is>
          <t>Allbridge Core</t>
        </is>
      </c>
      <c r="G79" s="19" t="n">
        <v>99.74590000000001</v>
      </c>
      <c r="H79" s="16">
        <f>(E79-G79)/100*10000</f>
        <v/>
      </c>
      <c r="I79" s="4" t="inlineStr">
        <is>
          <t>yes</t>
        </is>
      </c>
      <c r="J79" s="4" t="inlineStr">
        <is>
          <t>2026-09-23T14:19:28.697Z</t>
        </is>
      </c>
      <c r="K79" s="4" t="inlineStr">
        <is>
          <t>2026-09-23T14:19:28.701Z</t>
        </is>
      </c>
      <c r="L79" s="13" t="n">
        <v>0.004</v>
      </c>
    </row>
    <row r="80">
      <c r="A80" s="4" t="inlineStr">
        <is>
          <t>ETH → SOL</t>
        </is>
      </c>
      <c r="B80" s="4" t="n">
        <v>2</v>
      </c>
      <c r="C80" s="4" t="inlineStr">
        <is>
          <t>OpenSea</t>
        </is>
      </c>
      <c r="D80" s="4" t="inlineStr">
        <is>
          <t>platform</t>
        </is>
      </c>
      <c r="E80" s="19" t="n">
        <v>99.85005</v>
      </c>
      <c r="F80" s="4" t="inlineStr">
        <is>
          <t>Allbridge Core</t>
        </is>
      </c>
      <c r="G80" s="19" t="n">
        <v>99.7453</v>
      </c>
      <c r="H80" s="16">
        <f>(E80-G80)/100*10000</f>
        <v/>
      </c>
      <c r="I80" s="4" t="inlineStr">
        <is>
          <t>yes</t>
        </is>
      </c>
      <c r="J80" s="4" t="inlineStr">
        <is>
          <t>2026-09-23T14:23:47.144Z</t>
        </is>
      </c>
      <c r="K80" s="4" t="inlineStr">
        <is>
          <t>2026-09-23T14:23:47.145Z</t>
        </is>
      </c>
      <c r="L80" s="13" t="n">
        <v>0.001</v>
      </c>
    </row>
    <row r="81">
      <c r="A81" s="4" t="inlineStr">
        <is>
          <t>ETH → SOL</t>
        </is>
      </c>
      <c r="B81" s="4" t="n">
        <v>3</v>
      </c>
      <c r="C81" s="4" t="inlineStr">
        <is>
          <t>OpenSea</t>
        </is>
      </c>
      <c r="D81" s="4" t="inlineStr">
        <is>
          <t>platform</t>
        </is>
      </c>
      <c r="E81" s="19" t="n">
        <v>99.85005</v>
      </c>
      <c r="F81" s="4" t="inlineStr">
        <is>
          <t>Allbridge Core</t>
        </is>
      </c>
      <c r="G81" s="19" t="n">
        <v>99.7466</v>
      </c>
      <c r="H81" s="16">
        <f>(E81-G81)/100*10000</f>
        <v/>
      </c>
      <c r="I81" s="4" t="inlineStr">
        <is>
          <t>yes</t>
        </is>
      </c>
      <c r="J81" s="4" t="inlineStr">
        <is>
          <t>2026-09-23T14:27:28.356Z</t>
        </is>
      </c>
      <c r="K81" s="4" t="inlineStr">
        <is>
          <t>2026-09-23T14:27:28.357Z</t>
        </is>
      </c>
      <c r="L81" s="13" t="n">
        <v>0.001</v>
      </c>
    </row>
    <row r="82">
      <c r="A82" s="4" t="inlineStr">
        <is>
          <t>ETH → SOL</t>
        </is>
      </c>
      <c r="B82" s="4" t="n">
        <v>1</v>
      </c>
      <c r="C82" s="4" t="inlineStr">
        <is>
          <t>Relay</t>
        </is>
      </c>
      <c r="D82" s="4" t="inlineStr">
        <is>
          <t>venue</t>
        </is>
      </c>
      <c r="E82" s="19" t="n">
        <v>99.85005</v>
      </c>
      <c r="F82" s="4" t="inlineStr">
        <is>
          <t>Allbridge Core</t>
        </is>
      </c>
      <c r="G82" s="19" t="n">
        <v>99.94570299999999</v>
      </c>
      <c r="H82" s="16">
        <f>(E82-G82)/100*10000</f>
        <v/>
      </c>
      <c r="I82" s="4" t="inlineStr"/>
      <c r="J82" s="4" t="inlineStr">
        <is>
          <t>2026-09-23T14:19:28.697Z</t>
        </is>
      </c>
      <c r="K82" s="4" t="inlineStr">
        <is>
          <t>2026-09-23T14:19:28.698Z</t>
        </is>
      </c>
      <c r="L82" s="13" t="n">
        <v>0.001</v>
      </c>
    </row>
    <row r="83">
      <c r="A83" s="4" t="inlineStr">
        <is>
          <t>ETH → SOL</t>
        </is>
      </c>
      <c r="B83" s="4" t="n">
        <v>2</v>
      </c>
      <c r="C83" s="4" t="inlineStr">
        <is>
          <t>Relay</t>
        </is>
      </c>
      <c r="D83" s="4" t="inlineStr">
        <is>
          <t>venue</t>
        </is>
      </c>
      <c r="E83" s="19" t="n">
        <v>99.85005</v>
      </c>
      <c r="F83" s="4" t="inlineStr">
        <is>
          <t>Allbridge Core</t>
        </is>
      </c>
      <c r="G83" s="19" t="n">
        <v>99.945717</v>
      </c>
      <c r="H83" s="16">
        <f>(E83-G83)/100*10000</f>
        <v/>
      </c>
      <c r="I83" s="4" t="inlineStr"/>
      <c r="J83" s="4" t="inlineStr">
        <is>
          <t>2026-09-23T14:23:47.144Z</t>
        </is>
      </c>
      <c r="K83" s="4" t="inlineStr">
        <is>
          <t>2026-09-23T14:23:47.141Z</t>
        </is>
      </c>
      <c r="L83" s="13" t="n">
        <v>0.003</v>
      </c>
    </row>
    <row r="84">
      <c r="A84" s="4" t="inlineStr">
        <is>
          <t>ETH → SOL</t>
        </is>
      </c>
      <c r="B84" s="4" t="n">
        <v>3</v>
      </c>
      <c r="C84" s="4" t="inlineStr">
        <is>
          <t>Relay</t>
        </is>
      </c>
      <c r="D84" s="4" t="inlineStr">
        <is>
          <t>venue</t>
        </is>
      </c>
      <c r="E84" s="19" t="n">
        <v>99.85005</v>
      </c>
      <c r="F84" s="4" t="inlineStr">
        <is>
          <t>Allbridge Core</t>
        </is>
      </c>
      <c r="G84" s="19" t="n">
        <v>99.945713</v>
      </c>
      <c r="H84" s="16">
        <f>(E84-G84)/100*10000</f>
        <v/>
      </c>
      <c r="I84" s="4" t="inlineStr"/>
      <c r="J84" s="4" t="inlineStr">
        <is>
          <t>2026-09-23T14:27:28.356Z</t>
        </is>
      </c>
      <c r="K84" s="4" t="inlineStr">
        <is>
          <t>2026-09-23T14:27:28.355Z</t>
        </is>
      </c>
      <c r="L84" s="13" t="n">
        <v>0.001</v>
      </c>
    </row>
    <row r="85">
      <c r="A85" s="4" t="inlineStr">
        <is>
          <t>ETH → SOL</t>
        </is>
      </c>
      <c r="B85" s="4" t="n">
        <v>1</v>
      </c>
      <c r="C85" s="4" t="inlineStr">
        <is>
          <t>deBridge</t>
        </is>
      </c>
      <c r="D85" s="4" t="inlineStr">
        <is>
          <t>venue</t>
        </is>
      </c>
      <c r="E85" s="19" t="n">
        <v>99.85005</v>
      </c>
      <c r="F85" s="4" t="inlineStr">
        <is>
          <t>Allbridge Core</t>
        </is>
      </c>
      <c r="G85" s="19" t="n">
        <v>97.955018</v>
      </c>
      <c r="H85" s="16">
        <f>(E85-G85)/100*10000</f>
        <v/>
      </c>
      <c r="I85" s="4" t="inlineStr"/>
      <c r="J85" s="4" t="inlineStr">
        <is>
          <t>2026-09-23T14:19:28.697Z</t>
        </is>
      </c>
      <c r="K85" s="4" t="inlineStr">
        <is>
          <t>2026-09-23T14:19:28.698Z</t>
        </is>
      </c>
      <c r="L85" s="13" t="n">
        <v>0.001</v>
      </c>
    </row>
    <row r="86">
      <c r="A86" s="4" t="inlineStr">
        <is>
          <t>ETH → SOL</t>
        </is>
      </c>
      <c r="B86" s="4" t="n">
        <v>2</v>
      </c>
      <c r="C86" s="4" t="inlineStr">
        <is>
          <t>deBridge</t>
        </is>
      </c>
      <c r="D86" s="4" t="inlineStr">
        <is>
          <t>venue</t>
        </is>
      </c>
      <c r="E86" s="19" t="n">
        <v>99.85005</v>
      </c>
      <c r="F86" s="4" t="inlineStr">
        <is>
          <t>Allbridge Core</t>
        </is>
      </c>
      <c r="G86" s="19" t="n">
        <v>97.835618</v>
      </c>
      <c r="H86" s="16">
        <f>(E86-G86)/100*10000</f>
        <v/>
      </c>
      <c r="I86" s="4" t="inlineStr"/>
      <c r="J86" s="4" t="inlineStr">
        <is>
          <t>2026-09-23T14:23:47.144Z</t>
        </is>
      </c>
      <c r="K86" s="4" t="inlineStr">
        <is>
          <t>2026-09-23T14:23:47.140Z</t>
        </is>
      </c>
      <c r="L86" s="13" t="n">
        <v>0.004</v>
      </c>
    </row>
    <row r="87">
      <c r="A87" s="4" t="inlineStr">
        <is>
          <t>ETH → SOL</t>
        </is>
      </c>
      <c r="B87" s="4" t="n">
        <v>3</v>
      </c>
      <c r="C87" s="4" t="inlineStr">
        <is>
          <t>deBridge</t>
        </is>
      </c>
      <c r="D87" s="4" t="inlineStr">
        <is>
          <t>venue</t>
        </is>
      </c>
      <c r="E87" s="19" t="n">
        <v>99.85005</v>
      </c>
      <c r="F87" s="4" t="inlineStr">
        <is>
          <t>Allbridge Core</t>
        </is>
      </c>
      <c r="G87" s="19" t="n">
        <v>93.263435</v>
      </c>
      <c r="H87" s="16">
        <f>(E87-G87)/100*10000</f>
        <v/>
      </c>
      <c r="I87" s="4" t="inlineStr"/>
      <c r="J87" s="4" t="inlineStr">
        <is>
          <t>2026-09-23T14:27:28.356Z</t>
        </is>
      </c>
      <c r="K87" s="4" t="inlineStr">
        <is>
          <t>2026-09-23T14:27:28.355Z</t>
        </is>
      </c>
      <c r="L87" s="13" t="n">
        <v>0.001</v>
      </c>
    </row>
    <row r="88">
      <c r="A88" s="4" t="inlineStr">
        <is>
          <t>ETH → SOL</t>
        </is>
      </c>
      <c r="B88" s="4" t="n">
        <v>1</v>
      </c>
      <c r="C88" s="4" t="inlineStr">
        <is>
          <t>LI.FI (Jumper)</t>
        </is>
      </c>
      <c r="D88" s="4" t="inlineStr">
        <is>
          <t>venue</t>
        </is>
      </c>
      <c r="E88" s="19" t="n">
        <v>99.85005</v>
      </c>
      <c r="F88" s="4" t="inlineStr">
        <is>
          <t>Allbridge Core</t>
        </is>
      </c>
      <c r="G88" s="19" t="n">
        <v>99.94570299999999</v>
      </c>
      <c r="H88" s="16">
        <f>(E88-G88)/100*10000</f>
        <v/>
      </c>
      <c r="I88" s="4" t="inlineStr"/>
      <c r="J88" s="4" t="inlineStr">
        <is>
          <t>2026-09-23T14:19:28.697Z</t>
        </is>
      </c>
      <c r="K88" s="4" t="inlineStr">
        <is>
          <t>2026-09-23T14:19:28.698Z</t>
        </is>
      </c>
      <c r="L88" s="13" t="n">
        <v>0.001</v>
      </c>
    </row>
    <row r="89">
      <c r="A89" s="4" t="inlineStr">
        <is>
          <t>ETH → SOL</t>
        </is>
      </c>
      <c r="B89" s="4" t="n">
        <v>2</v>
      </c>
      <c r="C89" s="4" t="inlineStr">
        <is>
          <t>LI.FI (Jumper)</t>
        </is>
      </c>
      <c r="D89" s="4" t="inlineStr">
        <is>
          <t>venue</t>
        </is>
      </c>
      <c r="E89" s="19" t="n">
        <v>99.85005</v>
      </c>
      <c r="F89" s="4" t="inlineStr">
        <is>
          <t>Allbridge Core</t>
        </is>
      </c>
      <c r="G89" s="19" t="n">
        <v>99.945717</v>
      </c>
      <c r="H89" s="16">
        <f>(E89-G89)/100*10000</f>
        <v/>
      </c>
      <c r="I89" s="4" t="inlineStr"/>
      <c r="J89" s="4" t="inlineStr">
        <is>
          <t>2026-09-23T14:23:47.144Z</t>
        </is>
      </c>
      <c r="K89" s="4" t="inlineStr">
        <is>
          <t>2026-09-23T14:23:47.142Z</t>
        </is>
      </c>
      <c r="L89" s="13" t="n">
        <v>0.002</v>
      </c>
    </row>
    <row r="90">
      <c r="A90" s="4" t="inlineStr">
        <is>
          <t>ETH → SOL</t>
        </is>
      </c>
      <c r="B90" s="4" t="n">
        <v>3</v>
      </c>
      <c r="C90" s="4" t="inlineStr">
        <is>
          <t>LI.FI (Jumper)</t>
        </is>
      </c>
      <c r="D90" s="4" t="inlineStr">
        <is>
          <t>venue</t>
        </is>
      </c>
      <c r="E90" s="19" t="n">
        <v>99.85005</v>
      </c>
      <c r="F90" s="4" t="inlineStr">
        <is>
          <t>Allbridge Core</t>
        </is>
      </c>
      <c r="G90" s="19" t="n">
        <v>99.945713</v>
      </c>
      <c r="H90" s="16">
        <f>(E90-G90)/100*10000</f>
        <v/>
      </c>
      <c r="I90" s="4" t="inlineStr"/>
      <c r="J90" s="4" t="inlineStr">
        <is>
          <t>2026-09-23T14:27:28.356Z</t>
        </is>
      </c>
      <c r="K90" s="4" t="inlineStr">
        <is>
          <t>2026-09-23T14:27:28.356Z</t>
        </is>
      </c>
      <c r="L90" s="13" t="n">
        <v>0</v>
      </c>
    </row>
    <row r="91">
      <c r="A91" s="4" t="inlineStr">
        <is>
          <t>ETH → SOL</t>
        </is>
      </c>
      <c r="B91" s="4" t="n">
        <v>1</v>
      </c>
      <c r="C91" s="4" t="inlineStr">
        <is>
          <t>Across</t>
        </is>
      </c>
      <c r="D91" s="4" t="inlineStr">
        <is>
          <t>venue</t>
        </is>
      </c>
      <c r="E91" s="19" t="n">
        <v>99.85005</v>
      </c>
      <c r="F91" s="4" t="inlineStr">
        <is>
          <t>Allbridge Core</t>
        </is>
      </c>
      <c r="G91" s="19" t="n">
        <v>99.98999999999999</v>
      </c>
      <c r="H91" s="16">
        <f>(E91-G91)/100*10000</f>
        <v/>
      </c>
      <c r="I91" s="4" t="inlineStr"/>
      <c r="J91" s="4" t="inlineStr">
        <is>
          <t>2026-09-23T14:19:28.697Z</t>
        </is>
      </c>
      <c r="K91" s="4" t="inlineStr">
        <is>
          <t>2026-09-23T14:19:28.697Z</t>
        </is>
      </c>
      <c r="L91" s="13" t="n">
        <v>0</v>
      </c>
    </row>
    <row r="92">
      <c r="A92" s="4" t="inlineStr">
        <is>
          <t>ETH → SOL</t>
        </is>
      </c>
      <c r="B92" s="4" t="n">
        <v>2</v>
      </c>
      <c r="C92" s="4" t="inlineStr">
        <is>
          <t>Across</t>
        </is>
      </c>
      <c r="D92" s="4" t="inlineStr">
        <is>
          <t>venue</t>
        </is>
      </c>
      <c r="E92" s="19" t="n">
        <v>99.85005</v>
      </c>
      <c r="F92" s="4" t="inlineStr">
        <is>
          <t>Allbridge Core</t>
        </is>
      </c>
      <c r="G92" s="19" t="n">
        <v>99.98999999999999</v>
      </c>
      <c r="H92" s="16">
        <f>(E92-G92)/100*10000</f>
        <v/>
      </c>
      <c r="I92" s="4" t="inlineStr"/>
      <c r="J92" s="4" t="inlineStr">
        <is>
          <t>2026-09-23T14:23:47.144Z</t>
        </is>
      </c>
      <c r="K92" s="4" t="inlineStr">
        <is>
          <t>2026-09-23T14:23:47.139Z</t>
        </is>
      </c>
      <c r="L92" s="13" t="n">
        <v>0.005</v>
      </c>
    </row>
    <row r="93">
      <c r="A93" s="4" t="inlineStr">
        <is>
          <t>ETH → SOL</t>
        </is>
      </c>
      <c r="B93" s="4" t="n">
        <v>3</v>
      </c>
      <c r="C93" s="4" t="inlineStr">
        <is>
          <t>Across</t>
        </is>
      </c>
      <c r="D93" s="4" t="inlineStr">
        <is>
          <t>venue</t>
        </is>
      </c>
      <c r="E93" s="19" t="n">
        <v>99.85005</v>
      </c>
      <c r="F93" s="4" t="inlineStr">
        <is>
          <t>Allbridge Core</t>
        </is>
      </c>
      <c r="G93" s="19" t="n">
        <v>99.98999999999999</v>
      </c>
      <c r="H93" s="16">
        <f>(E93-G93)/100*10000</f>
        <v/>
      </c>
      <c r="I93" s="4" t="inlineStr"/>
      <c r="J93" s="4" t="inlineStr">
        <is>
          <t>2026-09-23T14:27:28.356Z</t>
        </is>
      </c>
      <c r="K93" s="4" t="inlineStr">
        <is>
          <t>2026-09-23T14:27:28.355Z</t>
        </is>
      </c>
      <c r="L93" s="13" t="n">
        <v>0.001</v>
      </c>
    </row>
    <row r="94">
      <c r="A94" s="4" t="inlineStr">
        <is>
          <t>ETH → SOL</t>
        </is>
      </c>
      <c r="B94" s="4" t="n">
        <v>1</v>
      </c>
      <c r="C94" s="4" t="inlineStr">
        <is>
          <t>Mayan</t>
        </is>
      </c>
      <c r="D94" s="4" t="inlineStr">
        <is>
          <t>venue</t>
        </is>
      </c>
      <c r="E94" s="19" t="n">
        <v>99.85005</v>
      </c>
      <c r="F94" s="4" t="inlineStr">
        <is>
          <t>Allbridge Core</t>
        </is>
      </c>
      <c r="G94" s="19" t="n">
        <v>99.0127</v>
      </c>
      <c r="H94" s="16">
        <f>(E94-G94)/100*10000</f>
        <v/>
      </c>
      <c r="I94" s="4" t="inlineStr"/>
      <c r="J94" s="4" t="inlineStr">
        <is>
          <t>2026-09-23T14:19:28.697Z</t>
        </is>
      </c>
      <c r="K94" s="4" t="inlineStr">
        <is>
          <t>2026-09-23T14:19:28.698Z</t>
        </is>
      </c>
      <c r="L94" s="13" t="n">
        <v>0.001</v>
      </c>
    </row>
    <row r="95">
      <c r="A95" s="4" t="inlineStr">
        <is>
          <t>ETH → SOL</t>
        </is>
      </c>
      <c r="B95" s="4" t="n">
        <v>2</v>
      </c>
      <c r="C95" s="4" t="inlineStr">
        <is>
          <t>Mayan</t>
        </is>
      </c>
      <c r="D95" s="4" t="inlineStr">
        <is>
          <t>venue</t>
        </is>
      </c>
      <c r="E95" s="19" t="n">
        <v>99.85005</v>
      </c>
      <c r="F95" s="4" t="inlineStr">
        <is>
          <t>Allbridge Core</t>
        </is>
      </c>
      <c r="G95" s="19" t="n">
        <v>98.9619</v>
      </c>
      <c r="H95" s="16">
        <f>(E95-G95)/100*10000</f>
        <v/>
      </c>
      <c r="I95" s="4" t="inlineStr"/>
      <c r="J95" s="4" t="inlineStr">
        <is>
          <t>2026-09-23T14:23:47.144Z</t>
        </is>
      </c>
      <c r="K95" s="4" t="inlineStr">
        <is>
          <t>2026-09-23T14:23:47.140Z</t>
        </is>
      </c>
      <c r="L95" s="13" t="n">
        <v>0.004</v>
      </c>
    </row>
    <row r="96">
      <c r="A96" s="4" t="inlineStr">
        <is>
          <t>ETH → SOL</t>
        </is>
      </c>
      <c r="B96" s="4" t="n">
        <v>3</v>
      </c>
      <c r="C96" s="4" t="inlineStr">
        <is>
          <t>Mayan</t>
        </is>
      </c>
      <c r="D96" s="4" t="inlineStr">
        <is>
          <t>venue</t>
        </is>
      </c>
      <c r="E96" s="19" t="n">
        <v>99.85005</v>
      </c>
      <c r="F96" s="4" t="inlineStr">
        <is>
          <t>Allbridge Core</t>
        </is>
      </c>
      <c r="G96" s="19" t="n">
        <v>99.0287</v>
      </c>
      <c r="H96" s="16">
        <f>(E96-G96)/100*10000</f>
        <v/>
      </c>
      <c r="I96" s="4" t="inlineStr"/>
      <c r="J96" s="4" t="inlineStr">
        <is>
          <t>2026-09-23T14:27:28.356Z</t>
        </is>
      </c>
      <c r="K96" s="4" t="inlineStr">
        <is>
          <t>2026-09-23T14:27:28.354Z</t>
        </is>
      </c>
      <c r="L96" s="13" t="n">
        <v>0.002</v>
      </c>
    </row>
    <row r="97">
      <c r="A97" s="4" t="inlineStr">
        <is>
          <t>ETH → SOL</t>
        </is>
      </c>
      <c r="B97" s="4" t="n">
        <v>1</v>
      </c>
      <c r="C97" s="4" t="inlineStr">
        <is>
          <t>Allbridge Core</t>
        </is>
      </c>
      <c r="D97" s="4" t="inlineStr">
        <is>
          <t>venue</t>
        </is>
      </c>
      <c r="E97" s="19" t="n">
        <v>99.85005</v>
      </c>
      <c r="F97" s="4" t="inlineStr">
        <is>
          <t>Allbridge Core</t>
        </is>
      </c>
      <c r="G97" s="19" t="n">
        <v>99.90000000000001</v>
      </c>
      <c r="H97" s="16">
        <f>(E97-G97)/100*10000</f>
        <v/>
      </c>
      <c r="I97" s="4" t="inlineStr">
        <is>
          <t>yes</t>
        </is>
      </c>
      <c r="J97" s="4" t="inlineStr">
        <is>
          <t>2026-09-23T14:19:28.697Z</t>
        </is>
      </c>
      <c r="K97" s="4" t="inlineStr">
        <is>
          <t>2026-09-23T14:19:28.697Z</t>
        </is>
      </c>
      <c r="L97" s="13" t="n">
        <v>0</v>
      </c>
    </row>
    <row r="98">
      <c r="A98" s="4" t="inlineStr">
        <is>
          <t>ETH → SOL</t>
        </is>
      </c>
      <c r="B98" s="4" t="n">
        <v>2</v>
      </c>
      <c r="C98" s="4" t="inlineStr">
        <is>
          <t>Allbridge Core</t>
        </is>
      </c>
      <c r="D98" s="4" t="inlineStr">
        <is>
          <t>venue</t>
        </is>
      </c>
      <c r="E98" s="19" t="n">
        <v>99.85005</v>
      </c>
      <c r="F98" s="4" t="inlineStr">
        <is>
          <t>Allbridge Core</t>
        </is>
      </c>
      <c r="G98" s="19" t="n">
        <v>99.90000000000001</v>
      </c>
      <c r="H98" s="16">
        <f>(E98-G98)/100*10000</f>
        <v/>
      </c>
      <c r="I98" s="4" t="inlineStr">
        <is>
          <t>yes</t>
        </is>
      </c>
      <c r="J98" s="4" t="inlineStr">
        <is>
          <t>2026-09-23T14:23:47.144Z</t>
        </is>
      </c>
      <c r="K98" s="4" t="inlineStr">
        <is>
          <t>2026-09-23T14:23:47.139Z</t>
        </is>
      </c>
      <c r="L98" s="13" t="n">
        <v>0.005</v>
      </c>
    </row>
    <row r="99">
      <c r="A99" s="4" t="inlineStr">
        <is>
          <t>ETH → SOL</t>
        </is>
      </c>
      <c r="B99" s="4" t="n">
        <v>3</v>
      </c>
      <c r="C99" s="4" t="inlineStr">
        <is>
          <t>Allbridge Core</t>
        </is>
      </c>
      <c r="D99" s="4" t="inlineStr">
        <is>
          <t>venue</t>
        </is>
      </c>
      <c r="E99" s="19" t="n">
        <v>99.85005</v>
      </c>
      <c r="F99" s="4" t="inlineStr">
        <is>
          <t>Allbridge Core</t>
        </is>
      </c>
      <c r="G99" s="19" t="n">
        <v>99.90000000000001</v>
      </c>
      <c r="H99" s="16">
        <f>(E99-G99)/100*10000</f>
        <v/>
      </c>
      <c r="I99" s="4" t="inlineStr">
        <is>
          <t>yes</t>
        </is>
      </c>
      <c r="J99" s="4" t="inlineStr">
        <is>
          <t>2026-09-23T14:27:28.356Z</t>
        </is>
      </c>
      <c r="K99" s="4" t="inlineStr">
        <is>
          <t>2026-09-23T14:27:28.354Z</t>
        </is>
      </c>
      <c r="L99" s="13" t="n">
        <v>0.002</v>
      </c>
    </row>
    <row r="100">
      <c r="A100" s="4" t="inlineStr">
        <is>
          <t>ETH → SOL</t>
        </is>
      </c>
      <c r="B100" s="4" t="n">
        <v>1</v>
      </c>
      <c r="C100" s="4" t="inlineStr">
        <is>
          <t>CCTP (via Portal)</t>
        </is>
      </c>
      <c r="D100" s="4" t="inlineStr">
        <is>
          <t>venue</t>
        </is>
      </c>
      <c r="E100" s="19" t="n">
        <v>99.85005</v>
      </c>
      <c r="F100" s="4" t="inlineStr">
        <is>
          <t>Allbridge Core</t>
        </is>
      </c>
      <c r="G100" s="19" t="n">
        <v>99.980001</v>
      </c>
      <c r="H100" s="16">
        <f>(E100-G100)/100*10000</f>
        <v/>
      </c>
      <c r="I100" s="4" t="inlineStr"/>
      <c r="J100" s="4" t="inlineStr">
        <is>
          <t>2026-09-23T14:19:28.697Z</t>
        </is>
      </c>
      <c r="K100" s="4" t="inlineStr">
        <is>
          <t>2026-09-23T14:19:28.696Z</t>
        </is>
      </c>
      <c r="L100" s="13" t="n">
        <v>0.001</v>
      </c>
    </row>
    <row r="101">
      <c r="A101" s="4" t="inlineStr">
        <is>
          <t>ETH → SOL</t>
        </is>
      </c>
      <c r="B101" s="4" t="n">
        <v>2</v>
      </c>
      <c r="C101" s="4" t="inlineStr">
        <is>
          <t>CCTP (via Portal)</t>
        </is>
      </c>
      <c r="D101" s="4" t="inlineStr">
        <is>
          <t>venue</t>
        </is>
      </c>
      <c r="E101" s="19" t="n">
        <v>99.85005</v>
      </c>
      <c r="F101" s="4" t="inlineStr">
        <is>
          <t>Allbridge Core</t>
        </is>
      </c>
      <c r="G101" s="19" t="n">
        <v>99.980001</v>
      </c>
      <c r="H101" s="16">
        <f>(E101-G101)/100*10000</f>
        <v/>
      </c>
      <c r="I101" s="4" t="inlineStr"/>
      <c r="J101" s="4" t="inlineStr">
        <is>
          <t>2026-09-23T14:23:47.144Z</t>
        </is>
      </c>
      <c r="K101" s="4" t="inlineStr">
        <is>
          <t>2026-09-23T14:23:47.145Z</t>
        </is>
      </c>
      <c r="L101" s="13" t="n">
        <v>0.001</v>
      </c>
    </row>
    <row r="102">
      <c r="A102" s="4" t="inlineStr">
        <is>
          <t>ETH → SOL</t>
        </is>
      </c>
      <c r="B102" s="4" t="n">
        <v>3</v>
      </c>
      <c r="C102" s="4" t="inlineStr">
        <is>
          <t>CCTP (via Portal)</t>
        </is>
      </c>
      <c r="D102" s="4" t="inlineStr">
        <is>
          <t>venue</t>
        </is>
      </c>
      <c r="E102" s="19" t="n">
        <v>99.85005</v>
      </c>
      <c r="F102" s="4" t="inlineStr">
        <is>
          <t>Allbridge Core</t>
        </is>
      </c>
      <c r="G102" s="19" t="n">
        <v>99.980001</v>
      </c>
      <c r="H102" s="16">
        <f>(E102-G102)/100*10000</f>
        <v/>
      </c>
      <c r="I102" s="4" t="inlineStr"/>
      <c r="J102" s="4" t="inlineStr">
        <is>
          <t>2026-09-23T14:27:28.356Z</t>
        </is>
      </c>
      <c r="K102" s="4" t="inlineStr">
        <is>
          <t>2026-09-23T14:27:28.353Z</t>
        </is>
      </c>
      <c r="L102" s="13" t="n">
        <v>0.003</v>
      </c>
    </row>
    <row r="103">
      <c r="A103" s="4" t="inlineStr">
        <is>
          <t>ETH → SOL</t>
        </is>
      </c>
      <c r="B103" s="4" t="n">
        <v>1</v>
      </c>
      <c r="C103" s="4" t="inlineStr">
        <is>
          <t>Husher</t>
        </is>
      </c>
      <c r="D103" s="4" t="inlineStr">
        <is>
          <t>venue</t>
        </is>
      </c>
      <c r="E103" s="19" t="n">
        <v>99.85005</v>
      </c>
      <c r="F103" s="4" t="inlineStr">
        <is>
          <t>Allbridge Core</t>
        </is>
      </c>
      <c r="G103" s="19" t="n">
        <v>99.34999999999999</v>
      </c>
      <c r="H103" s="16">
        <f>(E103-G103)/100*10000</f>
        <v/>
      </c>
      <c r="I103" s="4" t="inlineStr"/>
      <c r="J103" s="4" t="inlineStr">
        <is>
          <t>2026-09-23T14:19:28.697Z</t>
        </is>
      </c>
      <c r="K103" s="4" t="inlineStr">
        <is>
          <t>2026-09-23T14:19:28.696Z</t>
        </is>
      </c>
      <c r="L103" s="13" t="n">
        <v>0.001</v>
      </c>
    </row>
    <row r="104">
      <c r="A104" s="4" t="inlineStr">
        <is>
          <t>ETH → SOL</t>
        </is>
      </c>
      <c r="B104" s="4" t="n">
        <v>2</v>
      </c>
      <c r="C104" s="4" t="inlineStr">
        <is>
          <t>Husher</t>
        </is>
      </c>
      <c r="D104" s="4" t="inlineStr">
        <is>
          <t>venue</t>
        </is>
      </c>
      <c r="E104" s="19" t="n">
        <v>99.85005</v>
      </c>
      <c r="F104" s="4" t="inlineStr">
        <is>
          <t>Allbridge Core</t>
        </is>
      </c>
      <c r="G104" s="19" t="n">
        <v>99.34999999999999</v>
      </c>
      <c r="H104" s="16">
        <f>(E104-G104)/100*10000</f>
        <v/>
      </c>
      <c r="I104" s="4" t="inlineStr"/>
      <c r="J104" s="4" t="inlineStr">
        <is>
          <t>2026-09-23T14:23:47.144Z</t>
        </is>
      </c>
      <c r="K104" s="4" t="inlineStr">
        <is>
          <t>2026-09-23T14:23:47.140Z</t>
        </is>
      </c>
      <c r="L104" s="13" t="n">
        <v>0.004</v>
      </c>
    </row>
    <row r="105">
      <c r="A105" s="4" t="inlineStr">
        <is>
          <t>ETH → SOL</t>
        </is>
      </c>
      <c r="B105" s="4" t="n">
        <v>3</v>
      </c>
      <c r="C105" s="4" t="inlineStr">
        <is>
          <t>Husher</t>
        </is>
      </c>
      <c r="D105" s="4" t="inlineStr">
        <is>
          <t>venue</t>
        </is>
      </c>
      <c r="E105" s="19" t="n">
        <v>99.85005</v>
      </c>
      <c r="F105" s="4" t="inlineStr">
        <is>
          <t>Allbridge Core</t>
        </is>
      </c>
      <c r="G105" s="19" t="n">
        <v>99.34999999999999</v>
      </c>
      <c r="H105" s="16">
        <f>(E105-G105)/100*10000</f>
        <v/>
      </c>
      <c r="I105" s="4" t="inlineStr"/>
      <c r="J105" s="4" t="inlineStr">
        <is>
          <t>2026-09-23T14:27:28.356Z</t>
        </is>
      </c>
      <c r="K105" s="4" t="inlineStr">
        <is>
          <t>2026-09-23T14:27:28.354Z</t>
        </is>
      </c>
      <c r="L105" s="13" t="n">
        <v>0.002</v>
      </c>
    </row>
    <row r="106">
      <c r="A106" s="4" t="inlineStr">
        <is>
          <t>ETH → SOL</t>
        </is>
      </c>
      <c r="B106" s="4" t="n">
        <v>1</v>
      </c>
      <c r="C106" s="4" t="inlineStr">
        <is>
          <t>Layerswap</t>
        </is>
      </c>
      <c r="D106" s="4" t="inlineStr">
        <is>
          <t>venue</t>
        </is>
      </c>
      <c r="E106" s="19" t="n">
        <v>99.85005</v>
      </c>
      <c r="F106" s="4" t="inlineStr">
        <is>
          <t>Allbridge Core</t>
        </is>
      </c>
      <c r="G106" s="19" t="n">
        <v>99.68124899999999</v>
      </c>
      <c r="H106" s="16">
        <f>(E106-G106)/100*10000</f>
        <v/>
      </c>
      <c r="I106" s="4" t="inlineStr"/>
      <c r="J106" s="4" t="inlineStr">
        <is>
          <t>2026-09-23T14:19:28.697Z</t>
        </is>
      </c>
      <c r="K106" s="4" t="inlineStr">
        <is>
          <t>2026-09-23T14:19:28.699Z</t>
        </is>
      </c>
      <c r="L106" s="13" t="n">
        <v>0.002</v>
      </c>
    </row>
    <row r="107">
      <c r="A107" s="4" t="inlineStr">
        <is>
          <t>ETH → SOL</t>
        </is>
      </c>
      <c r="B107" s="4" t="n">
        <v>2</v>
      </c>
      <c r="C107" s="4" t="inlineStr">
        <is>
          <t>Layerswap</t>
        </is>
      </c>
      <c r="D107" s="4" t="inlineStr">
        <is>
          <t>venue</t>
        </is>
      </c>
      <c r="E107" s="19" t="n">
        <v>99.85005</v>
      </c>
      <c r="F107" s="4" t="inlineStr">
        <is>
          <t>Allbridge Core</t>
        </is>
      </c>
      <c r="G107" s="19" t="n">
        <v>99.682776</v>
      </c>
      <c r="H107" s="16">
        <f>(E107-G107)/100*10000</f>
        <v/>
      </c>
      <c r="I107" s="4" t="inlineStr"/>
      <c r="J107" s="4" t="inlineStr">
        <is>
          <t>2026-09-23T14:23:47.144Z</t>
        </is>
      </c>
      <c r="K107" s="4" t="inlineStr">
        <is>
          <t>2026-09-23T14:23:47.143Z</t>
        </is>
      </c>
      <c r="L107" s="13" t="n">
        <v>0.001</v>
      </c>
    </row>
    <row r="108">
      <c r="A108" s="4" t="inlineStr">
        <is>
          <t>ETH → SOL</t>
        </is>
      </c>
      <c r="B108" s="4" t="n">
        <v>3</v>
      </c>
      <c r="C108" s="4" t="inlineStr">
        <is>
          <t>Layerswap</t>
        </is>
      </c>
      <c r="D108" s="4" t="inlineStr">
        <is>
          <t>venue</t>
        </is>
      </c>
      <c r="E108" s="19" t="n">
        <v>99.85005</v>
      </c>
      <c r="F108" s="4" t="inlineStr">
        <is>
          <t>Allbridge Core</t>
        </is>
      </c>
      <c r="G108" s="19" t="n">
        <v>99.682757</v>
      </c>
      <c r="H108" s="16">
        <f>(E108-G108)/100*10000</f>
        <v/>
      </c>
      <c r="I108" s="4" t="inlineStr"/>
      <c r="J108" s="4" t="inlineStr">
        <is>
          <t>2026-09-23T14:27:28.356Z</t>
        </is>
      </c>
      <c r="K108" s="4" t="inlineStr">
        <is>
          <t>2026-09-23T14:27:28.356Z</t>
        </is>
      </c>
      <c r="L108" s="13" t="n">
        <v>0</v>
      </c>
    </row>
    <row r="109">
      <c r="A109" s="4" t="inlineStr">
        <is>
          <t>ETH → SOL</t>
        </is>
      </c>
      <c r="B109" s="4" t="n">
        <v>1</v>
      </c>
      <c r="C109" s="4" t="inlineStr">
        <is>
          <t>Meson</t>
        </is>
      </c>
      <c r="D109" s="4" t="inlineStr">
        <is>
          <t>venue</t>
        </is>
      </c>
      <c r="E109" s="19" t="n">
        <v>99.85005</v>
      </c>
      <c r="F109" s="4" t="inlineStr">
        <is>
          <t>Allbridge Core</t>
        </is>
      </c>
      <c r="G109" s="19" t="n">
        <v>99.09999999999999</v>
      </c>
      <c r="H109" s="16">
        <f>(E109-G109)/100*10000</f>
        <v/>
      </c>
      <c r="I109" s="4" t="inlineStr"/>
      <c r="J109" s="4" t="inlineStr">
        <is>
          <t>2026-09-23T14:19:28.697Z</t>
        </is>
      </c>
      <c r="K109" s="4" t="inlineStr">
        <is>
          <t>2026-09-23T14:19:28.696Z</t>
        </is>
      </c>
      <c r="L109" s="13" t="n">
        <v>0.001</v>
      </c>
    </row>
    <row r="110">
      <c r="A110" s="4" t="inlineStr">
        <is>
          <t>ETH → SOL</t>
        </is>
      </c>
      <c r="B110" s="4" t="n">
        <v>2</v>
      </c>
      <c r="C110" s="4" t="inlineStr">
        <is>
          <t>Meson</t>
        </is>
      </c>
      <c r="D110" s="4" t="inlineStr">
        <is>
          <t>venue</t>
        </is>
      </c>
      <c r="E110" s="19" t="n">
        <v>99.85005</v>
      </c>
      <c r="F110" s="4" t="inlineStr">
        <is>
          <t>Allbridge Core</t>
        </is>
      </c>
      <c r="G110" s="19" t="n">
        <v>99.09999999999999</v>
      </c>
      <c r="H110" s="16">
        <f>(E110-G110)/100*10000</f>
        <v/>
      </c>
      <c r="I110" s="4" t="inlineStr"/>
      <c r="J110" s="4" t="inlineStr">
        <is>
          <t>2026-09-23T14:23:47.144Z</t>
        </is>
      </c>
      <c r="K110" s="4" t="inlineStr">
        <is>
          <t>2026-09-23T14:23:47.137Z</t>
        </is>
      </c>
      <c r="L110" s="13" t="n">
        <v>0.007</v>
      </c>
    </row>
    <row r="111">
      <c r="A111" s="4" t="inlineStr">
        <is>
          <t>ETH → SOL</t>
        </is>
      </c>
      <c r="B111" s="4" t="n">
        <v>3</v>
      </c>
      <c r="C111" s="4" t="inlineStr">
        <is>
          <t>Meson</t>
        </is>
      </c>
      <c r="D111" s="4" t="inlineStr">
        <is>
          <t>venue</t>
        </is>
      </c>
      <c r="E111" s="19" t="n">
        <v>99.85005</v>
      </c>
      <c r="F111" s="4" t="inlineStr">
        <is>
          <t>Allbridge Core</t>
        </is>
      </c>
      <c r="G111" s="19" t="n">
        <v>99.09999999999999</v>
      </c>
      <c r="H111" s="16">
        <f>(E111-G111)/100*10000</f>
        <v/>
      </c>
      <c r="I111" s="4" t="inlineStr"/>
      <c r="J111" s="4" t="inlineStr">
        <is>
          <t>2026-09-23T14:27:28.356Z</t>
        </is>
      </c>
      <c r="K111" s="4" t="inlineStr">
        <is>
          <t>2026-09-23T14:27:28.354Z</t>
        </is>
      </c>
      <c r="L111" s="13" t="n">
        <v>0.002</v>
      </c>
    </row>
    <row r="112">
      <c r="A112" s="4" t="inlineStr">
        <is>
          <t>ETH → SOL</t>
        </is>
      </c>
      <c r="B112" s="4" t="n">
        <v>1</v>
      </c>
      <c r="C112" s="4" t="inlineStr">
        <is>
          <t>SimpleSwap</t>
        </is>
      </c>
      <c r="D112" s="4" t="inlineStr">
        <is>
          <t>venue</t>
        </is>
      </c>
      <c r="E112" s="19" t="n">
        <v>99.85005</v>
      </c>
      <c r="F112" s="4" t="inlineStr">
        <is>
          <t>Allbridge Core</t>
        </is>
      </c>
      <c r="G112" s="19" t="n">
        <v>98.482157</v>
      </c>
      <c r="H112" s="16">
        <f>(E112-G112)/100*10000</f>
        <v/>
      </c>
      <c r="I112" s="4" t="inlineStr"/>
      <c r="J112" s="4" t="inlineStr">
        <is>
          <t>2026-09-23T14:19:28.697Z</t>
        </is>
      </c>
      <c r="K112" s="4" t="inlineStr">
        <is>
          <t>2026-09-23T14:19:28.702Z</t>
        </is>
      </c>
      <c r="L112" s="13" t="n">
        <v>0.005</v>
      </c>
    </row>
    <row r="113">
      <c r="A113" s="4" t="inlineStr">
        <is>
          <t>ETH → SOL</t>
        </is>
      </c>
      <c r="B113" s="4" t="n">
        <v>3</v>
      </c>
      <c r="C113" s="4" t="inlineStr">
        <is>
          <t>SimpleSwap</t>
        </is>
      </c>
      <c r="D113" s="4" t="inlineStr">
        <is>
          <t>venue</t>
        </is>
      </c>
      <c r="E113" s="19" t="n">
        <v>99.85005</v>
      </c>
      <c r="F113" s="4" t="inlineStr">
        <is>
          <t>Allbridge Core</t>
        </is>
      </c>
      <c r="G113" s="19" t="n">
        <v>98.479738</v>
      </c>
      <c r="H113" s="16">
        <f>(E113-G113)/100*10000</f>
        <v/>
      </c>
      <c r="I113" s="4" t="inlineStr"/>
      <c r="J113" s="4" t="inlineStr">
        <is>
          <t>2026-09-23T14:27:28.356Z</t>
        </is>
      </c>
      <c r="K113" s="4" t="inlineStr">
        <is>
          <t>2026-09-23T14:27:28.357Z</t>
        </is>
      </c>
      <c r="L113" s="13" t="n">
        <v>0.001</v>
      </c>
    </row>
    <row r="114">
      <c r="A114" s="4" t="inlineStr">
        <is>
          <t>ETH → SOL</t>
        </is>
      </c>
      <c r="B114" s="4" t="n">
        <v>1</v>
      </c>
      <c r="C114" s="4" t="inlineStr">
        <is>
          <t>Skip Go</t>
        </is>
      </c>
      <c r="D114" s="4" t="inlineStr">
        <is>
          <t>venue</t>
        </is>
      </c>
      <c r="E114" s="19" t="n">
        <v>99.85005</v>
      </c>
      <c r="F114" s="4" t="inlineStr">
        <is>
          <t>Allbridge Core</t>
        </is>
      </c>
      <c r="G114" s="19" t="n">
        <v>99.72581</v>
      </c>
      <c r="H114" s="16">
        <f>(E114-G114)/100*10000</f>
        <v/>
      </c>
      <c r="I114" s="4" t="inlineStr"/>
      <c r="J114" s="4" t="inlineStr">
        <is>
          <t>2026-09-23T14:19:28.697Z</t>
        </is>
      </c>
      <c r="K114" s="4" t="inlineStr">
        <is>
          <t>2026-09-23T14:19:28.699Z</t>
        </is>
      </c>
      <c r="L114" s="13" t="n">
        <v>0.002</v>
      </c>
    </row>
    <row r="115">
      <c r="A115" s="4" t="inlineStr">
        <is>
          <t>ETH → SOL</t>
        </is>
      </c>
      <c r="B115" s="4" t="n">
        <v>2</v>
      </c>
      <c r="C115" s="4" t="inlineStr">
        <is>
          <t>Skip Go</t>
        </is>
      </c>
      <c r="D115" s="4" t="inlineStr">
        <is>
          <t>venue</t>
        </is>
      </c>
      <c r="E115" s="19" t="n">
        <v>99.85005</v>
      </c>
      <c r="F115" s="4" t="inlineStr">
        <is>
          <t>Allbridge Core</t>
        </is>
      </c>
      <c r="G115" s="19" t="n">
        <v>99.72581</v>
      </c>
      <c r="H115" s="16">
        <f>(E115-G115)/100*10000</f>
        <v/>
      </c>
      <c r="I115" s="4" t="inlineStr"/>
      <c r="J115" s="4" t="inlineStr">
        <is>
          <t>2026-09-23T14:23:47.144Z</t>
        </is>
      </c>
      <c r="K115" s="4" t="inlineStr">
        <is>
          <t>2026-09-23T14:23:47.145Z</t>
        </is>
      </c>
      <c r="L115" s="13" t="n">
        <v>0.001</v>
      </c>
    </row>
    <row r="116">
      <c r="A116" s="4" t="inlineStr">
        <is>
          <t>ETH → SOL</t>
        </is>
      </c>
      <c r="B116" s="4" t="n">
        <v>3</v>
      </c>
      <c r="C116" s="4" t="inlineStr">
        <is>
          <t>Skip Go</t>
        </is>
      </c>
      <c r="D116" s="4" t="inlineStr">
        <is>
          <t>venue</t>
        </is>
      </c>
      <c r="E116" s="19" t="n">
        <v>99.85005</v>
      </c>
      <c r="F116" s="4" t="inlineStr">
        <is>
          <t>Allbridge Core</t>
        </is>
      </c>
      <c r="G116" s="19" t="n">
        <v>99.72787</v>
      </c>
      <c r="H116" s="16">
        <f>(E116-G116)/100*10000</f>
        <v/>
      </c>
      <c r="I116" s="4" t="inlineStr"/>
      <c r="J116" s="4" t="inlineStr">
        <is>
          <t>2026-09-23T14:27:28.356Z</t>
        </is>
      </c>
      <c r="K116" s="4" t="inlineStr">
        <is>
          <t>2026-09-23T14:27:28.357Z</t>
        </is>
      </c>
      <c r="L116" s="13" t="n">
        <v>0.001</v>
      </c>
    </row>
    <row r="117">
      <c r="A117" s="4" t="inlineStr">
        <is>
          <t>ETH → SOL</t>
        </is>
      </c>
      <c r="B117" s="4" t="n">
        <v>1</v>
      </c>
      <c r="C117" s="4" t="inlineStr">
        <is>
          <t>Symbiosis</t>
        </is>
      </c>
      <c r="D117" s="4" t="inlineStr">
        <is>
          <t>venue</t>
        </is>
      </c>
      <c r="E117" s="19" t="n">
        <v>99.85005</v>
      </c>
      <c r="F117" s="4" t="inlineStr">
        <is>
          <t>Allbridge Core</t>
        </is>
      </c>
      <c r="G117" s="19" t="n">
        <v>98.950473</v>
      </c>
      <c r="H117" s="16">
        <f>(E117-G117)/100*10000</f>
        <v/>
      </c>
      <c r="I117" s="4" t="inlineStr"/>
      <c r="J117" s="4" t="inlineStr">
        <is>
          <t>2026-09-23T14:19:28.697Z</t>
        </is>
      </c>
      <c r="K117" s="4" t="inlineStr">
        <is>
          <t>2026-09-23T14:19:28.700Z</t>
        </is>
      </c>
      <c r="L117" s="13" t="n">
        <v>0.003</v>
      </c>
    </row>
    <row r="118">
      <c r="A118" s="4" t="inlineStr">
        <is>
          <t>ETH → SOL</t>
        </is>
      </c>
      <c r="B118" s="4" t="n">
        <v>2</v>
      </c>
      <c r="C118" s="4" t="inlineStr">
        <is>
          <t>Symbiosis</t>
        </is>
      </c>
      <c r="D118" s="4" t="inlineStr">
        <is>
          <t>venue</t>
        </is>
      </c>
      <c r="E118" s="19" t="n">
        <v>99.85005</v>
      </c>
      <c r="F118" s="4" t="inlineStr">
        <is>
          <t>Allbridge Core</t>
        </is>
      </c>
      <c r="G118" s="19" t="n">
        <v>98.951612</v>
      </c>
      <c r="H118" s="16">
        <f>(E118-G118)/100*10000</f>
        <v/>
      </c>
      <c r="I118" s="4" t="inlineStr"/>
      <c r="J118" s="4" t="inlineStr">
        <is>
          <t>2026-09-23T14:23:47.144Z</t>
        </is>
      </c>
      <c r="K118" s="4" t="inlineStr">
        <is>
          <t>2026-09-23T14:23:47.144Z</t>
        </is>
      </c>
      <c r="L118" s="13" t="n">
        <v>0</v>
      </c>
    </row>
    <row r="119">
      <c r="A119" s="4" t="inlineStr">
        <is>
          <t>ETH → SOL</t>
        </is>
      </c>
      <c r="B119" s="4" t="n">
        <v>3</v>
      </c>
      <c r="C119" s="4" t="inlineStr">
        <is>
          <t>Symbiosis</t>
        </is>
      </c>
      <c r="D119" s="4" t="inlineStr">
        <is>
          <t>venue</t>
        </is>
      </c>
      <c r="E119" s="19" t="n">
        <v>99.85005</v>
      </c>
      <c r="F119" s="4" t="inlineStr">
        <is>
          <t>Allbridge Core</t>
        </is>
      </c>
      <c r="G119" s="19" t="n">
        <v>98.95137</v>
      </c>
      <c r="H119" s="16">
        <f>(E119-G119)/100*10000</f>
        <v/>
      </c>
      <c r="I119" s="4" t="inlineStr"/>
      <c r="J119" s="4" t="inlineStr">
        <is>
          <t>2026-09-23T14:27:28.356Z</t>
        </is>
      </c>
      <c r="K119" s="4" t="inlineStr">
        <is>
          <t>2026-09-23T14:27:28.357Z</t>
        </is>
      </c>
      <c r="L119" s="13" t="n">
        <v>0.001</v>
      </c>
    </row>
    <row r="120">
      <c r="A120" s="4" t="inlineStr">
        <is>
          <t>SOL → BSC</t>
        </is>
      </c>
      <c r="B120" s="4" t="n">
        <v>1</v>
      </c>
      <c r="C120" s="4" t="inlineStr">
        <is>
          <t>Relay</t>
        </is>
      </c>
      <c r="D120" s="4" t="inlineStr">
        <is>
          <t>venue</t>
        </is>
      </c>
      <c r="E120" s="19" t="n">
        <v>99.87003799999999</v>
      </c>
      <c r="F120" s="4" t="inlineStr">
        <is>
          <t>Rhino</t>
        </is>
      </c>
      <c r="G120" s="19" t="n">
        <v>99.651304</v>
      </c>
      <c r="H120" s="16">
        <f>(E120-G120)/100*10000</f>
        <v/>
      </c>
      <c r="I120" s="4" t="inlineStr"/>
      <c r="J120" s="4" t="inlineStr">
        <is>
          <t>2026-09-23T14:19:58.625Z</t>
        </is>
      </c>
      <c r="K120" s="4" t="inlineStr">
        <is>
          <t>2026-09-23T14:19:58.626Z</t>
        </is>
      </c>
      <c r="L120" s="13" t="n">
        <v>0.001</v>
      </c>
    </row>
    <row r="121">
      <c r="A121" s="4" t="inlineStr">
        <is>
          <t>SOL → BSC</t>
        </is>
      </c>
      <c r="B121" s="4" t="n">
        <v>2</v>
      </c>
      <c r="C121" s="4" t="inlineStr">
        <is>
          <t>Relay</t>
        </is>
      </c>
      <c r="D121" s="4" t="inlineStr">
        <is>
          <t>venue</t>
        </is>
      </c>
      <c r="E121" s="19" t="n">
        <v>99.87003799999999</v>
      </c>
      <c r="F121" s="4" t="inlineStr">
        <is>
          <t>Rhino</t>
        </is>
      </c>
      <c r="G121" s="19" t="n">
        <v>99.64081400000001</v>
      </c>
      <c r="H121" s="16">
        <f>(E121-G121)/100*10000</f>
        <v/>
      </c>
      <c r="I121" s="4" t="inlineStr"/>
      <c r="J121" s="4" t="inlineStr">
        <is>
          <t>2026-09-23T14:24:42.081Z</t>
        </is>
      </c>
      <c r="K121" s="4" t="inlineStr">
        <is>
          <t>2026-09-23T14:24:42.080Z</t>
        </is>
      </c>
      <c r="L121" s="13" t="n">
        <v>0.001</v>
      </c>
    </row>
    <row r="122">
      <c r="A122" s="4" t="inlineStr">
        <is>
          <t>SOL → BSC</t>
        </is>
      </c>
      <c r="B122" s="4" t="n">
        <v>3</v>
      </c>
      <c r="C122" s="4" t="inlineStr">
        <is>
          <t>Relay</t>
        </is>
      </c>
      <c r="D122" s="4" t="inlineStr">
        <is>
          <t>venue</t>
        </is>
      </c>
      <c r="E122" s="19" t="n">
        <v>99.87003799999999</v>
      </c>
      <c r="F122" s="4" t="inlineStr">
        <is>
          <t>Rhino</t>
        </is>
      </c>
      <c r="G122" s="19" t="n">
        <v>99.63692</v>
      </c>
      <c r="H122" s="16">
        <f>(E122-G122)/100*10000</f>
        <v/>
      </c>
      <c r="I122" s="4" t="inlineStr"/>
      <c r="J122" s="4" t="inlineStr">
        <is>
          <t>2026-09-23T14:28:40.088Z</t>
        </is>
      </c>
      <c r="K122" s="4" t="inlineStr">
        <is>
          <t>2026-09-23T14:28:40.087Z</t>
        </is>
      </c>
      <c r="L122" s="13" t="n">
        <v>0.001</v>
      </c>
    </row>
    <row r="123">
      <c r="A123" s="4" t="inlineStr">
        <is>
          <t>SOL → BSC</t>
        </is>
      </c>
      <c r="B123" s="4" t="n">
        <v>1</v>
      </c>
      <c r="C123" s="4" t="inlineStr">
        <is>
          <t>deBridge</t>
        </is>
      </c>
      <c r="D123" s="4" t="inlineStr">
        <is>
          <t>venue</t>
        </is>
      </c>
      <c r="E123" s="19" t="n">
        <v>99.87003799999999</v>
      </c>
      <c r="F123" s="4" t="inlineStr">
        <is>
          <t>Rhino</t>
        </is>
      </c>
      <c r="G123" s="19" t="n">
        <v>98.674515</v>
      </c>
      <c r="H123" s="16">
        <f>(E123-G123)/100*10000</f>
        <v/>
      </c>
      <c r="I123" s="4" t="inlineStr"/>
      <c r="J123" s="4" t="inlineStr">
        <is>
          <t>2026-09-23T14:19:58.625Z</t>
        </is>
      </c>
      <c r="K123" s="4" t="inlineStr">
        <is>
          <t>2026-09-23T14:19:58.626Z</t>
        </is>
      </c>
      <c r="L123" s="13" t="n">
        <v>0.001</v>
      </c>
    </row>
    <row r="124">
      <c r="A124" s="4" t="inlineStr">
        <is>
          <t>SOL → BSC</t>
        </is>
      </c>
      <c r="B124" s="4" t="n">
        <v>2</v>
      </c>
      <c r="C124" s="4" t="inlineStr">
        <is>
          <t>deBridge</t>
        </is>
      </c>
      <c r="D124" s="4" t="inlineStr">
        <is>
          <t>venue</t>
        </is>
      </c>
      <c r="E124" s="19" t="n">
        <v>99.87003799999999</v>
      </c>
      <c r="F124" s="4" t="inlineStr">
        <is>
          <t>Rhino</t>
        </is>
      </c>
      <c r="G124" s="19" t="n">
        <v>98.684315</v>
      </c>
      <c r="H124" s="16">
        <f>(E124-G124)/100*10000</f>
        <v/>
      </c>
      <c r="I124" s="4" t="inlineStr"/>
      <c r="J124" s="4" t="inlineStr">
        <is>
          <t>2026-09-23T14:24:42.081Z</t>
        </is>
      </c>
      <c r="K124" s="4" t="inlineStr">
        <is>
          <t>2026-09-23T14:24:42.080Z</t>
        </is>
      </c>
      <c r="L124" s="13" t="n">
        <v>0.001</v>
      </c>
    </row>
    <row r="125">
      <c r="A125" s="4" t="inlineStr">
        <is>
          <t>SOL → BSC</t>
        </is>
      </c>
      <c r="B125" s="4" t="n">
        <v>3</v>
      </c>
      <c r="C125" s="4" t="inlineStr">
        <is>
          <t>deBridge</t>
        </is>
      </c>
      <c r="D125" s="4" t="inlineStr">
        <is>
          <t>venue</t>
        </is>
      </c>
      <c r="E125" s="19" t="n">
        <v>99.87003799999999</v>
      </c>
      <c r="F125" s="4" t="inlineStr">
        <is>
          <t>Rhino</t>
        </is>
      </c>
      <c r="G125" s="19" t="n">
        <v>98.68291600000001</v>
      </c>
      <c r="H125" s="16">
        <f>(E125-G125)/100*10000</f>
        <v/>
      </c>
      <c r="I125" s="4" t="inlineStr"/>
      <c r="J125" s="4" t="inlineStr">
        <is>
          <t>2026-09-23T14:28:40.088Z</t>
        </is>
      </c>
      <c r="K125" s="4" t="inlineStr">
        <is>
          <t>2026-09-23T14:28:40.086Z</t>
        </is>
      </c>
      <c r="L125" s="13" t="n">
        <v>0.002</v>
      </c>
    </row>
    <row r="126">
      <c r="A126" s="4" t="inlineStr">
        <is>
          <t>SOL → BSC</t>
        </is>
      </c>
      <c r="B126" s="4" t="n">
        <v>1</v>
      </c>
      <c r="C126" s="4" t="inlineStr">
        <is>
          <t>LI.FI (Jumper)</t>
        </is>
      </c>
      <c r="D126" s="4" t="inlineStr">
        <is>
          <t>venue</t>
        </is>
      </c>
      <c r="E126" s="19" t="n">
        <v>99.87003799999999</v>
      </c>
      <c r="F126" s="4" t="inlineStr">
        <is>
          <t>Rhino</t>
        </is>
      </c>
      <c r="G126" s="19" t="n">
        <v>99.93159</v>
      </c>
      <c r="H126" s="16">
        <f>(E126-G126)/100*10000</f>
        <v/>
      </c>
      <c r="I126" s="4" t="inlineStr"/>
      <c r="J126" s="4" t="inlineStr">
        <is>
          <t>2026-09-23T14:19:58.625Z</t>
        </is>
      </c>
      <c r="K126" s="4" t="inlineStr">
        <is>
          <t>2026-09-23T14:19:58.623Z</t>
        </is>
      </c>
      <c r="L126" s="13" t="n">
        <v>0.002</v>
      </c>
    </row>
    <row r="127">
      <c r="A127" s="4" t="inlineStr">
        <is>
          <t>SOL → BSC</t>
        </is>
      </c>
      <c r="B127" s="4" t="n">
        <v>2</v>
      </c>
      <c r="C127" s="4" t="inlineStr">
        <is>
          <t>LI.FI (Jumper)</t>
        </is>
      </c>
      <c r="D127" s="4" t="inlineStr">
        <is>
          <t>venue</t>
        </is>
      </c>
      <c r="E127" s="19" t="n">
        <v>99.87003799999999</v>
      </c>
      <c r="F127" s="4" t="inlineStr">
        <is>
          <t>Rhino</t>
        </is>
      </c>
      <c r="G127" s="19" t="n">
        <v>99.93159</v>
      </c>
      <c r="H127" s="16">
        <f>(E127-G127)/100*10000</f>
        <v/>
      </c>
      <c r="I127" s="4" t="inlineStr"/>
      <c r="J127" s="4" t="inlineStr">
        <is>
          <t>2026-09-23T14:24:42.081Z</t>
        </is>
      </c>
      <c r="K127" s="4" t="inlineStr">
        <is>
          <t>2026-09-23T14:24:42.077Z</t>
        </is>
      </c>
      <c r="L127" s="13" t="n">
        <v>0.004</v>
      </c>
    </row>
    <row r="128">
      <c r="A128" s="4" t="inlineStr">
        <is>
          <t>SOL → BSC</t>
        </is>
      </c>
      <c r="B128" s="4" t="n">
        <v>3</v>
      </c>
      <c r="C128" s="4" t="inlineStr">
        <is>
          <t>LI.FI (Jumper)</t>
        </is>
      </c>
      <c r="D128" s="4" t="inlineStr">
        <is>
          <t>venue</t>
        </is>
      </c>
      <c r="E128" s="19" t="n">
        <v>99.87003799999999</v>
      </c>
      <c r="F128" s="4" t="inlineStr">
        <is>
          <t>Rhino</t>
        </is>
      </c>
      <c r="G128" s="19" t="n">
        <v>99.93159900000001</v>
      </c>
      <c r="H128" s="16">
        <f>(E128-G128)/100*10000</f>
        <v/>
      </c>
      <c r="I128" s="4" t="inlineStr"/>
      <c r="J128" s="4" t="inlineStr">
        <is>
          <t>2026-09-23T14:28:40.088Z</t>
        </is>
      </c>
      <c r="K128" s="4" t="inlineStr">
        <is>
          <t>2026-09-23T14:28:40.091Z</t>
        </is>
      </c>
      <c r="L128" s="13" t="n">
        <v>0.003</v>
      </c>
    </row>
    <row r="129">
      <c r="A129" s="4" t="inlineStr">
        <is>
          <t>SOL → BSC</t>
        </is>
      </c>
      <c r="B129" s="4" t="n">
        <v>1</v>
      </c>
      <c r="C129" s="4" t="inlineStr">
        <is>
          <t>Across</t>
        </is>
      </c>
      <c r="D129" s="4" t="inlineStr">
        <is>
          <t>venue</t>
        </is>
      </c>
      <c r="E129" s="19" t="n">
        <v>99.87003799999999</v>
      </c>
      <c r="F129" s="4" t="inlineStr">
        <is>
          <t>Rhino</t>
        </is>
      </c>
      <c r="G129" s="19" t="n">
        <v>99.981745</v>
      </c>
      <c r="H129" s="16">
        <f>(E129-G129)/100*10000</f>
        <v/>
      </c>
      <c r="I129" s="4" t="inlineStr"/>
      <c r="J129" s="4" t="inlineStr">
        <is>
          <t>2026-09-23T14:19:58.625Z</t>
        </is>
      </c>
      <c r="K129" s="4" t="inlineStr">
        <is>
          <t>2026-09-23T14:19:58.624Z</t>
        </is>
      </c>
      <c r="L129" s="13" t="n">
        <v>0.001</v>
      </c>
    </row>
    <row r="130">
      <c r="A130" s="4" t="inlineStr">
        <is>
          <t>SOL → BSC</t>
        </is>
      </c>
      <c r="B130" s="4" t="n">
        <v>2</v>
      </c>
      <c r="C130" s="4" t="inlineStr">
        <is>
          <t>Across</t>
        </is>
      </c>
      <c r="D130" s="4" t="inlineStr">
        <is>
          <t>venue</t>
        </is>
      </c>
      <c r="E130" s="19" t="n">
        <v>99.87003799999999</v>
      </c>
      <c r="F130" s="4" t="inlineStr">
        <is>
          <t>Rhino</t>
        </is>
      </c>
      <c r="G130" s="19" t="n">
        <v>99.982214</v>
      </c>
      <c r="H130" s="16">
        <f>(E130-G130)/100*10000</f>
        <v/>
      </c>
      <c r="I130" s="4" t="inlineStr"/>
      <c r="J130" s="4" t="inlineStr">
        <is>
          <t>2026-09-23T14:24:42.081Z</t>
        </is>
      </c>
      <c r="K130" s="4" t="inlineStr">
        <is>
          <t>2026-09-23T14:24:42.079Z</t>
        </is>
      </c>
      <c r="L130" s="13" t="n">
        <v>0.002</v>
      </c>
    </row>
    <row r="131">
      <c r="A131" s="4" t="inlineStr">
        <is>
          <t>SOL → BSC</t>
        </is>
      </c>
      <c r="B131" s="4" t="n">
        <v>3</v>
      </c>
      <c r="C131" s="4" t="inlineStr">
        <is>
          <t>Across</t>
        </is>
      </c>
      <c r="D131" s="4" t="inlineStr">
        <is>
          <t>venue</t>
        </is>
      </c>
      <c r="E131" s="19" t="n">
        <v>99.87003799999999</v>
      </c>
      <c r="F131" s="4" t="inlineStr">
        <is>
          <t>Rhino</t>
        </is>
      </c>
      <c r="G131" s="19" t="n">
        <v>99.972498</v>
      </c>
      <c r="H131" s="16">
        <f>(E131-G131)/100*10000</f>
        <v/>
      </c>
      <c r="I131" s="4" t="inlineStr"/>
      <c r="J131" s="4" t="inlineStr">
        <is>
          <t>2026-09-23T14:28:40.088Z</t>
        </is>
      </c>
      <c r="K131" s="4" t="inlineStr">
        <is>
          <t>2026-09-23T14:28:40.085Z</t>
        </is>
      </c>
      <c r="L131" s="13" t="n">
        <v>0.003</v>
      </c>
    </row>
    <row r="132">
      <c r="A132" s="4" t="inlineStr">
        <is>
          <t>SOL → BSC</t>
        </is>
      </c>
      <c r="B132" s="4" t="n">
        <v>1</v>
      </c>
      <c r="C132" s="4" t="inlineStr">
        <is>
          <t>Mayan</t>
        </is>
      </c>
      <c r="D132" s="4" t="inlineStr">
        <is>
          <t>venue</t>
        </is>
      </c>
      <c r="E132" s="19" t="n">
        <v>99.87003799999999</v>
      </c>
      <c r="F132" s="4" t="inlineStr">
        <is>
          <t>Rhino</t>
        </is>
      </c>
      <c r="G132" s="19" t="n">
        <v>99.931</v>
      </c>
      <c r="H132" s="16">
        <f>(E132-G132)/100*10000</f>
        <v/>
      </c>
      <c r="I132" s="4" t="inlineStr"/>
      <c r="J132" s="4" t="inlineStr">
        <is>
          <t>2026-09-23T14:19:58.625Z</t>
        </is>
      </c>
      <c r="K132" s="4" t="inlineStr">
        <is>
          <t>2026-09-23T14:19:58.624Z</t>
        </is>
      </c>
      <c r="L132" s="13" t="n">
        <v>0.001</v>
      </c>
    </row>
    <row r="133">
      <c r="A133" s="4" t="inlineStr">
        <is>
          <t>SOL → BSC</t>
        </is>
      </c>
      <c r="B133" s="4" t="n">
        <v>2</v>
      </c>
      <c r="C133" s="4" t="inlineStr">
        <is>
          <t>Mayan</t>
        </is>
      </c>
      <c r="D133" s="4" t="inlineStr">
        <is>
          <t>venue</t>
        </is>
      </c>
      <c r="E133" s="19" t="n">
        <v>99.87003799999999</v>
      </c>
      <c r="F133" s="4" t="inlineStr">
        <is>
          <t>Rhino</t>
        </is>
      </c>
      <c r="G133" s="19" t="n">
        <v>99.931</v>
      </c>
      <c r="H133" s="16">
        <f>(E133-G133)/100*10000</f>
        <v/>
      </c>
      <c r="I133" s="4" t="inlineStr"/>
      <c r="J133" s="4" t="inlineStr">
        <is>
          <t>2026-09-23T14:24:42.081Z</t>
        </is>
      </c>
      <c r="K133" s="4" t="inlineStr">
        <is>
          <t>2026-09-23T14:24:42.079Z</t>
        </is>
      </c>
      <c r="L133" s="13" t="n">
        <v>0.002</v>
      </c>
    </row>
    <row r="134">
      <c r="A134" s="4" t="inlineStr">
        <is>
          <t>SOL → BSC</t>
        </is>
      </c>
      <c r="B134" s="4" t="n">
        <v>3</v>
      </c>
      <c r="C134" s="4" t="inlineStr">
        <is>
          <t>Mayan</t>
        </is>
      </c>
      <c r="D134" s="4" t="inlineStr">
        <is>
          <t>venue</t>
        </is>
      </c>
      <c r="E134" s="19" t="n">
        <v>99.87003799999999</v>
      </c>
      <c r="F134" s="4" t="inlineStr">
        <is>
          <t>Rhino</t>
        </is>
      </c>
      <c r="G134" s="19" t="n">
        <v>99.931</v>
      </c>
      <c r="H134" s="16">
        <f>(E134-G134)/100*10000</f>
        <v/>
      </c>
      <c r="I134" s="4" t="inlineStr"/>
      <c r="J134" s="4" t="inlineStr">
        <is>
          <t>2026-09-23T14:28:40.088Z</t>
        </is>
      </c>
      <c r="K134" s="4" t="inlineStr">
        <is>
          <t>2026-09-23T14:28:40.084Z</t>
        </is>
      </c>
      <c r="L134" s="13" t="n">
        <v>0.004</v>
      </c>
    </row>
    <row r="135">
      <c r="A135" s="4" t="inlineStr">
        <is>
          <t>SOL → BSC</t>
        </is>
      </c>
      <c r="B135" s="4" t="n">
        <v>1</v>
      </c>
      <c r="C135" s="4" t="inlineStr">
        <is>
          <t>Husher</t>
        </is>
      </c>
      <c r="D135" s="4" t="inlineStr">
        <is>
          <t>venue</t>
        </is>
      </c>
      <c r="E135" s="19" t="n">
        <v>99.87003799999999</v>
      </c>
      <c r="F135" s="4" t="inlineStr">
        <is>
          <t>Rhino</t>
        </is>
      </c>
      <c r="G135" s="19" t="n">
        <v>99.65000000000001</v>
      </c>
      <c r="H135" s="16">
        <f>(E135-G135)/100*10000</f>
        <v/>
      </c>
      <c r="I135" s="4" t="inlineStr"/>
      <c r="J135" s="4" t="inlineStr">
        <is>
          <t>2026-09-23T14:19:58.625Z</t>
        </is>
      </c>
      <c r="K135" s="4" t="inlineStr">
        <is>
          <t>2026-09-23T14:19:58.624Z</t>
        </is>
      </c>
      <c r="L135" s="13" t="n">
        <v>0.001</v>
      </c>
    </row>
    <row r="136">
      <c r="A136" s="4" t="inlineStr">
        <is>
          <t>SOL → BSC</t>
        </is>
      </c>
      <c r="B136" s="4" t="n">
        <v>2</v>
      </c>
      <c r="C136" s="4" t="inlineStr">
        <is>
          <t>Husher</t>
        </is>
      </c>
      <c r="D136" s="4" t="inlineStr">
        <is>
          <t>venue</t>
        </is>
      </c>
      <c r="E136" s="19" t="n">
        <v>99.87003799999999</v>
      </c>
      <c r="F136" s="4" t="inlineStr">
        <is>
          <t>Rhino</t>
        </is>
      </c>
      <c r="G136" s="19" t="n">
        <v>99.65000000000001</v>
      </c>
      <c r="H136" s="16">
        <f>(E136-G136)/100*10000</f>
        <v/>
      </c>
      <c r="I136" s="4" t="inlineStr"/>
      <c r="J136" s="4" t="inlineStr">
        <is>
          <t>2026-09-23T14:24:42.081Z</t>
        </is>
      </c>
      <c r="K136" s="4" t="inlineStr">
        <is>
          <t>2026-09-23T14:24:42.078Z</t>
        </is>
      </c>
      <c r="L136" s="13" t="n">
        <v>0.003</v>
      </c>
    </row>
    <row r="137">
      <c r="A137" s="4" t="inlineStr">
        <is>
          <t>SOL → BSC</t>
        </is>
      </c>
      <c r="B137" s="4" t="n">
        <v>3</v>
      </c>
      <c r="C137" s="4" t="inlineStr">
        <is>
          <t>Husher</t>
        </is>
      </c>
      <c r="D137" s="4" t="inlineStr">
        <is>
          <t>venue</t>
        </is>
      </c>
      <c r="E137" s="19" t="n">
        <v>99.87003799999999</v>
      </c>
      <c r="F137" s="4" t="inlineStr">
        <is>
          <t>Rhino</t>
        </is>
      </c>
      <c r="G137" s="19" t="n">
        <v>99.65000000000001</v>
      </c>
      <c r="H137" s="16">
        <f>(E137-G137)/100*10000</f>
        <v/>
      </c>
      <c r="I137" s="4" t="inlineStr"/>
      <c r="J137" s="4" t="inlineStr">
        <is>
          <t>2026-09-23T14:28:40.088Z</t>
        </is>
      </c>
      <c r="K137" s="4" t="inlineStr">
        <is>
          <t>2026-09-23T14:28:40.084Z</t>
        </is>
      </c>
      <c r="L137" s="13" t="n">
        <v>0.004</v>
      </c>
    </row>
    <row r="138">
      <c r="A138" s="4" t="inlineStr">
        <is>
          <t>SOL → BSC</t>
        </is>
      </c>
      <c r="B138" s="4" t="n">
        <v>1</v>
      </c>
      <c r="C138" s="4" t="inlineStr">
        <is>
          <t>Layerswap</t>
        </is>
      </c>
      <c r="D138" s="4" t="inlineStr">
        <is>
          <t>venue</t>
        </is>
      </c>
      <c r="E138" s="19" t="n">
        <v>99.87003799999999</v>
      </c>
      <c r="F138" s="4" t="inlineStr">
        <is>
          <t>Rhino</t>
        </is>
      </c>
      <c r="G138" s="19" t="n">
        <v>99.863113</v>
      </c>
      <c r="H138" s="16">
        <f>(E138-G138)/100*10000</f>
        <v/>
      </c>
      <c r="I138" s="4" t="inlineStr"/>
      <c r="J138" s="4" t="inlineStr">
        <is>
          <t>2026-09-23T14:19:58.625Z</t>
        </is>
      </c>
      <c r="K138" s="4" t="inlineStr">
        <is>
          <t>2026-09-23T14:19:58.626Z</t>
        </is>
      </c>
      <c r="L138" s="13" t="n">
        <v>0.001</v>
      </c>
    </row>
    <row r="139">
      <c r="A139" s="4" t="inlineStr">
        <is>
          <t>SOL → BSC</t>
        </is>
      </c>
      <c r="B139" s="4" t="n">
        <v>2</v>
      </c>
      <c r="C139" s="4" t="inlineStr">
        <is>
          <t>Layerswap</t>
        </is>
      </c>
      <c r="D139" s="4" t="inlineStr">
        <is>
          <t>venue</t>
        </is>
      </c>
      <c r="E139" s="19" t="n">
        <v>99.87003799999999</v>
      </c>
      <c r="F139" s="4" t="inlineStr">
        <is>
          <t>Rhino</t>
        </is>
      </c>
      <c r="G139" s="19" t="n">
        <v>99.863123</v>
      </c>
      <c r="H139" s="16">
        <f>(E139-G139)/100*10000</f>
        <v/>
      </c>
      <c r="I139" s="4" t="inlineStr"/>
      <c r="J139" s="4" t="inlineStr">
        <is>
          <t>2026-09-23T14:24:42.081Z</t>
        </is>
      </c>
      <c r="K139" s="4" t="inlineStr">
        <is>
          <t>2026-09-23T14:24:42.081Z</t>
        </is>
      </c>
      <c r="L139" s="13" t="n">
        <v>0</v>
      </c>
    </row>
    <row r="140">
      <c r="A140" s="4" t="inlineStr">
        <is>
          <t>SOL → BSC</t>
        </is>
      </c>
      <c r="B140" s="4" t="n">
        <v>3</v>
      </c>
      <c r="C140" s="4" t="inlineStr">
        <is>
          <t>Layerswap</t>
        </is>
      </c>
      <c r="D140" s="4" t="inlineStr">
        <is>
          <t>venue</t>
        </is>
      </c>
      <c r="E140" s="19" t="n">
        <v>99.87003799999999</v>
      </c>
      <c r="F140" s="4" t="inlineStr">
        <is>
          <t>Rhino</t>
        </is>
      </c>
      <c r="G140" s="19" t="n">
        <v>99.86312700000001</v>
      </c>
      <c r="H140" s="16">
        <f>(E140-G140)/100*10000</f>
        <v/>
      </c>
      <c r="I140" s="4" t="inlineStr"/>
      <c r="J140" s="4" t="inlineStr">
        <is>
          <t>2026-09-23T14:28:40.088Z</t>
        </is>
      </c>
      <c r="K140" s="4" t="inlineStr">
        <is>
          <t>2026-09-23T14:28:40.090Z</t>
        </is>
      </c>
      <c r="L140" s="13" t="n">
        <v>0.002</v>
      </c>
    </row>
    <row r="141">
      <c r="A141" s="4" t="inlineStr">
        <is>
          <t>SOL → BSC</t>
        </is>
      </c>
      <c r="B141" s="4" t="n">
        <v>1</v>
      </c>
      <c r="C141" s="4" t="inlineStr">
        <is>
          <t>Meson</t>
        </is>
      </c>
      <c r="D141" s="4" t="inlineStr">
        <is>
          <t>venue</t>
        </is>
      </c>
      <c r="E141" s="19" t="n">
        <v>99.87003799999999</v>
      </c>
      <c r="F141" s="4" t="inlineStr">
        <is>
          <t>Rhino</t>
        </is>
      </c>
      <c r="G141" s="19" t="n">
        <v>99.88</v>
      </c>
      <c r="H141" s="16">
        <f>(E141-G141)/100*10000</f>
        <v/>
      </c>
      <c r="I141" s="4" t="inlineStr"/>
      <c r="J141" s="4" t="inlineStr">
        <is>
          <t>2026-09-23T14:19:58.625Z</t>
        </is>
      </c>
      <c r="K141" s="4" t="inlineStr">
        <is>
          <t>2026-09-23T14:19:58.623Z</t>
        </is>
      </c>
      <c r="L141" s="13" t="n">
        <v>0.002</v>
      </c>
    </row>
    <row r="142">
      <c r="A142" s="4" t="inlineStr">
        <is>
          <t>SOL → BSC</t>
        </is>
      </c>
      <c r="B142" s="4" t="n">
        <v>2</v>
      </c>
      <c r="C142" s="4" t="inlineStr">
        <is>
          <t>Meson</t>
        </is>
      </c>
      <c r="D142" s="4" t="inlineStr">
        <is>
          <t>venue</t>
        </is>
      </c>
      <c r="E142" s="19" t="n">
        <v>99.87003799999999</v>
      </c>
      <c r="F142" s="4" t="inlineStr">
        <is>
          <t>Rhino</t>
        </is>
      </c>
      <c r="G142" s="19" t="n">
        <v>99.88</v>
      </c>
      <c r="H142" s="16">
        <f>(E142-G142)/100*10000</f>
        <v/>
      </c>
      <c r="I142" s="4" t="inlineStr"/>
      <c r="J142" s="4" t="inlineStr">
        <is>
          <t>2026-09-23T14:24:42.081Z</t>
        </is>
      </c>
      <c r="K142" s="4" t="inlineStr">
        <is>
          <t>2026-09-23T14:24:42.078Z</t>
        </is>
      </c>
      <c r="L142" s="13" t="n">
        <v>0.003</v>
      </c>
    </row>
    <row r="143">
      <c r="A143" s="4" t="inlineStr">
        <is>
          <t>SOL → BSC</t>
        </is>
      </c>
      <c r="B143" s="4" t="n">
        <v>3</v>
      </c>
      <c r="C143" s="4" t="inlineStr">
        <is>
          <t>Meson</t>
        </is>
      </c>
      <c r="D143" s="4" t="inlineStr">
        <is>
          <t>venue</t>
        </is>
      </c>
      <c r="E143" s="19" t="n">
        <v>99.87003799999999</v>
      </c>
      <c r="F143" s="4" t="inlineStr">
        <is>
          <t>Rhino</t>
        </is>
      </c>
      <c r="G143" s="19" t="n">
        <v>99.88</v>
      </c>
      <c r="H143" s="16">
        <f>(E143-G143)/100*10000</f>
        <v/>
      </c>
      <c r="I143" s="4" t="inlineStr"/>
      <c r="J143" s="4" t="inlineStr">
        <is>
          <t>2026-09-23T14:28:40.088Z</t>
        </is>
      </c>
      <c r="K143" s="4" t="inlineStr">
        <is>
          <t>2026-09-23T14:28:40.083Z</t>
        </is>
      </c>
      <c r="L143" s="13" t="n">
        <v>0.005</v>
      </c>
    </row>
    <row r="144">
      <c r="A144" s="4" t="inlineStr">
        <is>
          <t>SOL → BSC</t>
        </is>
      </c>
      <c r="B144" s="4" t="n">
        <v>1</v>
      </c>
      <c r="C144" s="4" t="inlineStr">
        <is>
          <t>SimpleSwap</t>
        </is>
      </c>
      <c r="D144" s="4" t="inlineStr">
        <is>
          <t>venue</t>
        </is>
      </c>
      <c r="E144" s="19" t="n">
        <v>99.87003799999999</v>
      </c>
      <c r="F144" s="4" t="inlineStr">
        <is>
          <t>Rhino</t>
        </is>
      </c>
      <c r="G144" s="19" t="n">
        <v>98.139</v>
      </c>
      <c r="H144" s="16">
        <f>(E144-G144)/100*10000</f>
        <v/>
      </c>
      <c r="I144" s="4" t="inlineStr"/>
      <c r="J144" s="4" t="inlineStr">
        <is>
          <t>2026-09-23T14:19:58.625Z</t>
        </is>
      </c>
      <c r="K144" s="4" t="inlineStr">
        <is>
          <t>2026-09-23T14:19:58.627Z</t>
        </is>
      </c>
      <c r="L144" s="13" t="n">
        <v>0.002</v>
      </c>
    </row>
    <row r="145">
      <c r="A145" s="4" t="inlineStr">
        <is>
          <t>SOL → BSC</t>
        </is>
      </c>
      <c r="B145" s="4" t="n">
        <v>2</v>
      </c>
      <c r="C145" s="4" t="inlineStr">
        <is>
          <t>SimpleSwap</t>
        </is>
      </c>
      <c r="D145" s="4" t="inlineStr">
        <is>
          <t>venue</t>
        </is>
      </c>
      <c r="E145" s="19" t="n">
        <v>99.87003799999999</v>
      </c>
      <c r="F145" s="4" t="inlineStr">
        <is>
          <t>Rhino</t>
        </is>
      </c>
      <c r="G145" s="19" t="n">
        <v>98.139</v>
      </c>
      <c r="H145" s="16">
        <f>(E145-G145)/100*10000</f>
        <v/>
      </c>
      <c r="I145" s="4" t="inlineStr"/>
      <c r="J145" s="4" t="inlineStr">
        <is>
          <t>2026-09-23T14:24:42.081Z</t>
        </is>
      </c>
      <c r="K145" s="4" t="inlineStr">
        <is>
          <t>2026-09-23T14:24:42.082Z</t>
        </is>
      </c>
      <c r="L145" s="13" t="n">
        <v>0.001</v>
      </c>
    </row>
    <row r="146">
      <c r="A146" s="4" t="inlineStr">
        <is>
          <t>BSC → SOL</t>
        </is>
      </c>
      <c r="B146" s="4" t="n">
        <v>1</v>
      </c>
      <c r="C146" s="4" t="inlineStr">
        <is>
          <t>Relay</t>
        </is>
      </c>
      <c r="D146" s="4" t="inlineStr">
        <is>
          <t>venue</t>
        </is>
      </c>
      <c r="E146" s="19" t="n">
        <v>99.64047100000001</v>
      </c>
      <c r="F146" s="4" t="inlineStr">
        <is>
          <t>Mayan</t>
        </is>
      </c>
      <c r="G146" s="19" t="n">
        <v>99.885705</v>
      </c>
      <c r="H146" s="16">
        <f>(E146-G146)/100*10000</f>
        <v/>
      </c>
      <c r="I146" s="4" t="inlineStr"/>
      <c r="J146" s="4" t="inlineStr">
        <is>
          <t>2026-09-23T14:20:29.480Z</t>
        </is>
      </c>
      <c r="K146" s="4" t="inlineStr">
        <is>
          <t>2026-09-23T14:20:29.482Z</t>
        </is>
      </c>
      <c r="L146" s="13" t="n">
        <v>0.002</v>
      </c>
    </row>
    <row r="147">
      <c r="A147" s="4" t="inlineStr">
        <is>
          <t>BSC → SOL</t>
        </is>
      </c>
      <c r="B147" s="4" t="n">
        <v>2</v>
      </c>
      <c r="C147" s="4" t="inlineStr">
        <is>
          <t>Relay</t>
        </is>
      </c>
      <c r="D147" s="4" t="inlineStr">
        <is>
          <t>venue</t>
        </is>
      </c>
      <c r="E147" s="19" t="n">
        <v>99.639692</v>
      </c>
      <c r="F147" s="4" t="inlineStr">
        <is>
          <t>Mayan</t>
        </is>
      </c>
      <c r="G147" s="19" t="n">
        <v>99.88570900000001</v>
      </c>
      <c r="H147" s="16">
        <f>(E147-G147)/100*10000</f>
        <v/>
      </c>
      <c r="I147" s="4" t="inlineStr"/>
      <c r="J147" s="4" t="inlineStr">
        <is>
          <t>2026-09-23T14:25:12.872Z</t>
        </is>
      </c>
      <c r="K147" s="4" t="inlineStr">
        <is>
          <t>2026-09-23T14:25:12.871Z</t>
        </is>
      </c>
      <c r="L147" s="13" t="n">
        <v>0.001</v>
      </c>
    </row>
    <row r="148">
      <c r="A148" s="4" t="inlineStr">
        <is>
          <t>BSC → SOL</t>
        </is>
      </c>
      <c r="B148" s="4" t="n">
        <v>3</v>
      </c>
      <c r="C148" s="4" t="inlineStr">
        <is>
          <t>Relay</t>
        </is>
      </c>
      <c r="D148" s="4" t="inlineStr">
        <is>
          <t>venue</t>
        </is>
      </c>
      <c r="E148" s="19" t="n">
        <v>99.640843</v>
      </c>
      <c r="F148" s="4" t="inlineStr">
        <is>
          <t>Mayan</t>
        </is>
      </c>
      <c r="G148" s="19" t="n">
        <v>99.885718</v>
      </c>
      <c r="H148" s="16">
        <f>(E148-G148)/100*10000</f>
        <v/>
      </c>
      <c r="I148" s="4" t="inlineStr"/>
      <c r="J148" s="4" t="inlineStr">
        <is>
          <t>2026-09-23T14:29:48.304Z</t>
        </is>
      </c>
      <c r="K148" s="4" t="inlineStr">
        <is>
          <t>2026-09-23T14:29:48.304Z</t>
        </is>
      </c>
      <c r="L148" s="13" t="n">
        <v>0</v>
      </c>
    </row>
    <row r="149">
      <c r="A149" s="4" t="inlineStr">
        <is>
          <t>BSC → SOL</t>
        </is>
      </c>
      <c r="B149" s="4" t="n">
        <v>1</v>
      </c>
      <c r="C149" s="4" t="inlineStr">
        <is>
          <t>deBridge</t>
        </is>
      </c>
      <c r="D149" s="4" t="inlineStr">
        <is>
          <t>venue</t>
        </is>
      </c>
      <c r="E149" s="19" t="n">
        <v>99.64047100000001</v>
      </c>
      <c r="F149" s="4" t="inlineStr">
        <is>
          <t>Mayan</t>
        </is>
      </c>
      <c r="G149" s="19" t="n">
        <v>98.902717</v>
      </c>
      <c r="H149" s="16">
        <f>(E149-G149)/100*10000</f>
        <v/>
      </c>
      <c r="I149" s="4" t="inlineStr"/>
      <c r="J149" s="4" t="inlineStr">
        <is>
          <t>2026-09-23T14:20:29.480Z</t>
        </is>
      </c>
      <c r="K149" s="4" t="inlineStr">
        <is>
          <t>2026-09-23T14:20:29.482Z</t>
        </is>
      </c>
      <c r="L149" s="13" t="n">
        <v>0.002</v>
      </c>
    </row>
    <row r="150">
      <c r="A150" s="4" t="inlineStr">
        <is>
          <t>BSC → SOL</t>
        </is>
      </c>
      <c r="B150" s="4" t="n">
        <v>2</v>
      </c>
      <c r="C150" s="4" t="inlineStr">
        <is>
          <t>deBridge</t>
        </is>
      </c>
      <c r="D150" s="4" t="inlineStr">
        <is>
          <t>venue</t>
        </is>
      </c>
      <c r="E150" s="19" t="n">
        <v>99.639692</v>
      </c>
      <c r="F150" s="4" t="inlineStr">
        <is>
          <t>Mayan</t>
        </is>
      </c>
      <c r="G150" s="19" t="n">
        <v>98.911517</v>
      </c>
      <c r="H150" s="16">
        <f>(E150-G150)/100*10000</f>
        <v/>
      </c>
      <c r="I150" s="4" t="inlineStr"/>
      <c r="J150" s="4" t="inlineStr">
        <is>
          <t>2026-09-23T14:25:12.872Z</t>
        </is>
      </c>
      <c r="K150" s="4" t="inlineStr">
        <is>
          <t>2026-09-23T14:25:12.870Z</t>
        </is>
      </c>
      <c r="L150" s="13" t="n">
        <v>0.002</v>
      </c>
    </row>
    <row r="151">
      <c r="A151" s="4" t="inlineStr">
        <is>
          <t>BSC → SOL</t>
        </is>
      </c>
      <c r="B151" s="4" t="n">
        <v>3</v>
      </c>
      <c r="C151" s="4" t="inlineStr">
        <is>
          <t>deBridge</t>
        </is>
      </c>
      <c r="D151" s="4" t="inlineStr">
        <is>
          <t>venue</t>
        </is>
      </c>
      <c r="E151" s="19" t="n">
        <v>99.640843</v>
      </c>
      <c r="F151" s="4" t="inlineStr">
        <is>
          <t>Mayan</t>
        </is>
      </c>
      <c r="G151" s="19" t="n">
        <v>98.841632</v>
      </c>
      <c r="H151" s="16">
        <f>(E151-G151)/100*10000</f>
        <v/>
      </c>
      <c r="I151" s="4" t="inlineStr"/>
      <c r="J151" s="4" t="inlineStr">
        <is>
          <t>2026-09-23T14:29:48.304Z</t>
        </is>
      </c>
      <c r="K151" s="4" t="inlineStr">
        <is>
          <t>2026-09-23T14:29:48.303Z</t>
        </is>
      </c>
      <c r="L151" s="13" t="n">
        <v>0.001</v>
      </c>
    </row>
    <row r="152">
      <c r="A152" s="4" t="inlineStr">
        <is>
          <t>BSC → SOL</t>
        </is>
      </c>
      <c r="B152" s="4" t="n">
        <v>1</v>
      </c>
      <c r="C152" s="4" t="inlineStr">
        <is>
          <t>LI.FI (Jumper)</t>
        </is>
      </c>
      <c r="D152" s="4" t="inlineStr">
        <is>
          <t>venue</t>
        </is>
      </c>
      <c r="E152" s="19" t="n">
        <v>99.64047100000001</v>
      </c>
      <c r="F152" s="4" t="inlineStr">
        <is>
          <t>Mayan</t>
        </is>
      </c>
      <c r="G152" s="19" t="n">
        <v>99.885705</v>
      </c>
      <c r="H152" s="16">
        <f>(E152-G152)/100*10000</f>
        <v/>
      </c>
      <c r="I152" s="4" t="inlineStr"/>
      <c r="J152" s="4" t="inlineStr">
        <is>
          <t>2026-09-23T14:20:29.480Z</t>
        </is>
      </c>
      <c r="K152" s="4" t="inlineStr">
        <is>
          <t>2026-09-23T14:20:29.484Z</t>
        </is>
      </c>
      <c r="L152" s="13" t="n">
        <v>0.004</v>
      </c>
    </row>
    <row r="153">
      <c r="A153" s="4" t="inlineStr">
        <is>
          <t>BSC → SOL</t>
        </is>
      </c>
      <c r="B153" s="4" t="n">
        <v>2</v>
      </c>
      <c r="C153" s="4" t="inlineStr">
        <is>
          <t>LI.FI (Jumper)</t>
        </is>
      </c>
      <c r="D153" s="4" t="inlineStr">
        <is>
          <t>venue</t>
        </is>
      </c>
      <c r="E153" s="19" t="n">
        <v>99.639692</v>
      </c>
      <c r="F153" s="4" t="inlineStr">
        <is>
          <t>Mayan</t>
        </is>
      </c>
      <c r="G153" s="19" t="n">
        <v>99.88570900000001</v>
      </c>
      <c r="H153" s="16">
        <f>(E153-G153)/100*10000</f>
        <v/>
      </c>
      <c r="I153" s="4" t="inlineStr"/>
      <c r="J153" s="4" t="inlineStr">
        <is>
          <t>2026-09-23T14:25:12.872Z</t>
        </is>
      </c>
      <c r="K153" s="4" t="inlineStr">
        <is>
          <t>2026-09-23T14:25:12.871Z</t>
        </is>
      </c>
      <c r="L153" s="13" t="n">
        <v>0.001</v>
      </c>
    </row>
    <row r="154">
      <c r="A154" s="4" t="inlineStr">
        <is>
          <t>BSC → SOL</t>
        </is>
      </c>
      <c r="B154" s="4" t="n">
        <v>3</v>
      </c>
      <c r="C154" s="4" t="inlineStr">
        <is>
          <t>LI.FI (Jumper)</t>
        </is>
      </c>
      <c r="D154" s="4" t="inlineStr">
        <is>
          <t>venue</t>
        </is>
      </c>
      <c r="E154" s="19" t="n">
        <v>99.640843</v>
      </c>
      <c r="F154" s="4" t="inlineStr">
        <is>
          <t>Mayan</t>
        </is>
      </c>
      <c r="G154" s="19" t="n">
        <v>99.885718</v>
      </c>
      <c r="H154" s="16">
        <f>(E154-G154)/100*10000</f>
        <v/>
      </c>
      <c r="I154" s="4" t="inlineStr"/>
      <c r="J154" s="4" t="inlineStr">
        <is>
          <t>2026-09-23T14:29:48.304Z</t>
        </is>
      </c>
      <c r="K154" s="4" t="inlineStr">
        <is>
          <t>2026-09-23T14:29:48.301Z</t>
        </is>
      </c>
      <c r="L154" s="13" t="n">
        <v>0.003</v>
      </c>
    </row>
    <row r="155">
      <c r="A155" s="4" t="inlineStr">
        <is>
          <t>BSC → SOL</t>
        </is>
      </c>
      <c r="B155" s="4" t="n">
        <v>1</v>
      </c>
      <c r="C155" s="4" t="inlineStr">
        <is>
          <t>Across</t>
        </is>
      </c>
      <c r="D155" s="4" t="inlineStr">
        <is>
          <t>venue</t>
        </is>
      </c>
      <c r="E155" s="19" t="n">
        <v>99.64047100000001</v>
      </c>
      <c r="F155" s="4" t="inlineStr">
        <is>
          <t>Mayan</t>
        </is>
      </c>
      <c r="G155" s="19" t="n">
        <v>99.981745</v>
      </c>
      <c r="H155" s="16">
        <f>(E155-G155)/100*10000</f>
        <v/>
      </c>
      <c r="I155" s="4" t="inlineStr"/>
      <c r="J155" s="4" t="inlineStr">
        <is>
          <t>2026-09-23T14:20:29.480Z</t>
        </is>
      </c>
      <c r="K155" s="4" t="inlineStr">
        <is>
          <t>2026-09-23T14:20:29.481Z</t>
        </is>
      </c>
      <c r="L155" s="13" t="n">
        <v>0.001</v>
      </c>
    </row>
    <row r="156">
      <c r="A156" s="4" t="inlineStr">
        <is>
          <t>BSC → SOL</t>
        </is>
      </c>
      <c r="B156" s="4" t="n">
        <v>2</v>
      </c>
      <c r="C156" s="4" t="inlineStr">
        <is>
          <t>Across</t>
        </is>
      </c>
      <c r="D156" s="4" t="inlineStr">
        <is>
          <t>venue</t>
        </is>
      </c>
      <c r="E156" s="19" t="n">
        <v>99.639692</v>
      </c>
      <c r="F156" s="4" t="inlineStr">
        <is>
          <t>Mayan</t>
        </is>
      </c>
      <c r="G156" s="19" t="n">
        <v>99.98218799999999</v>
      </c>
      <c r="H156" s="16">
        <f>(E156-G156)/100*10000</f>
        <v/>
      </c>
      <c r="I156" s="4" t="inlineStr"/>
      <c r="J156" s="4" t="inlineStr">
        <is>
          <t>2026-09-23T14:25:12.872Z</t>
        </is>
      </c>
      <c r="K156" s="4" t="inlineStr">
        <is>
          <t>2026-09-23T14:25:12.869Z</t>
        </is>
      </c>
      <c r="L156" s="13" t="n">
        <v>0.003</v>
      </c>
    </row>
    <row r="157">
      <c r="A157" s="4" t="inlineStr">
        <is>
          <t>BSC → SOL</t>
        </is>
      </c>
      <c r="B157" s="4" t="n">
        <v>3</v>
      </c>
      <c r="C157" s="4" t="inlineStr">
        <is>
          <t>Across</t>
        </is>
      </c>
      <c r="D157" s="4" t="inlineStr">
        <is>
          <t>venue</t>
        </is>
      </c>
      <c r="E157" s="19" t="n">
        <v>99.640843</v>
      </c>
      <c r="F157" s="4" t="inlineStr">
        <is>
          <t>Mayan</t>
        </is>
      </c>
      <c r="G157" s="19" t="n">
        <v>99.972442</v>
      </c>
      <c r="H157" s="16">
        <f>(E157-G157)/100*10000</f>
        <v/>
      </c>
      <c r="I157" s="4" t="inlineStr"/>
      <c r="J157" s="4" t="inlineStr">
        <is>
          <t>2026-09-23T14:29:48.304Z</t>
        </is>
      </c>
      <c r="K157" s="4" t="inlineStr">
        <is>
          <t>2026-09-23T14:29:48.302Z</t>
        </is>
      </c>
      <c r="L157" s="13" t="n">
        <v>0.002</v>
      </c>
    </row>
    <row r="158">
      <c r="A158" s="4" t="inlineStr">
        <is>
          <t>BSC → SOL</t>
        </is>
      </c>
      <c r="B158" s="4" t="n">
        <v>1</v>
      </c>
      <c r="C158" s="4" t="inlineStr">
        <is>
          <t>Mayan</t>
        </is>
      </c>
      <c r="D158" s="4" t="inlineStr">
        <is>
          <t>venue</t>
        </is>
      </c>
      <c r="E158" s="19" t="n">
        <v>99.64047100000001</v>
      </c>
      <c r="F158" s="4" t="inlineStr">
        <is>
          <t>Mayan</t>
        </is>
      </c>
      <c r="G158" s="19" t="n">
        <v>99.69</v>
      </c>
      <c r="H158" s="16">
        <f>(E158-G158)/100*10000</f>
        <v/>
      </c>
      <c r="I158" s="4" t="inlineStr"/>
      <c r="J158" s="4" t="inlineStr">
        <is>
          <t>2026-09-23T14:20:29.480Z</t>
        </is>
      </c>
      <c r="K158" s="4" t="inlineStr">
        <is>
          <t>2026-09-23T14:20:29.481Z</t>
        </is>
      </c>
      <c r="L158" s="13" t="n">
        <v>0.001</v>
      </c>
    </row>
    <row r="159">
      <c r="A159" s="4" t="inlineStr">
        <is>
          <t>BSC → SOL</t>
        </is>
      </c>
      <c r="B159" s="4" t="n">
        <v>2</v>
      </c>
      <c r="C159" s="4" t="inlineStr">
        <is>
          <t>Mayan</t>
        </is>
      </c>
      <c r="D159" s="4" t="inlineStr">
        <is>
          <t>venue</t>
        </is>
      </c>
      <c r="E159" s="19" t="n">
        <v>99.639692</v>
      </c>
      <c r="F159" s="4" t="inlineStr">
        <is>
          <t>Mayan</t>
        </is>
      </c>
      <c r="G159" s="19" t="n">
        <v>99.68899999999999</v>
      </c>
      <c r="H159" s="16">
        <f>(E159-G159)/100*10000</f>
        <v/>
      </c>
      <c r="I159" s="4" t="inlineStr"/>
      <c r="J159" s="4" t="inlineStr">
        <is>
          <t>2026-09-23T14:25:12.872Z</t>
        </is>
      </c>
      <c r="K159" s="4" t="inlineStr">
        <is>
          <t>2026-09-23T14:25:12.870Z</t>
        </is>
      </c>
      <c r="L159" s="13" t="n">
        <v>0.002</v>
      </c>
    </row>
    <row r="160">
      <c r="A160" s="4" t="inlineStr">
        <is>
          <t>BSC → SOL</t>
        </is>
      </c>
      <c r="B160" s="4" t="n">
        <v>3</v>
      </c>
      <c r="C160" s="4" t="inlineStr">
        <is>
          <t>Mayan</t>
        </is>
      </c>
      <c r="D160" s="4" t="inlineStr">
        <is>
          <t>venue</t>
        </is>
      </c>
      <c r="E160" s="19" t="n">
        <v>99.640843</v>
      </c>
      <c r="F160" s="4" t="inlineStr">
        <is>
          <t>Mayan</t>
        </is>
      </c>
      <c r="G160" s="19" t="n">
        <v>99.69</v>
      </c>
      <c r="H160" s="16">
        <f>(E160-G160)/100*10000</f>
        <v/>
      </c>
      <c r="I160" s="4" t="inlineStr"/>
      <c r="J160" s="4" t="inlineStr">
        <is>
          <t>2026-09-23T14:29:48.304Z</t>
        </is>
      </c>
      <c r="K160" s="4" t="inlineStr">
        <is>
          <t>2026-09-23T14:29:48.302Z</t>
        </is>
      </c>
      <c r="L160" s="13" t="n">
        <v>0.002</v>
      </c>
    </row>
    <row r="161">
      <c r="A161" s="4" t="inlineStr">
        <is>
          <t>BSC → SOL</t>
        </is>
      </c>
      <c r="B161" s="4" t="n">
        <v>1</v>
      </c>
      <c r="C161" s="4" t="inlineStr">
        <is>
          <t>Husher</t>
        </is>
      </c>
      <c r="D161" s="4" t="inlineStr">
        <is>
          <t>venue</t>
        </is>
      </c>
      <c r="E161" s="19" t="n">
        <v>99.64047100000001</v>
      </c>
      <c r="F161" s="4" t="inlineStr">
        <is>
          <t>Mayan</t>
        </is>
      </c>
      <c r="G161" s="19" t="n">
        <v>99.34999999999999</v>
      </c>
      <c r="H161" s="16">
        <f>(E161-G161)/100*10000</f>
        <v/>
      </c>
      <c r="I161" s="4" t="inlineStr"/>
      <c r="J161" s="4" t="inlineStr">
        <is>
          <t>2026-09-23T14:20:29.480Z</t>
        </is>
      </c>
      <c r="K161" s="4" t="inlineStr">
        <is>
          <t>2026-09-23T14:20:29.481Z</t>
        </is>
      </c>
      <c r="L161" s="13" t="n">
        <v>0.001</v>
      </c>
    </row>
    <row r="162">
      <c r="A162" s="4" t="inlineStr">
        <is>
          <t>BSC → SOL</t>
        </is>
      </c>
      <c r="B162" s="4" t="n">
        <v>2</v>
      </c>
      <c r="C162" s="4" t="inlineStr">
        <is>
          <t>Husher</t>
        </is>
      </c>
      <c r="D162" s="4" t="inlineStr">
        <is>
          <t>venue</t>
        </is>
      </c>
      <c r="E162" s="19" t="n">
        <v>99.639692</v>
      </c>
      <c r="F162" s="4" t="inlineStr">
        <is>
          <t>Mayan</t>
        </is>
      </c>
      <c r="G162" s="19" t="n">
        <v>99.34999999999999</v>
      </c>
      <c r="H162" s="16">
        <f>(E162-G162)/100*10000</f>
        <v/>
      </c>
      <c r="I162" s="4" t="inlineStr"/>
      <c r="J162" s="4" t="inlineStr">
        <is>
          <t>2026-09-23T14:25:12.872Z</t>
        </is>
      </c>
      <c r="K162" s="4" t="inlineStr">
        <is>
          <t>2026-09-23T14:25:12.870Z</t>
        </is>
      </c>
      <c r="L162" s="13" t="n">
        <v>0.002</v>
      </c>
    </row>
    <row r="163">
      <c r="A163" s="4" t="inlineStr">
        <is>
          <t>BSC → SOL</t>
        </is>
      </c>
      <c r="B163" s="4" t="n">
        <v>3</v>
      </c>
      <c r="C163" s="4" t="inlineStr">
        <is>
          <t>Husher</t>
        </is>
      </c>
      <c r="D163" s="4" t="inlineStr">
        <is>
          <t>venue</t>
        </is>
      </c>
      <c r="E163" s="19" t="n">
        <v>99.640843</v>
      </c>
      <c r="F163" s="4" t="inlineStr">
        <is>
          <t>Mayan</t>
        </is>
      </c>
      <c r="G163" s="19" t="n">
        <v>99.34999999999999</v>
      </c>
      <c r="H163" s="16">
        <f>(E163-G163)/100*10000</f>
        <v/>
      </c>
      <c r="I163" s="4" t="inlineStr"/>
      <c r="J163" s="4" t="inlineStr">
        <is>
          <t>2026-09-23T14:29:48.304Z</t>
        </is>
      </c>
      <c r="K163" s="4" t="inlineStr">
        <is>
          <t>2026-09-23T14:29:48.302Z</t>
        </is>
      </c>
      <c r="L163" s="13" t="n">
        <v>0.002</v>
      </c>
    </row>
    <row r="164">
      <c r="A164" s="4" t="inlineStr">
        <is>
          <t>BSC → SOL</t>
        </is>
      </c>
      <c r="B164" s="4" t="n">
        <v>1</v>
      </c>
      <c r="C164" s="4" t="inlineStr">
        <is>
          <t>Layerswap</t>
        </is>
      </c>
      <c r="D164" s="4" t="inlineStr">
        <is>
          <t>venue</t>
        </is>
      </c>
      <c r="E164" s="19" t="n">
        <v>99.64047100000001</v>
      </c>
      <c r="F164" s="4" t="inlineStr">
        <is>
          <t>Mayan</t>
        </is>
      </c>
      <c r="G164" s="19" t="n">
        <v>99.633822</v>
      </c>
      <c r="H164" s="16">
        <f>(E164-G164)/100*10000</f>
        <v/>
      </c>
      <c r="I164" s="4" t="inlineStr"/>
      <c r="J164" s="4" t="inlineStr">
        <is>
          <t>2026-09-23T14:20:29.480Z</t>
        </is>
      </c>
      <c r="K164" s="4" t="inlineStr">
        <is>
          <t>2026-09-23T14:20:29.484Z</t>
        </is>
      </c>
      <c r="L164" s="13" t="n">
        <v>0.004</v>
      </c>
    </row>
    <row r="165">
      <c r="A165" s="4" t="inlineStr">
        <is>
          <t>BSC → SOL</t>
        </is>
      </c>
      <c r="B165" s="4" t="n">
        <v>2</v>
      </c>
      <c r="C165" s="4" t="inlineStr">
        <is>
          <t>Layerswap</t>
        </is>
      </c>
      <c r="D165" s="4" t="inlineStr">
        <is>
          <t>venue</t>
        </is>
      </c>
      <c r="E165" s="19" t="n">
        <v>99.639692</v>
      </c>
      <c r="F165" s="4" t="inlineStr">
        <is>
          <t>Mayan</t>
        </is>
      </c>
      <c r="G165" s="19" t="n">
        <v>99.63508899999999</v>
      </c>
      <c r="H165" s="16">
        <f>(E165-G165)/100*10000</f>
        <v/>
      </c>
      <c r="I165" s="4" t="inlineStr"/>
      <c r="J165" s="4" t="inlineStr">
        <is>
          <t>2026-09-23T14:25:12.872Z</t>
        </is>
      </c>
      <c r="K165" s="4" t="inlineStr">
        <is>
          <t>2026-09-23T14:25:12.871Z</t>
        </is>
      </c>
      <c r="L165" s="13" t="n">
        <v>0.001</v>
      </c>
    </row>
    <row r="166">
      <c r="A166" s="4" t="inlineStr">
        <is>
          <t>BSC → SOL</t>
        </is>
      </c>
      <c r="B166" s="4" t="n">
        <v>3</v>
      </c>
      <c r="C166" s="4" t="inlineStr">
        <is>
          <t>Layerswap</t>
        </is>
      </c>
      <c r="D166" s="4" t="inlineStr">
        <is>
          <t>venue</t>
        </is>
      </c>
      <c r="E166" s="19" t="n">
        <v>99.640843</v>
      </c>
      <c r="F166" s="4" t="inlineStr">
        <is>
          <t>Mayan</t>
        </is>
      </c>
      <c r="G166" s="19" t="n">
        <v>99.634899</v>
      </c>
      <c r="H166" s="16">
        <f>(E166-G166)/100*10000</f>
        <v/>
      </c>
      <c r="I166" s="4" t="inlineStr"/>
      <c r="J166" s="4" t="inlineStr">
        <is>
          <t>2026-09-23T14:29:48.304Z</t>
        </is>
      </c>
      <c r="K166" s="4" t="inlineStr">
        <is>
          <t>2026-09-23T14:29:48.303Z</t>
        </is>
      </c>
      <c r="L166" s="13" t="n">
        <v>0.001</v>
      </c>
    </row>
    <row r="167">
      <c r="A167" s="4" t="inlineStr">
        <is>
          <t>BSC → SOL</t>
        </is>
      </c>
      <c r="B167" s="4" t="n">
        <v>1</v>
      </c>
      <c r="C167" s="4" t="inlineStr">
        <is>
          <t>Meson</t>
        </is>
      </c>
      <c r="D167" s="4" t="inlineStr">
        <is>
          <t>venue</t>
        </is>
      </c>
      <c r="E167" s="19" t="n">
        <v>99.64047100000001</v>
      </c>
      <c r="F167" s="4" t="inlineStr">
        <is>
          <t>Mayan</t>
        </is>
      </c>
      <c r="G167" s="19" t="n">
        <v>99.59999999999999</v>
      </c>
      <c r="H167" s="16">
        <f>(E167-G167)/100*10000</f>
        <v/>
      </c>
      <c r="I167" s="4" t="inlineStr"/>
      <c r="J167" s="4" t="inlineStr">
        <is>
          <t>2026-09-23T14:20:29.480Z</t>
        </is>
      </c>
      <c r="K167" s="4" t="inlineStr">
        <is>
          <t>2026-09-23T14:20:29.480Z</t>
        </is>
      </c>
      <c r="L167" s="13" t="n">
        <v>0</v>
      </c>
    </row>
    <row r="168">
      <c r="A168" s="4" t="inlineStr">
        <is>
          <t>BSC → SOL</t>
        </is>
      </c>
      <c r="B168" s="4" t="n">
        <v>2</v>
      </c>
      <c r="C168" s="4" t="inlineStr">
        <is>
          <t>Meson</t>
        </is>
      </c>
      <c r="D168" s="4" t="inlineStr">
        <is>
          <t>venue</t>
        </is>
      </c>
      <c r="E168" s="19" t="n">
        <v>99.639692</v>
      </c>
      <c r="F168" s="4" t="inlineStr">
        <is>
          <t>Mayan</t>
        </is>
      </c>
      <c r="G168" s="19" t="n">
        <v>99.59999999999999</v>
      </c>
      <c r="H168" s="16">
        <f>(E168-G168)/100*10000</f>
        <v/>
      </c>
      <c r="I168" s="4" t="inlineStr"/>
      <c r="J168" s="4" t="inlineStr">
        <is>
          <t>2026-09-23T14:25:12.872Z</t>
        </is>
      </c>
      <c r="K168" s="4" t="inlineStr">
        <is>
          <t>2026-09-23T14:25:12.869Z</t>
        </is>
      </c>
      <c r="L168" s="13" t="n">
        <v>0.003</v>
      </c>
    </row>
    <row r="169">
      <c r="A169" s="4" t="inlineStr">
        <is>
          <t>BSC → SOL</t>
        </is>
      </c>
      <c r="B169" s="4" t="n">
        <v>3</v>
      </c>
      <c r="C169" s="4" t="inlineStr">
        <is>
          <t>Meson</t>
        </is>
      </c>
      <c r="D169" s="4" t="inlineStr">
        <is>
          <t>venue</t>
        </is>
      </c>
      <c r="E169" s="19" t="n">
        <v>99.640843</v>
      </c>
      <c r="F169" s="4" t="inlineStr">
        <is>
          <t>Mayan</t>
        </is>
      </c>
      <c r="G169" s="19" t="n">
        <v>99.59999999999999</v>
      </c>
      <c r="H169" s="16">
        <f>(E169-G169)/100*10000</f>
        <v/>
      </c>
      <c r="I169" s="4" t="inlineStr"/>
      <c r="J169" s="4" t="inlineStr">
        <is>
          <t>2026-09-23T14:29:48.304Z</t>
        </is>
      </c>
      <c r="K169" s="4" t="inlineStr">
        <is>
          <t>2026-09-23T14:29:48.302Z</t>
        </is>
      </c>
      <c r="L169" s="13" t="n">
        <v>0.002</v>
      </c>
    </row>
    <row r="170">
      <c r="A170" s="4" t="inlineStr">
        <is>
          <t>BSC → SOL</t>
        </is>
      </c>
      <c r="B170" s="4" t="n">
        <v>1</v>
      </c>
      <c r="C170" s="4" t="inlineStr">
        <is>
          <t>SimpleSwap</t>
        </is>
      </c>
      <c r="D170" s="4" t="inlineStr">
        <is>
          <t>venue</t>
        </is>
      </c>
      <c r="E170" s="19" t="n">
        <v>99.64047100000001</v>
      </c>
      <c r="F170" s="4" t="inlineStr">
        <is>
          <t>Mayan</t>
        </is>
      </c>
      <c r="G170" s="19" t="n">
        <v>98.180302</v>
      </c>
      <c r="H170" s="16">
        <f>(E170-G170)/100*10000</f>
        <v/>
      </c>
      <c r="I170" s="4" t="inlineStr"/>
      <c r="J170" s="4" t="inlineStr">
        <is>
          <t>2026-09-23T14:20:29.480Z</t>
        </is>
      </c>
      <c r="K170" s="4" t="inlineStr">
        <is>
          <t>2026-09-23T14:20:29.484Z</t>
        </is>
      </c>
      <c r="L170" s="13" t="n">
        <v>0.004</v>
      </c>
    </row>
    <row r="171">
      <c r="A171" s="4" t="inlineStr">
        <is>
          <t>BSC → SOL</t>
        </is>
      </c>
      <c r="B171" s="4" t="n">
        <v>2</v>
      </c>
      <c r="C171" s="4" t="inlineStr">
        <is>
          <t>SimpleSwap</t>
        </is>
      </c>
      <c r="D171" s="4" t="inlineStr">
        <is>
          <t>venue</t>
        </is>
      </c>
      <c r="E171" s="19" t="n">
        <v>99.639692</v>
      </c>
      <c r="F171" s="4" t="inlineStr">
        <is>
          <t>Mayan</t>
        </is>
      </c>
      <c r="G171" s="19" t="n">
        <v>98.180302</v>
      </c>
      <c r="H171" s="16">
        <f>(E171-G171)/100*10000</f>
        <v/>
      </c>
      <c r="I171" s="4" t="inlineStr"/>
      <c r="J171" s="4" t="inlineStr">
        <is>
          <t>2026-09-23T14:25:12.872Z</t>
        </is>
      </c>
      <c r="K171" s="4" t="inlineStr">
        <is>
          <t>2026-09-23T14:25:12.872Z</t>
        </is>
      </c>
      <c r="L171" s="13" t="n">
        <v>0</v>
      </c>
    </row>
    <row r="172">
      <c r="A172" s="4" t="inlineStr">
        <is>
          <t>BSC → SOL</t>
        </is>
      </c>
      <c r="B172" s="4" t="n">
        <v>3</v>
      </c>
      <c r="C172" s="4" t="inlineStr">
        <is>
          <t>SimpleSwap</t>
        </is>
      </c>
      <c r="D172" s="4" t="inlineStr">
        <is>
          <t>venue</t>
        </is>
      </c>
      <c r="E172" s="19" t="n">
        <v>99.640843</v>
      </c>
      <c r="F172" s="4" t="inlineStr">
        <is>
          <t>Mayan</t>
        </is>
      </c>
      <c r="G172" s="19" t="n">
        <v>98.180302</v>
      </c>
      <c r="H172" s="16">
        <f>(E172-G172)/100*10000</f>
        <v/>
      </c>
      <c r="I172" s="4" t="inlineStr"/>
      <c r="J172" s="4" t="inlineStr">
        <is>
          <t>2026-09-23T14:29:48.304Z</t>
        </is>
      </c>
      <c r="K172" s="4" t="inlineStr">
        <is>
          <t>2026-09-23T14:29:48.304Z</t>
        </is>
      </c>
      <c r="L172" s="13" t="n">
        <v>0</v>
      </c>
    </row>
    <row r="173">
      <c r="A173" s="4" t="inlineStr">
        <is>
          <t>BSC → SOL</t>
        </is>
      </c>
      <c r="B173" s="4" t="n">
        <v>1</v>
      </c>
      <c r="C173" s="4" t="inlineStr">
        <is>
          <t>Symbiosis</t>
        </is>
      </c>
      <c r="D173" s="4" t="inlineStr">
        <is>
          <t>venue</t>
        </is>
      </c>
      <c r="E173" s="19" t="n">
        <v>99.64047100000001</v>
      </c>
      <c r="F173" s="4" t="inlineStr">
        <is>
          <t>Mayan</t>
        </is>
      </c>
      <c r="G173" s="19" t="n">
        <v>98.355626</v>
      </c>
      <c r="H173" s="16">
        <f>(E173-G173)/100*10000</f>
        <v/>
      </c>
      <c r="I173" s="4" t="inlineStr"/>
      <c r="J173" s="4" t="inlineStr">
        <is>
          <t>2026-09-23T14:20:29.480Z</t>
        </is>
      </c>
      <c r="K173" s="4" t="inlineStr">
        <is>
          <t>2026-09-23T14:20:29.480Z</t>
        </is>
      </c>
      <c r="L173" s="13" t="n">
        <v>0</v>
      </c>
    </row>
    <row r="174">
      <c r="A174" s="4" t="inlineStr">
        <is>
          <t>BSC → SOL</t>
        </is>
      </c>
      <c r="B174" s="4" t="n">
        <v>2</v>
      </c>
      <c r="C174" s="4" t="inlineStr">
        <is>
          <t>Symbiosis</t>
        </is>
      </c>
      <c r="D174" s="4" t="inlineStr">
        <is>
          <t>venue</t>
        </is>
      </c>
      <c r="E174" s="19" t="n">
        <v>99.639692</v>
      </c>
      <c r="F174" s="4" t="inlineStr">
        <is>
          <t>Mayan</t>
        </is>
      </c>
      <c r="G174" s="19" t="n">
        <v>98.360523</v>
      </c>
      <c r="H174" s="16">
        <f>(E174-G174)/100*10000</f>
        <v/>
      </c>
      <c r="I174" s="4" t="inlineStr"/>
      <c r="J174" s="4" t="inlineStr">
        <is>
          <t>2026-09-23T14:25:12.872Z</t>
        </is>
      </c>
      <c r="K174" s="4" t="inlineStr">
        <is>
          <t>2026-09-23T14:25:12.869Z</t>
        </is>
      </c>
      <c r="L174" s="13" t="n">
        <v>0.003</v>
      </c>
    </row>
    <row r="175">
      <c r="A175" s="4" t="inlineStr">
        <is>
          <t>BSC → SOL</t>
        </is>
      </c>
      <c r="B175" s="4" t="n">
        <v>3</v>
      </c>
      <c r="C175" s="4" t="inlineStr">
        <is>
          <t>Symbiosis</t>
        </is>
      </c>
      <c r="D175" s="4" t="inlineStr">
        <is>
          <t>venue</t>
        </is>
      </c>
      <c r="E175" s="19" t="n">
        <v>99.640843</v>
      </c>
      <c r="F175" s="4" t="inlineStr">
        <is>
          <t>Mayan</t>
        </is>
      </c>
      <c r="G175" s="19" t="n">
        <v>98.357827</v>
      </c>
      <c r="H175" s="16">
        <f>(E175-G175)/100*10000</f>
        <v/>
      </c>
      <c r="I175" s="4" t="inlineStr"/>
      <c r="J175" s="4" t="inlineStr">
        <is>
          <t>2026-09-23T14:29:48.304Z</t>
        </is>
      </c>
      <c r="K175" s="4" t="inlineStr">
        <is>
          <t>2026-09-23T14:29:48.305Z</t>
        </is>
      </c>
      <c r="L175" s="13" t="n">
        <v>0.001</v>
      </c>
    </row>
    <row r="176">
      <c r="A176" s="4" t="inlineStr">
        <is>
          <t>SOL → Base</t>
        </is>
      </c>
      <c r="B176" s="4" t="n">
        <v>1</v>
      </c>
      <c r="C176" s="4" t="inlineStr">
        <is>
          <t>OpenSea</t>
        </is>
      </c>
      <c r="D176" s="4" t="inlineStr">
        <is>
          <t>platform</t>
        </is>
      </c>
      <c r="E176" s="19" t="n">
        <v>99.943099</v>
      </c>
      <c r="F176" s="4" t="inlineStr">
        <is>
          <t>Skip Go</t>
        </is>
      </c>
      <c r="G176" s="19" t="n">
        <v>99.9332</v>
      </c>
      <c r="H176" s="16">
        <f>(E176-G176)/100*10000</f>
        <v/>
      </c>
      <c r="I176" s="4" t="inlineStr">
        <is>
          <t>yes</t>
        </is>
      </c>
      <c r="J176" s="4" t="inlineStr">
        <is>
          <t>2026-09-23T14:21:09.321Z</t>
        </is>
      </c>
      <c r="K176" s="4" t="inlineStr">
        <is>
          <t>2026-09-23T14:21:09.322Z</t>
        </is>
      </c>
      <c r="L176" s="13" t="n">
        <v>0.001</v>
      </c>
    </row>
    <row r="177">
      <c r="A177" s="4" t="inlineStr">
        <is>
          <t>SOL → Base</t>
        </is>
      </c>
      <c r="B177" s="4" t="n">
        <v>2</v>
      </c>
      <c r="C177" s="4" t="inlineStr">
        <is>
          <t>OpenSea</t>
        </is>
      </c>
      <c r="D177" s="4" t="inlineStr">
        <is>
          <t>platform</t>
        </is>
      </c>
      <c r="E177" s="19" t="n">
        <v>99.943099</v>
      </c>
      <c r="F177" s="4" t="inlineStr">
        <is>
          <t>Skip Go</t>
        </is>
      </c>
      <c r="G177" s="19" t="n">
        <v>99.9254</v>
      </c>
      <c r="H177" s="16">
        <f>(E177-G177)/100*10000</f>
        <v/>
      </c>
      <c r="I177" s="4" t="inlineStr">
        <is>
          <t>yes</t>
        </is>
      </c>
      <c r="J177" s="4" t="inlineStr">
        <is>
          <t>2026-09-23T14:25:46.682Z</t>
        </is>
      </c>
      <c r="K177" s="4" t="inlineStr">
        <is>
          <t>2026-09-23T14:25:46.683Z</t>
        </is>
      </c>
      <c r="L177" s="13" t="n">
        <v>0.001</v>
      </c>
    </row>
    <row r="178">
      <c r="A178" s="4" t="inlineStr">
        <is>
          <t>SOL → Base</t>
        </is>
      </c>
      <c r="B178" s="4" t="n">
        <v>3</v>
      </c>
      <c r="C178" s="4" t="inlineStr">
        <is>
          <t>OpenSea</t>
        </is>
      </c>
      <c r="D178" s="4" t="inlineStr">
        <is>
          <t>platform</t>
        </is>
      </c>
      <c r="E178" s="19" t="n">
        <v>99.943883</v>
      </c>
      <c r="F178" s="4" t="inlineStr">
        <is>
          <t>Skip Go</t>
        </is>
      </c>
      <c r="G178" s="19" t="n">
        <v>99.9409</v>
      </c>
      <c r="H178" s="16">
        <f>(E178-G178)/100*10000</f>
        <v/>
      </c>
      <c r="I178" s="4" t="inlineStr">
        <is>
          <t>yes</t>
        </is>
      </c>
      <c r="J178" s="4" t="inlineStr">
        <is>
          <t>2026-09-23T14:30:23.906Z</t>
        </is>
      </c>
      <c r="K178" s="4" t="inlineStr">
        <is>
          <t>2026-09-23T14:30:23.906Z</t>
        </is>
      </c>
      <c r="L178" s="13" t="n">
        <v>0</v>
      </c>
    </row>
    <row r="179">
      <c r="A179" s="4" t="inlineStr">
        <is>
          <t>SOL → Base</t>
        </is>
      </c>
      <c r="B179" s="4" t="n">
        <v>1</v>
      </c>
      <c r="C179" s="4" t="inlineStr">
        <is>
          <t>Relay</t>
        </is>
      </c>
      <c r="D179" s="4" t="inlineStr">
        <is>
          <t>venue</t>
        </is>
      </c>
      <c r="E179" s="19" t="n">
        <v>99.943099</v>
      </c>
      <c r="F179" s="4" t="inlineStr">
        <is>
          <t>Skip Go</t>
        </is>
      </c>
      <c r="G179" s="19" t="n">
        <v>99.937898</v>
      </c>
      <c r="H179" s="16">
        <f>(E179-G179)/100*10000</f>
        <v/>
      </c>
      <c r="I179" s="4" t="inlineStr"/>
      <c r="J179" s="4" t="inlineStr">
        <is>
          <t>2026-09-23T14:21:09.321Z</t>
        </is>
      </c>
      <c r="K179" s="4" t="inlineStr">
        <is>
          <t>2026-09-23T14:21:09.318Z</t>
        </is>
      </c>
      <c r="L179" s="13" t="n">
        <v>0.003</v>
      </c>
    </row>
    <row r="180">
      <c r="A180" s="4" t="inlineStr">
        <is>
          <t>SOL → Base</t>
        </is>
      </c>
      <c r="B180" s="4" t="n">
        <v>2</v>
      </c>
      <c r="C180" s="4" t="inlineStr">
        <is>
          <t>Relay</t>
        </is>
      </c>
      <c r="D180" s="4" t="inlineStr">
        <is>
          <t>venue</t>
        </is>
      </c>
      <c r="E180" s="19" t="n">
        <v>99.943099</v>
      </c>
      <c r="F180" s="4" t="inlineStr">
        <is>
          <t>Skip Go</t>
        </is>
      </c>
      <c r="G180" s="19" t="n">
        <v>99.93352899999999</v>
      </c>
      <c r="H180" s="16">
        <f>(E180-G180)/100*10000</f>
        <v/>
      </c>
      <c r="I180" s="4" t="inlineStr"/>
      <c r="J180" s="4" t="inlineStr">
        <is>
          <t>2026-09-23T14:25:46.682Z</t>
        </is>
      </c>
      <c r="K180" s="4" t="inlineStr">
        <is>
          <t>2026-09-23T14:25:46.682Z</t>
        </is>
      </c>
      <c r="L180" s="13" t="n">
        <v>0</v>
      </c>
    </row>
    <row r="181">
      <c r="A181" s="4" t="inlineStr">
        <is>
          <t>SOL → Base</t>
        </is>
      </c>
      <c r="B181" s="4" t="n">
        <v>3</v>
      </c>
      <c r="C181" s="4" t="inlineStr">
        <is>
          <t>Relay</t>
        </is>
      </c>
      <c r="D181" s="4" t="inlineStr">
        <is>
          <t>venue</t>
        </is>
      </c>
      <c r="E181" s="19" t="n">
        <v>99.943883</v>
      </c>
      <c r="F181" s="4" t="inlineStr">
        <is>
          <t>Skip Go</t>
        </is>
      </c>
      <c r="G181" s="19" t="n">
        <v>99.93512</v>
      </c>
      <c r="H181" s="16">
        <f>(E181-G181)/100*10000</f>
        <v/>
      </c>
      <c r="I181" s="4" t="inlineStr"/>
      <c r="J181" s="4" t="inlineStr">
        <is>
          <t>2026-09-23T14:30:23.906Z</t>
        </is>
      </c>
      <c r="K181" s="4" t="inlineStr">
        <is>
          <t>2026-09-23T14:30:23.904Z</t>
        </is>
      </c>
      <c r="L181" s="13" t="n">
        <v>0.002</v>
      </c>
    </row>
    <row r="182">
      <c r="A182" s="4" t="inlineStr">
        <is>
          <t>SOL → Base</t>
        </is>
      </c>
      <c r="B182" s="4" t="n">
        <v>1</v>
      </c>
      <c r="C182" s="4" t="inlineStr">
        <is>
          <t>deBridge</t>
        </is>
      </c>
      <c r="D182" s="4" t="inlineStr">
        <is>
          <t>venue</t>
        </is>
      </c>
      <c r="E182" s="19" t="n">
        <v>99.943099</v>
      </c>
      <c r="F182" s="4" t="inlineStr">
        <is>
          <t>Skip Go</t>
        </is>
      </c>
      <c r="G182" s="19" t="n">
        <v>98.352233</v>
      </c>
      <c r="H182" s="16">
        <f>(E182-G182)/100*10000</f>
        <v/>
      </c>
      <c r="I182" s="4" t="inlineStr"/>
      <c r="J182" s="4" t="inlineStr">
        <is>
          <t>2026-09-23T14:21:09.321Z</t>
        </is>
      </c>
      <c r="K182" s="4" t="inlineStr">
        <is>
          <t>2026-09-23T14:21:09.320Z</t>
        </is>
      </c>
      <c r="L182" s="13" t="n">
        <v>0.001</v>
      </c>
    </row>
    <row r="183">
      <c r="A183" s="4" t="inlineStr">
        <is>
          <t>SOL → Base</t>
        </is>
      </c>
      <c r="B183" s="4" t="n">
        <v>2</v>
      </c>
      <c r="C183" s="4" t="inlineStr">
        <is>
          <t>deBridge</t>
        </is>
      </c>
      <c r="D183" s="4" t="inlineStr">
        <is>
          <t>venue</t>
        </is>
      </c>
      <c r="E183" s="19" t="n">
        <v>99.943099</v>
      </c>
      <c r="F183" s="4" t="inlineStr">
        <is>
          <t>Skip Go</t>
        </is>
      </c>
      <c r="G183" s="19" t="n">
        <v>98.881818</v>
      </c>
      <c r="H183" s="16">
        <f>(E183-G183)/100*10000</f>
        <v/>
      </c>
      <c r="I183" s="4" t="inlineStr"/>
      <c r="J183" s="4" t="inlineStr">
        <is>
          <t>2026-09-23T14:25:46.682Z</t>
        </is>
      </c>
      <c r="K183" s="4" t="inlineStr">
        <is>
          <t>2026-09-23T14:25:46.681Z</t>
        </is>
      </c>
      <c r="L183" s="13" t="n">
        <v>0.001</v>
      </c>
    </row>
    <row r="184">
      <c r="A184" s="4" t="inlineStr">
        <is>
          <t>SOL → Base</t>
        </is>
      </c>
      <c r="B184" s="4" t="n">
        <v>3</v>
      </c>
      <c r="C184" s="4" t="inlineStr">
        <is>
          <t>deBridge</t>
        </is>
      </c>
      <c r="D184" s="4" t="inlineStr">
        <is>
          <t>venue</t>
        </is>
      </c>
      <c r="E184" s="19" t="n">
        <v>99.943883</v>
      </c>
      <c r="F184" s="4" t="inlineStr">
        <is>
          <t>Skip Go</t>
        </is>
      </c>
      <c r="G184" s="19" t="n">
        <v>98.357832</v>
      </c>
      <c r="H184" s="16">
        <f>(E184-G184)/100*10000</f>
        <v/>
      </c>
      <c r="I184" s="4" t="inlineStr"/>
      <c r="J184" s="4" t="inlineStr">
        <is>
          <t>2026-09-23T14:30:23.906Z</t>
        </is>
      </c>
      <c r="K184" s="4" t="inlineStr">
        <is>
          <t>2026-09-23T14:30:23.905Z</t>
        </is>
      </c>
      <c r="L184" s="13" t="n">
        <v>0.001</v>
      </c>
    </row>
    <row r="185">
      <c r="A185" s="4" t="inlineStr">
        <is>
          <t>SOL → Base</t>
        </is>
      </c>
      <c r="B185" s="4" t="n">
        <v>1</v>
      </c>
      <c r="C185" s="4" t="inlineStr">
        <is>
          <t>LI.FI (Jumper)</t>
        </is>
      </c>
      <c r="D185" s="4" t="inlineStr">
        <is>
          <t>venue</t>
        </is>
      </c>
      <c r="E185" s="19" t="n">
        <v>99.943099</v>
      </c>
      <c r="F185" s="4" t="inlineStr">
        <is>
          <t>Skip Go</t>
        </is>
      </c>
      <c r="G185" s="19" t="n">
        <v>100</v>
      </c>
      <c r="H185" s="16">
        <f>(E185-G185)/100*10000</f>
        <v/>
      </c>
      <c r="I185" s="4" t="inlineStr"/>
      <c r="J185" s="4" t="inlineStr">
        <is>
          <t>2026-09-23T14:21:09.321Z</t>
        </is>
      </c>
      <c r="K185" s="4" t="inlineStr">
        <is>
          <t>2026-09-23T14:21:09.316Z</t>
        </is>
      </c>
      <c r="L185" s="13" t="n">
        <v>0.005</v>
      </c>
    </row>
    <row r="186">
      <c r="A186" s="4" t="inlineStr">
        <is>
          <t>SOL → Base</t>
        </is>
      </c>
      <c r="B186" s="4" t="n">
        <v>2</v>
      </c>
      <c r="C186" s="4" t="inlineStr">
        <is>
          <t>LI.FI (Jumper)</t>
        </is>
      </c>
      <c r="D186" s="4" t="inlineStr">
        <is>
          <t>venue</t>
        </is>
      </c>
      <c r="E186" s="19" t="n">
        <v>99.943099</v>
      </c>
      <c r="F186" s="4" t="inlineStr">
        <is>
          <t>Skip Go</t>
        </is>
      </c>
      <c r="G186" s="19" t="n">
        <v>100</v>
      </c>
      <c r="H186" s="16">
        <f>(E186-G186)/100*10000</f>
        <v/>
      </c>
      <c r="I186" s="4" t="inlineStr"/>
      <c r="J186" s="4" t="inlineStr">
        <is>
          <t>2026-09-23T14:25:46.682Z</t>
        </is>
      </c>
      <c r="K186" s="4" t="inlineStr">
        <is>
          <t>2026-09-23T14:25:46.680Z</t>
        </is>
      </c>
      <c r="L186" s="13" t="n">
        <v>0.002</v>
      </c>
    </row>
    <row r="187">
      <c r="A187" s="4" t="inlineStr">
        <is>
          <t>SOL → Base</t>
        </is>
      </c>
      <c r="B187" s="4" t="n">
        <v>3</v>
      </c>
      <c r="C187" s="4" t="inlineStr">
        <is>
          <t>LI.FI (Jumper)</t>
        </is>
      </c>
      <c r="D187" s="4" t="inlineStr">
        <is>
          <t>venue</t>
        </is>
      </c>
      <c r="E187" s="19" t="n">
        <v>99.943883</v>
      </c>
      <c r="F187" s="4" t="inlineStr">
        <is>
          <t>Skip Go</t>
        </is>
      </c>
      <c r="G187" s="19" t="n">
        <v>100</v>
      </c>
      <c r="H187" s="16">
        <f>(E187-G187)/100*10000</f>
        <v/>
      </c>
      <c r="I187" s="4" t="inlineStr"/>
      <c r="J187" s="4" t="inlineStr">
        <is>
          <t>2026-09-23T14:30:23.906Z</t>
        </is>
      </c>
      <c r="K187" s="4" t="inlineStr">
        <is>
          <t>2026-09-23T14:30:23.903Z</t>
        </is>
      </c>
      <c r="L187" s="13" t="n">
        <v>0.003</v>
      </c>
    </row>
    <row r="188">
      <c r="A188" s="4" t="inlineStr">
        <is>
          <t>SOL → Base</t>
        </is>
      </c>
      <c r="B188" s="4" t="n">
        <v>1</v>
      </c>
      <c r="C188" s="4" t="inlineStr">
        <is>
          <t>Across</t>
        </is>
      </c>
      <c r="D188" s="4" t="inlineStr">
        <is>
          <t>venue</t>
        </is>
      </c>
      <c r="E188" s="19" t="n">
        <v>99.943099</v>
      </c>
      <c r="F188" s="4" t="inlineStr">
        <is>
          <t>Skip Go</t>
        </is>
      </c>
      <c r="G188" s="19" t="n">
        <v>99.98999999999999</v>
      </c>
      <c r="H188" s="16">
        <f>(E188-G188)/100*10000</f>
        <v/>
      </c>
      <c r="I188" s="4" t="inlineStr"/>
      <c r="J188" s="4" t="inlineStr">
        <is>
          <t>2026-09-23T14:21:09.321Z</t>
        </is>
      </c>
      <c r="K188" s="4" t="inlineStr">
        <is>
          <t>2026-09-23T14:21:09.317Z</t>
        </is>
      </c>
      <c r="L188" s="13" t="n">
        <v>0.004</v>
      </c>
    </row>
    <row r="189">
      <c r="A189" s="4" t="inlineStr">
        <is>
          <t>SOL → Base</t>
        </is>
      </c>
      <c r="B189" s="4" t="n">
        <v>2</v>
      </c>
      <c r="C189" s="4" t="inlineStr">
        <is>
          <t>Across</t>
        </is>
      </c>
      <c r="D189" s="4" t="inlineStr">
        <is>
          <t>venue</t>
        </is>
      </c>
      <c r="E189" s="19" t="n">
        <v>99.943099</v>
      </c>
      <c r="F189" s="4" t="inlineStr">
        <is>
          <t>Skip Go</t>
        </is>
      </c>
      <c r="G189" s="19" t="n">
        <v>99.98999999999999</v>
      </c>
      <c r="H189" s="16">
        <f>(E189-G189)/100*10000</f>
        <v/>
      </c>
      <c r="I189" s="4" t="inlineStr"/>
      <c r="J189" s="4" t="inlineStr">
        <is>
          <t>2026-09-23T14:25:46.682Z</t>
        </is>
      </c>
      <c r="K189" s="4" t="inlineStr">
        <is>
          <t>2026-09-23T14:25:46.681Z</t>
        </is>
      </c>
      <c r="L189" s="13" t="n">
        <v>0.001</v>
      </c>
    </row>
    <row r="190">
      <c r="A190" s="4" t="inlineStr">
        <is>
          <t>SOL → Base</t>
        </is>
      </c>
      <c r="B190" s="4" t="n">
        <v>3</v>
      </c>
      <c r="C190" s="4" t="inlineStr">
        <is>
          <t>Across</t>
        </is>
      </c>
      <c r="D190" s="4" t="inlineStr">
        <is>
          <t>venue</t>
        </is>
      </c>
      <c r="E190" s="19" t="n">
        <v>99.943883</v>
      </c>
      <c r="F190" s="4" t="inlineStr">
        <is>
          <t>Skip Go</t>
        </is>
      </c>
      <c r="G190" s="19" t="n">
        <v>99.98999999999999</v>
      </c>
      <c r="H190" s="16">
        <f>(E190-G190)/100*10000</f>
        <v/>
      </c>
      <c r="I190" s="4" t="inlineStr"/>
      <c r="J190" s="4" t="inlineStr">
        <is>
          <t>2026-09-23T14:30:23.906Z</t>
        </is>
      </c>
      <c r="K190" s="4" t="inlineStr">
        <is>
          <t>2026-09-23T14:30:23.904Z</t>
        </is>
      </c>
      <c r="L190" s="13" t="n">
        <v>0.002</v>
      </c>
    </row>
    <row r="191">
      <c r="A191" s="4" t="inlineStr">
        <is>
          <t>SOL → Base</t>
        </is>
      </c>
      <c r="B191" s="4" t="n">
        <v>1</v>
      </c>
      <c r="C191" s="4" t="inlineStr">
        <is>
          <t>Mayan</t>
        </is>
      </c>
      <c r="D191" s="4" t="inlineStr">
        <is>
          <t>venue</t>
        </is>
      </c>
      <c r="E191" s="19" t="n">
        <v>99.943099</v>
      </c>
      <c r="F191" s="4" t="inlineStr">
        <is>
          <t>Skip Go</t>
        </is>
      </c>
      <c r="G191" s="19" t="n">
        <v>99.93300000000001</v>
      </c>
      <c r="H191" s="16">
        <f>(E191-G191)/100*10000</f>
        <v/>
      </c>
      <c r="I191" s="4" t="inlineStr"/>
      <c r="J191" s="4" t="inlineStr">
        <is>
          <t>2026-09-23T14:21:09.321Z</t>
        </is>
      </c>
      <c r="K191" s="4" t="inlineStr">
        <is>
          <t>2026-09-23T14:21:09.316Z</t>
        </is>
      </c>
      <c r="L191" s="13" t="n">
        <v>0.005</v>
      </c>
    </row>
    <row r="192">
      <c r="A192" s="4" t="inlineStr">
        <is>
          <t>SOL → Base</t>
        </is>
      </c>
      <c r="B192" s="4" t="n">
        <v>2</v>
      </c>
      <c r="C192" s="4" t="inlineStr">
        <is>
          <t>Mayan</t>
        </is>
      </c>
      <c r="D192" s="4" t="inlineStr">
        <is>
          <t>venue</t>
        </is>
      </c>
      <c r="E192" s="19" t="n">
        <v>99.943099</v>
      </c>
      <c r="F192" s="4" t="inlineStr">
        <is>
          <t>Skip Go</t>
        </is>
      </c>
      <c r="G192" s="19" t="n">
        <v>99.93300000000001</v>
      </c>
      <c r="H192" s="16">
        <f>(E192-G192)/100*10000</f>
        <v/>
      </c>
      <c r="I192" s="4" t="inlineStr"/>
      <c r="J192" s="4" t="inlineStr">
        <is>
          <t>2026-09-23T14:25:46.682Z</t>
        </is>
      </c>
      <c r="K192" s="4" t="inlineStr">
        <is>
          <t>2026-09-23T14:25:46.681Z</t>
        </is>
      </c>
      <c r="L192" s="13" t="n">
        <v>0.001</v>
      </c>
    </row>
    <row r="193">
      <c r="A193" s="4" t="inlineStr">
        <is>
          <t>SOL → Base</t>
        </is>
      </c>
      <c r="B193" s="4" t="n">
        <v>3</v>
      </c>
      <c r="C193" s="4" t="inlineStr">
        <is>
          <t>Mayan</t>
        </is>
      </c>
      <c r="D193" s="4" t="inlineStr">
        <is>
          <t>venue</t>
        </is>
      </c>
      <c r="E193" s="19" t="n">
        <v>99.943883</v>
      </c>
      <c r="F193" s="4" t="inlineStr">
        <is>
          <t>Skip Go</t>
        </is>
      </c>
      <c r="G193" s="19" t="n">
        <v>99.94</v>
      </c>
      <c r="H193" s="16">
        <f>(E193-G193)/100*10000</f>
        <v/>
      </c>
      <c r="I193" s="4" t="inlineStr"/>
      <c r="J193" s="4" t="inlineStr">
        <is>
          <t>2026-09-23T14:30:23.906Z</t>
        </is>
      </c>
      <c r="K193" s="4" t="inlineStr">
        <is>
          <t>2026-09-23T14:30:23.904Z</t>
        </is>
      </c>
      <c r="L193" s="13" t="n">
        <v>0.002</v>
      </c>
    </row>
    <row r="194">
      <c r="A194" s="4" t="inlineStr">
        <is>
          <t>SOL → Base</t>
        </is>
      </c>
      <c r="B194" s="4" t="n">
        <v>1</v>
      </c>
      <c r="C194" s="4" t="inlineStr">
        <is>
          <t>Allbridge Core</t>
        </is>
      </c>
      <c r="D194" s="4" t="inlineStr">
        <is>
          <t>venue</t>
        </is>
      </c>
      <c r="E194" s="19" t="n">
        <v>99.943099</v>
      </c>
      <c r="F194" s="4" t="inlineStr">
        <is>
          <t>Skip Go</t>
        </is>
      </c>
      <c r="G194" s="19" t="n">
        <v>99.90000000000001</v>
      </c>
      <c r="H194" s="16">
        <f>(E194-G194)/100*10000</f>
        <v/>
      </c>
      <c r="I194" s="4" t="inlineStr">
        <is>
          <t>yes</t>
        </is>
      </c>
      <c r="J194" s="4" t="inlineStr">
        <is>
          <t>2026-09-23T14:21:09.321Z</t>
        </is>
      </c>
      <c r="K194" s="4" t="inlineStr">
        <is>
          <t>2026-09-23T14:21:09.317Z</t>
        </is>
      </c>
      <c r="L194" s="13" t="n">
        <v>0.004</v>
      </c>
    </row>
    <row r="195">
      <c r="A195" s="4" t="inlineStr">
        <is>
          <t>SOL → Base</t>
        </is>
      </c>
      <c r="B195" s="4" t="n">
        <v>2</v>
      </c>
      <c r="C195" s="4" t="inlineStr">
        <is>
          <t>Allbridge Core</t>
        </is>
      </c>
      <c r="D195" s="4" t="inlineStr">
        <is>
          <t>venue</t>
        </is>
      </c>
      <c r="E195" s="19" t="n">
        <v>99.943099</v>
      </c>
      <c r="F195" s="4" t="inlineStr">
        <is>
          <t>Skip Go</t>
        </is>
      </c>
      <c r="G195" s="19" t="n">
        <v>99.90000000000001</v>
      </c>
      <c r="H195" s="16">
        <f>(E195-G195)/100*10000</f>
        <v/>
      </c>
      <c r="I195" s="4" t="inlineStr">
        <is>
          <t>yes</t>
        </is>
      </c>
      <c r="J195" s="4" t="inlineStr">
        <is>
          <t>2026-09-23T14:25:46.682Z</t>
        </is>
      </c>
      <c r="K195" s="4" t="inlineStr">
        <is>
          <t>2026-09-23T14:25:46.682Z</t>
        </is>
      </c>
      <c r="L195" s="13" t="n">
        <v>0</v>
      </c>
    </row>
    <row r="196">
      <c r="A196" s="4" t="inlineStr">
        <is>
          <t>SOL → Base</t>
        </is>
      </c>
      <c r="B196" s="4" t="n">
        <v>3</v>
      </c>
      <c r="C196" s="4" t="inlineStr">
        <is>
          <t>Allbridge Core</t>
        </is>
      </c>
      <c r="D196" s="4" t="inlineStr">
        <is>
          <t>venue</t>
        </is>
      </c>
      <c r="E196" s="19" t="n">
        <v>99.943883</v>
      </c>
      <c r="F196" s="4" t="inlineStr">
        <is>
          <t>Skip Go</t>
        </is>
      </c>
      <c r="G196" s="19" t="n">
        <v>99.90000000000001</v>
      </c>
      <c r="H196" s="16">
        <f>(E196-G196)/100*10000</f>
        <v/>
      </c>
      <c r="I196" s="4" t="inlineStr">
        <is>
          <t>yes</t>
        </is>
      </c>
      <c r="J196" s="4" t="inlineStr">
        <is>
          <t>2026-09-23T14:30:23.906Z</t>
        </is>
      </c>
      <c r="K196" s="4" t="inlineStr">
        <is>
          <t>2026-09-23T14:30:23.904Z</t>
        </is>
      </c>
      <c r="L196" s="13" t="n">
        <v>0.002</v>
      </c>
    </row>
    <row r="197">
      <c r="A197" s="4" t="inlineStr">
        <is>
          <t>SOL → Base</t>
        </is>
      </c>
      <c r="B197" s="4" t="n">
        <v>1</v>
      </c>
      <c r="C197" s="4" t="inlineStr">
        <is>
          <t>CCTP (via Portal)</t>
        </is>
      </c>
      <c r="D197" s="4" t="inlineStr">
        <is>
          <t>venue</t>
        </is>
      </c>
      <c r="E197" s="19" t="n">
        <v>99.943099</v>
      </c>
      <c r="F197" s="4" t="inlineStr">
        <is>
          <t>Skip Go</t>
        </is>
      </c>
      <c r="G197" s="19" t="n">
        <v>99.98999999999999</v>
      </c>
      <c r="H197" s="16">
        <f>(E197-G197)/100*10000</f>
        <v/>
      </c>
      <c r="I197" s="4" t="inlineStr"/>
      <c r="J197" s="4" t="inlineStr">
        <is>
          <t>2026-09-23T14:21:09.321Z</t>
        </is>
      </c>
      <c r="K197" s="4" t="inlineStr">
        <is>
          <t>2026-09-23T14:21:09.322Z</t>
        </is>
      </c>
      <c r="L197" s="13" t="n">
        <v>0.001</v>
      </c>
    </row>
    <row r="198">
      <c r="A198" s="4" t="inlineStr">
        <is>
          <t>SOL → Base</t>
        </is>
      </c>
      <c r="B198" s="4" t="n">
        <v>2</v>
      </c>
      <c r="C198" s="4" t="inlineStr">
        <is>
          <t>CCTP (via Portal)</t>
        </is>
      </c>
      <c r="D198" s="4" t="inlineStr">
        <is>
          <t>venue</t>
        </is>
      </c>
      <c r="E198" s="19" t="n">
        <v>99.943099</v>
      </c>
      <c r="F198" s="4" t="inlineStr">
        <is>
          <t>Skip Go</t>
        </is>
      </c>
      <c r="G198" s="19" t="n">
        <v>99.98999999999999</v>
      </c>
      <c r="H198" s="16">
        <f>(E198-G198)/100*10000</f>
        <v/>
      </c>
      <c r="I198" s="4" t="inlineStr"/>
      <c r="J198" s="4" t="inlineStr">
        <is>
          <t>2026-09-23T14:25:46.682Z</t>
        </is>
      </c>
      <c r="K198" s="4" t="inlineStr">
        <is>
          <t>2026-09-23T14:25:46.684Z</t>
        </is>
      </c>
      <c r="L198" s="13" t="n">
        <v>0.002</v>
      </c>
    </row>
    <row r="199">
      <c r="A199" s="4" t="inlineStr">
        <is>
          <t>SOL → Base</t>
        </is>
      </c>
      <c r="B199" s="4" t="n">
        <v>3</v>
      </c>
      <c r="C199" s="4" t="inlineStr">
        <is>
          <t>CCTP (via Portal)</t>
        </is>
      </c>
      <c r="D199" s="4" t="inlineStr">
        <is>
          <t>venue</t>
        </is>
      </c>
      <c r="E199" s="19" t="n">
        <v>99.943883</v>
      </c>
      <c r="F199" s="4" t="inlineStr">
        <is>
          <t>Skip Go</t>
        </is>
      </c>
      <c r="G199" s="19" t="n">
        <v>99.98999999999999</v>
      </c>
      <c r="H199" s="16">
        <f>(E199-G199)/100*10000</f>
        <v/>
      </c>
      <c r="I199" s="4" t="inlineStr"/>
      <c r="J199" s="4" t="inlineStr">
        <is>
          <t>2026-09-23T14:30:23.906Z</t>
        </is>
      </c>
      <c r="K199" s="4" t="inlineStr">
        <is>
          <t>2026-09-23T14:30:23.907Z</t>
        </is>
      </c>
      <c r="L199" s="13" t="n">
        <v>0.001</v>
      </c>
    </row>
    <row r="200">
      <c r="A200" s="4" t="inlineStr">
        <is>
          <t>SOL → Base</t>
        </is>
      </c>
      <c r="B200" s="4" t="n">
        <v>1</v>
      </c>
      <c r="C200" s="4" t="inlineStr">
        <is>
          <t>Husher</t>
        </is>
      </c>
      <c r="D200" s="4" t="inlineStr">
        <is>
          <t>venue</t>
        </is>
      </c>
      <c r="E200" s="19" t="n">
        <v>99.943099</v>
      </c>
      <c r="F200" s="4" t="inlineStr">
        <is>
          <t>Skip Go</t>
        </is>
      </c>
      <c r="G200" s="19" t="n">
        <v>99.45</v>
      </c>
      <c r="H200" s="16">
        <f>(E200-G200)/100*10000</f>
        <v/>
      </c>
      <c r="I200" s="4" t="inlineStr"/>
      <c r="J200" s="4" t="inlineStr">
        <is>
          <t>2026-09-23T14:21:09.321Z</t>
        </is>
      </c>
      <c r="K200" s="4" t="inlineStr">
        <is>
          <t>2026-09-23T14:21:09.317Z</t>
        </is>
      </c>
      <c r="L200" s="13" t="n">
        <v>0.004</v>
      </c>
    </row>
    <row r="201">
      <c r="A201" s="4" t="inlineStr">
        <is>
          <t>SOL → Base</t>
        </is>
      </c>
      <c r="B201" s="4" t="n">
        <v>2</v>
      </c>
      <c r="C201" s="4" t="inlineStr">
        <is>
          <t>Husher</t>
        </is>
      </c>
      <c r="D201" s="4" t="inlineStr">
        <is>
          <t>venue</t>
        </is>
      </c>
      <c r="E201" s="19" t="n">
        <v>99.943099</v>
      </c>
      <c r="F201" s="4" t="inlineStr">
        <is>
          <t>Skip Go</t>
        </is>
      </c>
      <c r="G201" s="19" t="n">
        <v>99.45</v>
      </c>
      <c r="H201" s="16">
        <f>(E201-G201)/100*10000</f>
        <v/>
      </c>
      <c r="I201" s="4" t="inlineStr"/>
      <c r="J201" s="4" t="inlineStr">
        <is>
          <t>2026-09-23T14:25:46.682Z</t>
        </is>
      </c>
      <c r="K201" s="4" t="inlineStr">
        <is>
          <t>2026-09-23T14:25:46.682Z</t>
        </is>
      </c>
      <c r="L201" s="13" t="n">
        <v>0</v>
      </c>
    </row>
    <row r="202">
      <c r="A202" s="4" t="inlineStr">
        <is>
          <t>SOL → Base</t>
        </is>
      </c>
      <c r="B202" s="4" t="n">
        <v>3</v>
      </c>
      <c r="C202" s="4" t="inlineStr">
        <is>
          <t>Husher</t>
        </is>
      </c>
      <c r="D202" s="4" t="inlineStr">
        <is>
          <t>venue</t>
        </is>
      </c>
      <c r="E202" s="19" t="n">
        <v>99.943883</v>
      </c>
      <c r="F202" s="4" t="inlineStr">
        <is>
          <t>Skip Go</t>
        </is>
      </c>
      <c r="G202" s="19" t="n">
        <v>99.45</v>
      </c>
      <c r="H202" s="16">
        <f>(E202-G202)/100*10000</f>
        <v/>
      </c>
      <c r="I202" s="4" t="inlineStr"/>
      <c r="J202" s="4" t="inlineStr">
        <is>
          <t>2026-09-23T14:30:23.906Z</t>
        </is>
      </c>
      <c r="K202" s="4" t="inlineStr">
        <is>
          <t>2026-09-23T14:30:23.905Z</t>
        </is>
      </c>
      <c r="L202" s="13" t="n">
        <v>0.001</v>
      </c>
    </row>
    <row r="203">
      <c r="A203" s="4" t="inlineStr">
        <is>
          <t>SOL → Base</t>
        </is>
      </c>
      <c r="B203" s="4" t="n">
        <v>1</v>
      </c>
      <c r="C203" s="4" t="inlineStr">
        <is>
          <t>Layerswap</t>
        </is>
      </c>
      <c r="D203" s="4" t="inlineStr">
        <is>
          <t>venue</t>
        </is>
      </c>
      <c r="E203" s="19" t="n">
        <v>99.943099</v>
      </c>
      <c r="F203" s="4" t="inlineStr">
        <is>
          <t>Skip Go</t>
        </is>
      </c>
      <c r="G203" s="19" t="n">
        <v>99.864045</v>
      </c>
      <c r="H203" s="16">
        <f>(E203-G203)/100*10000</f>
        <v/>
      </c>
      <c r="I203" s="4" t="inlineStr"/>
      <c r="J203" s="4" t="inlineStr">
        <is>
          <t>2026-09-23T14:21:09.321Z</t>
        </is>
      </c>
      <c r="K203" s="4" t="inlineStr">
        <is>
          <t>2026-09-23T14:21:09.321Z</t>
        </is>
      </c>
      <c r="L203" s="13" t="n">
        <v>0</v>
      </c>
    </row>
    <row r="204">
      <c r="A204" s="4" t="inlineStr">
        <is>
          <t>SOL → Base</t>
        </is>
      </c>
      <c r="B204" s="4" t="n">
        <v>2</v>
      </c>
      <c r="C204" s="4" t="inlineStr">
        <is>
          <t>Layerswap</t>
        </is>
      </c>
      <c r="D204" s="4" t="inlineStr">
        <is>
          <t>venue</t>
        </is>
      </c>
      <c r="E204" s="19" t="n">
        <v>99.943099</v>
      </c>
      <c r="F204" s="4" t="inlineStr">
        <is>
          <t>Skip Go</t>
        </is>
      </c>
      <c r="G204" s="19" t="n">
        <v>99.864047</v>
      </c>
      <c r="H204" s="16">
        <f>(E204-G204)/100*10000</f>
        <v/>
      </c>
      <c r="I204" s="4" t="inlineStr"/>
      <c r="J204" s="4" t="inlineStr">
        <is>
          <t>2026-09-23T14:25:46.682Z</t>
        </is>
      </c>
      <c r="K204" s="4" t="inlineStr">
        <is>
          <t>2026-09-23T14:25:46.682Z</t>
        </is>
      </c>
      <c r="L204" s="13" t="n">
        <v>0</v>
      </c>
    </row>
    <row r="205">
      <c r="A205" s="4" t="inlineStr">
        <is>
          <t>SOL → Base</t>
        </is>
      </c>
      <c r="B205" s="4" t="n">
        <v>3</v>
      </c>
      <c r="C205" s="4" t="inlineStr">
        <is>
          <t>Layerswap</t>
        </is>
      </c>
      <c r="D205" s="4" t="inlineStr">
        <is>
          <t>venue</t>
        </is>
      </c>
      <c r="E205" s="19" t="n">
        <v>99.943883</v>
      </c>
      <c r="F205" s="4" t="inlineStr">
        <is>
          <t>Skip Go</t>
        </is>
      </c>
      <c r="G205" s="19" t="n">
        <v>99.864051</v>
      </c>
      <c r="H205" s="16">
        <f>(E205-G205)/100*10000</f>
        <v/>
      </c>
      <c r="I205" s="4" t="inlineStr"/>
      <c r="J205" s="4" t="inlineStr">
        <is>
          <t>2026-09-23T14:30:23.906Z</t>
        </is>
      </c>
      <c r="K205" s="4" t="inlineStr">
        <is>
          <t>2026-09-23T14:30:23.905Z</t>
        </is>
      </c>
      <c r="L205" s="13" t="n">
        <v>0.001</v>
      </c>
    </row>
    <row r="206">
      <c r="A206" s="4" t="inlineStr">
        <is>
          <t>SOL → Base</t>
        </is>
      </c>
      <c r="B206" s="4" t="n">
        <v>1</v>
      </c>
      <c r="C206" s="4" t="inlineStr">
        <is>
          <t>Meson</t>
        </is>
      </c>
      <c r="D206" s="4" t="inlineStr">
        <is>
          <t>venue</t>
        </is>
      </c>
      <c r="E206" s="19" t="n">
        <v>99.943099</v>
      </c>
      <c r="F206" s="4" t="inlineStr">
        <is>
          <t>Skip Go</t>
        </is>
      </c>
      <c r="G206" s="19" t="n">
        <v>99.84</v>
      </c>
      <c r="H206" s="16">
        <f>(E206-G206)/100*10000</f>
        <v/>
      </c>
      <c r="I206" s="4" t="inlineStr"/>
      <c r="J206" s="4" t="inlineStr">
        <is>
          <t>2026-09-23T14:21:09.321Z</t>
        </is>
      </c>
      <c r="K206" s="4" t="inlineStr">
        <is>
          <t>2026-09-23T14:21:09.316Z</t>
        </is>
      </c>
      <c r="L206" s="13" t="n">
        <v>0.005</v>
      </c>
    </row>
    <row r="207">
      <c r="A207" s="4" t="inlineStr">
        <is>
          <t>SOL → Base</t>
        </is>
      </c>
      <c r="B207" s="4" t="n">
        <v>2</v>
      </c>
      <c r="C207" s="4" t="inlineStr">
        <is>
          <t>Meson</t>
        </is>
      </c>
      <c r="D207" s="4" t="inlineStr">
        <is>
          <t>venue</t>
        </is>
      </c>
      <c r="E207" s="19" t="n">
        <v>99.943099</v>
      </c>
      <c r="F207" s="4" t="inlineStr">
        <is>
          <t>Skip Go</t>
        </is>
      </c>
      <c r="G207" s="19" t="n">
        <v>99.84</v>
      </c>
      <c r="H207" s="16">
        <f>(E207-G207)/100*10000</f>
        <v/>
      </c>
      <c r="I207" s="4" t="inlineStr"/>
      <c r="J207" s="4" t="inlineStr">
        <is>
          <t>2026-09-23T14:25:46.682Z</t>
        </is>
      </c>
      <c r="K207" s="4" t="inlineStr">
        <is>
          <t>2026-09-23T14:25:46.681Z</t>
        </is>
      </c>
      <c r="L207" s="13" t="n">
        <v>0.001</v>
      </c>
    </row>
    <row r="208">
      <c r="A208" s="4" t="inlineStr">
        <is>
          <t>SOL → Base</t>
        </is>
      </c>
      <c r="B208" s="4" t="n">
        <v>3</v>
      </c>
      <c r="C208" s="4" t="inlineStr">
        <is>
          <t>Meson</t>
        </is>
      </c>
      <c r="D208" s="4" t="inlineStr">
        <is>
          <t>venue</t>
        </is>
      </c>
      <c r="E208" s="19" t="n">
        <v>99.943883</v>
      </c>
      <c r="F208" s="4" t="inlineStr">
        <is>
          <t>Skip Go</t>
        </is>
      </c>
      <c r="G208" s="19" t="n">
        <v>99.84</v>
      </c>
      <c r="H208" s="16">
        <f>(E208-G208)/100*10000</f>
        <v/>
      </c>
      <c r="I208" s="4" t="inlineStr"/>
      <c r="J208" s="4" t="inlineStr">
        <is>
          <t>2026-09-23T14:30:23.906Z</t>
        </is>
      </c>
      <c r="K208" s="4" t="inlineStr">
        <is>
          <t>2026-09-23T14:30:23.903Z</t>
        </is>
      </c>
      <c r="L208" s="13" t="n">
        <v>0.003</v>
      </c>
    </row>
    <row r="209">
      <c r="A209" s="4" t="inlineStr">
        <is>
          <t>SOL → Base</t>
        </is>
      </c>
      <c r="B209" s="4" t="n">
        <v>1</v>
      </c>
      <c r="C209" s="4" t="inlineStr">
        <is>
          <t>SimpleSwap</t>
        </is>
      </c>
      <c r="D209" s="4" t="inlineStr">
        <is>
          <t>venue</t>
        </is>
      </c>
      <c r="E209" s="19" t="n">
        <v>99.943099</v>
      </c>
      <c r="F209" s="4" t="inlineStr">
        <is>
          <t>Skip Go</t>
        </is>
      </c>
      <c r="G209" s="19" t="n">
        <v>98.49149199999999</v>
      </c>
      <c r="H209" s="16">
        <f>(E209-G209)/100*10000</f>
        <v/>
      </c>
      <c r="I209" s="4" t="inlineStr"/>
      <c r="J209" s="4" t="inlineStr">
        <is>
          <t>2026-09-23T14:21:09.321Z</t>
        </is>
      </c>
      <c r="K209" s="4" t="inlineStr">
        <is>
          <t>2026-09-23T14:21:09.322Z</t>
        </is>
      </c>
      <c r="L209" s="13" t="n">
        <v>0.001</v>
      </c>
    </row>
    <row r="210">
      <c r="A210" s="4" t="inlineStr">
        <is>
          <t>SOL → Base</t>
        </is>
      </c>
      <c r="B210" s="4" t="n">
        <v>2</v>
      </c>
      <c r="C210" s="4" t="inlineStr">
        <is>
          <t>SimpleSwap</t>
        </is>
      </c>
      <c r="D210" s="4" t="inlineStr">
        <is>
          <t>venue</t>
        </is>
      </c>
      <c r="E210" s="19" t="n">
        <v>99.943099</v>
      </c>
      <c r="F210" s="4" t="inlineStr">
        <is>
          <t>Skip Go</t>
        </is>
      </c>
      <c r="G210" s="19" t="n">
        <v>98.49247699999999</v>
      </c>
      <c r="H210" s="16">
        <f>(E210-G210)/100*10000</f>
        <v/>
      </c>
      <c r="I210" s="4" t="inlineStr"/>
      <c r="J210" s="4" t="inlineStr">
        <is>
          <t>2026-09-23T14:25:46.682Z</t>
        </is>
      </c>
      <c r="K210" s="4" t="inlineStr">
        <is>
          <t>2026-09-23T14:25:46.684Z</t>
        </is>
      </c>
      <c r="L210" s="13" t="n">
        <v>0.002</v>
      </c>
    </row>
    <row r="211">
      <c r="A211" s="4" t="inlineStr">
        <is>
          <t>SOL → Base</t>
        </is>
      </c>
      <c r="B211" s="4" t="n">
        <v>3</v>
      </c>
      <c r="C211" s="4" t="inlineStr">
        <is>
          <t>SimpleSwap</t>
        </is>
      </c>
      <c r="D211" s="4" t="inlineStr">
        <is>
          <t>venue</t>
        </is>
      </c>
      <c r="E211" s="19" t="n">
        <v>99.943883</v>
      </c>
      <c r="F211" s="4" t="inlineStr">
        <is>
          <t>Skip Go</t>
        </is>
      </c>
      <c r="G211" s="19" t="n">
        <v>98.49159</v>
      </c>
      <c r="H211" s="16">
        <f>(E211-G211)/100*10000</f>
        <v/>
      </c>
      <c r="I211" s="4" t="inlineStr"/>
      <c r="J211" s="4" t="inlineStr">
        <is>
          <t>2026-09-23T14:30:23.906Z</t>
        </is>
      </c>
      <c r="K211" s="4" t="inlineStr">
        <is>
          <t>2026-09-23T14:30:23.906Z</t>
        </is>
      </c>
      <c r="L211" s="13" t="n">
        <v>0</v>
      </c>
    </row>
    <row r="212">
      <c r="A212" s="4" t="inlineStr">
        <is>
          <t>SOL → Base</t>
        </is>
      </c>
      <c r="B212" s="4" t="n">
        <v>1</v>
      </c>
      <c r="C212" s="4" t="inlineStr">
        <is>
          <t>Skip Go</t>
        </is>
      </c>
      <c r="D212" s="4" t="inlineStr">
        <is>
          <t>venue</t>
        </is>
      </c>
      <c r="E212" s="19" t="n">
        <v>99.943099</v>
      </c>
      <c r="F212" s="4" t="inlineStr">
        <is>
          <t>Skip Go</t>
        </is>
      </c>
      <c r="G212" s="19" t="n">
        <v>99.9811</v>
      </c>
      <c r="H212" s="16">
        <f>(E212-G212)/100*10000</f>
        <v/>
      </c>
      <c r="I212" s="4" t="inlineStr"/>
      <c r="J212" s="4" t="inlineStr">
        <is>
          <t>2026-09-23T14:21:09.321Z</t>
        </is>
      </c>
      <c r="K212" s="4" t="inlineStr">
        <is>
          <t>2026-09-23T14:21:09.319Z</t>
        </is>
      </c>
      <c r="L212" s="13" t="n">
        <v>0.002</v>
      </c>
    </row>
    <row r="213">
      <c r="A213" s="4" t="inlineStr">
        <is>
          <t>SOL → Base</t>
        </is>
      </c>
      <c r="B213" s="4" t="n">
        <v>2</v>
      </c>
      <c r="C213" s="4" t="inlineStr">
        <is>
          <t>Skip Go</t>
        </is>
      </c>
      <c r="D213" s="4" t="inlineStr">
        <is>
          <t>venue</t>
        </is>
      </c>
      <c r="E213" s="19" t="n">
        <v>99.943099</v>
      </c>
      <c r="F213" s="4" t="inlineStr">
        <is>
          <t>Skip Go</t>
        </is>
      </c>
      <c r="G213" s="19" t="n">
        <v>99.9811</v>
      </c>
      <c r="H213" s="16">
        <f>(E213-G213)/100*10000</f>
        <v/>
      </c>
      <c r="I213" s="4" t="inlineStr"/>
      <c r="J213" s="4" t="inlineStr">
        <is>
          <t>2026-09-23T14:25:46.682Z</t>
        </is>
      </c>
      <c r="K213" s="4" t="inlineStr">
        <is>
          <t>2026-09-23T14:25:46.683Z</t>
        </is>
      </c>
      <c r="L213" s="13" t="n">
        <v>0.001</v>
      </c>
    </row>
    <row r="214">
      <c r="A214" s="4" t="inlineStr">
        <is>
          <t>SOL → Base</t>
        </is>
      </c>
      <c r="B214" s="4" t="n">
        <v>3</v>
      </c>
      <c r="C214" s="4" t="inlineStr">
        <is>
          <t>Skip Go</t>
        </is>
      </c>
      <c r="D214" s="4" t="inlineStr">
        <is>
          <t>venue</t>
        </is>
      </c>
      <c r="E214" s="19" t="n">
        <v>99.943883</v>
      </c>
      <c r="F214" s="4" t="inlineStr">
        <is>
          <t>Skip Go</t>
        </is>
      </c>
      <c r="G214" s="19" t="n">
        <v>99.98308</v>
      </c>
      <c r="H214" s="16">
        <f>(E214-G214)/100*10000</f>
        <v/>
      </c>
      <c r="I214" s="4" t="inlineStr"/>
      <c r="J214" s="4" t="inlineStr">
        <is>
          <t>2026-09-23T14:30:23.906Z</t>
        </is>
      </c>
      <c r="K214" s="4" t="inlineStr">
        <is>
          <t>2026-09-23T14:30:23.905Z</t>
        </is>
      </c>
      <c r="L214" s="13" t="n">
        <v>0.001</v>
      </c>
    </row>
    <row r="215">
      <c r="A215" s="4" t="inlineStr">
        <is>
          <t>Base → SOL</t>
        </is>
      </c>
      <c r="B215" s="4" t="n">
        <v>1</v>
      </c>
      <c r="C215" s="4" t="inlineStr">
        <is>
          <t>OpenSea</t>
        </is>
      </c>
      <c r="D215" s="4" t="inlineStr">
        <is>
          <t>platform</t>
        </is>
      </c>
      <c r="E215" s="19" t="n">
        <v>99.85005</v>
      </c>
      <c r="F215" s="4" t="inlineStr">
        <is>
          <t>Allbridge Core</t>
        </is>
      </c>
      <c r="G215" s="19" t="n">
        <v>99.7453</v>
      </c>
      <c r="H215" s="16">
        <f>(E215-G215)/100*10000</f>
        <v/>
      </c>
      <c r="I215" s="4" t="inlineStr">
        <is>
          <t>yes</t>
        </is>
      </c>
      <c r="J215" s="4" t="inlineStr">
        <is>
          <t>2026-09-23T14:21:44.562Z</t>
        </is>
      </c>
      <c r="K215" s="4" t="inlineStr">
        <is>
          <t>2026-09-23T14:21:44.564Z</t>
        </is>
      </c>
      <c r="L215" s="13" t="n">
        <v>0.002</v>
      </c>
    </row>
    <row r="216">
      <c r="A216" s="4" t="inlineStr">
        <is>
          <t>Base → SOL</t>
        </is>
      </c>
      <c r="B216" s="4" t="n">
        <v>2</v>
      </c>
      <c r="C216" s="4" t="inlineStr">
        <is>
          <t>OpenSea</t>
        </is>
      </c>
      <c r="D216" s="4" t="inlineStr">
        <is>
          <t>platform</t>
        </is>
      </c>
      <c r="E216" s="19" t="n">
        <v>99.85005</v>
      </c>
      <c r="F216" s="4" t="inlineStr">
        <is>
          <t>Allbridge Core</t>
        </is>
      </c>
      <c r="G216" s="19" t="n">
        <v>99.7452</v>
      </c>
      <c r="H216" s="16">
        <f>(E216-G216)/100*10000</f>
        <v/>
      </c>
      <c r="I216" s="4" t="inlineStr">
        <is>
          <t>yes</t>
        </is>
      </c>
      <c r="J216" s="4" t="inlineStr">
        <is>
          <t>2026-09-23T14:26:20.602Z</t>
        </is>
      </c>
      <c r="K216" s="4" t="inlineStr">
        <is>
          <t>2026-09-23T14:26:20.602Z</t>
        </is>
      </c>
      <c r="L216" s="13" t="n">
        <v>0</v>
      </c>
    </row>
    <row r="217">
      <c r="A217" s="4" t="inlineStr">
        <is>
          <t>Base → SOL</t>
        </is>
      </c>
      <c r="B217" s="4" t="n">
        <v>3</v>
      </c>
      <c r="C217" s="4" t="inlineStr">
        <is>
          <t>OpenSea</t>
        </is>
      </c>
      <c r="D217" s="4" t="inlineStr">
        <is>
          <t>platform</t>
        </is>
      </c>
      <c r="E217" s="19" t="n">
        <v>99.85005</v>
      </c>
      <c r="F217" s="4" t="inlineStr">
        <is>
          <t>Allbridge Core</t>
        </is>
      </c>
      <c r="G217" s="19" t="n">
        <v>99.7452</v>
      </c>
      <c r="H217" s="16">
        <f>(E217-G217)/100*10000</f>
        <v/>
      </c>
      <c r="I217" s="4" t="inlineStr">
        <is>
          <t>yes</t>
        </is>
      </c>
      <c r="J217" s="4" t="inlineStr">
        <is>
          <t>2026-09-23T14:30:58.847Z</t>
        </is>
      </c>
      <c r="K217" s="4" t="inlineStr">
        <is>
          <t>2026-09-23T14:30:58.848Z</t>
        </is>
      </c>
      <c r="L217" s="13" t="n">
        <v>0.001</v>
      </c>
    </row>
    <row r="218">
      <c r="A218" s="4" t="inlineStr">
        <is>
          <t>Base → SOL</t>
        </is>
      </c>
      <c r="B218" s="4" t="n">
        <v>1</v>
      </c>
      <c r="C218" s="4" t="inlineStr">
        <is>
          <t>Relay</t>
        </is>
      </c>
      <c r="D218" s="4" t="inlineStr">
        <is>
          <t>venue</t>
        </is>
      </c>
      <c r="E218" s="19" t="n">
        <v>99.85005</v>
      </c>
      <c r="F218" s="4" t="inlineStr">
        <is>
          <t>Allbridge Core</t>
        </is>
      </c>
      <c r="G218" s="19" t="n">
        <v>99.945701</v>
      </c>
      <c r="H218" s="16">
        <f>(E218-G218)/100*10000</f>
        <v/>
      </c>
      <c r="I218" s="4" t="inlineStr"/>
      <c r="J218" s="4" t="inlineStr">
        <is>
          <t>2026-09-23T14:21:44.562Z</t>
        </is>
      </c>
      <c r="K218" s="4" t="inlineStr">
        <is>
          <t>2026-09-23T14:21:44.559Z</t>
        </is>
      </c>
      <c r="L218" s="13" t="n">
        <v>0.003</v>
      </c>
    </row>
    <row r="219">
      <c r="A219" s="4" t="inlineStr">
        <is>
          <t>Base → SOL</t>
        </is>
      </c>
      <c r="B219" s="4" t="n">
        <v>2</v>
      </c>
      <c r="C219" s="4" t="inlineStr">
        <is>
          <t>Relay</t>
        </is>
      </c>
      <c r="D219" s="4" t="inlineStr">
        <is>
          <t>venue</t>
        </is>
      </c>
      <c r="E219" s="19" t="n">
        <v>99.85005</v>
      </c>
      <c r="F219" s="4" t="inlineStr">
        <is>
          <t>Allbridge Core</t>
        </is>
      </c>
      <c r="G219" s="19" t="n">
        <v>99.945697</v>
      </c>
      <c r="H219" s="16">
        <f>(E219-G219)/100*10000</f>
        <v/>
      </c>
      <c r="I219" s="4" t="inlineStr"/>
      <c r="J219" s="4" t="inlineStr">
        <is>
          <t>2026-09-23T14:26:20.602Z</t>
        </is>
      </c>
      <c r="K219" s="4" t="inlineStr">
        <is>
          <t>2026-09-23T14:26:20.600Z</t>
        </is>
      </c>
      <c r="L219" s="13" t="n">
        <v>0.002</v>
      </c>
    </row>
    <row r="220">
      <c r="A220" s="4" t="inlineStr">
        <is>
          <t>Base → SOL</t>
        </is>
      </c>
      <c r="B220" s="4" t="n">
        <v>3</v>
      </c>
      <c r="C220" s="4" t="inlineStr">
        <is>
          <t>Relay</t>
        </is>
      </c>
      <c r="D220" s="4" t="inlineStr">
        <is>
          <t>venue</t>
        </is>
      </c>
      <c r="E220" s="19" t="n">
        <v>99.85005</v>
      </c>
      <c r="F220" s="4" t="inlineStr">
        <is>
          <t>Allbridge Core</t>
        </is>
      </c>
      <c r="G220" s="19" t="n">
        <v>99.945718</v>
      </c>
      <c r="H220" s="16">
        <f>(E220-G220)/100*10000</f>
        <v/>
      </c>
      <c r="I220" s="4" t="inlineStr"/>
      <c r="J220" s="4" t="inlineStr">
        <is>
          <t>2026-09-23T14:30:58.847Z</t>
        </is>
      </c>
      <c r="K220" s="4" t="inlineStr">
        <is>
          <t>2026-09-23T14:30:58.846Z</t>
        </is>
      </c>
      <c r="L220" s="13" t="n">
        <v>0.001</v>
      </c>
    </row>
    <row r="221">
      <c r="A221" s="4" t="inlineStr">
        <is>
          <t>Base → SOL</t>
        </is>
      </c>
      <c r="B221" s="4" t="n">
        <v>1</v>
      </c>
      <c r="C221" s="4" t="inlineStr">
        <is>
          <t>deBridge</t>
        </is>
      </c>
      <c r="D221" s="4" t="inlineStr">
        <is>
          <t>venue</t>
        </is>
      </c>
      <c r="E221" s="19" t="n">
        <v>99.85005</v>
      </c>
      <c r="F221" s="4" t="inlineStr">
        <is>
          <t>Allbridge Core</t>
        </is>
      </c>
      <c r="G221" s="19" t="n">
        <v>98.852232</v>
      </c>
      <c r="H221" s="16">
        <f>(E221-G221)/100*10000</f>
        <v/>
      </c>
      <c r="I221" s="4" t="inlineStr"/>
      <c r="J221" s="4" t="inlineStr">
        <is>
          <t>2026-09-23T14:21:44.562Z</t>
        </is>
      </c>
      <c r="K221" s="4" t="inlineStr">
        <is>
          <t>2026-09-23T14:21:44.560Z</t>
        </is>
      </c>
      <c r="L221" s="13" t="n">
        <v>0.002</v>
      </c>
    </row>
    <row r="222">
      <c r="A222" s="4" t="inlineStr">
        <is>
          <t>Base → SOL</t>
        </is>
      </c>
      <c r="B222" s="4" t="n">
        <v>2</v>
      </c>
      <c r="C222" s="4" t="inlineStr">
        <is>
          <t>deBridge</t>
        </is>
      </c>
      <c r="D222" s="4" t="inlineStr">
        <is>
          <t>venue</t>
        </is>
      </c>
      <c r="E222" s="19" t="n">
        <v>99.85005</v>
      </c>
      <c r="F222" s="4" t="inlineStr">
        <is>
          <t>Allbridge Core</t>
        </is>
      </c>
      <c r="G222" s="19" t="n">
        <v>98.858633</v>
      </c>
      <c r="H222" s="16">
        <f>(E222-G222)/100*10000</f>
        <v/>
      </c>
      <c r="I222" s="4" t="inlineStr"/>
      <c r="J222" s="4" t="inlineStr">
        <is>
          <t>2026-09-23T14:26:20.602Z</t>
        </is>
      </c>
      <c r="K222" s="4" t="inlineStr">
        <is>
          <t>2026-09-23T14:26:20.600Z</t>
        </is>
      </c>
      <c r="L222" s="13" t="n">
        <v>0.002</v>
      </c>
    </row>
    <row r="223">
      <c r="A223" s="4" t="inlineStr">
        <is>
          <t>Base → SOL</t>
        </is>
      </c>
      <c r="B223" s="4" t="n">
        <v>3</v>
      </c>
      <c r="C223" s="4" t="inlineStr">
        <is>
          <t>deBridge</t>
        </is>
      </c>
      <c r="D223" s="4" t="inlineStr">
        <is>
          <t>venue</t>
        </is>
      </c>
      <c r="E223" s="19" t="n">
        <v>99.85005</v>
      </c>
      <c r="F223" s="4" t="inlineStr">
        <is>
          <t>Allbridge Core</t>
        </is>
      </c>
      <c r="G223" s="19" t="n">
        <v>98.912318</v>
      </c>
      <c r="H223" s="16">
        <f>(E223-G223)/100*10000</f>
        <v/>
      </c>
      <c r="I223" s="4" t="inlineStr"/>
      <c r="J223" s="4" t="inlineStr">
        <is>
          <t>2026-09-23T14:30:58.847Z</t>
        </is>
      </c>
      <c r="K223" s="4" t="inlineStr">
        <is>
          <t>2026-09-23T14:30:58.845Z</t>
        </is>
      </c>
      <c r="L223" s="13" t="n">
        <v>0.002</v>
      </c>
    </row>
    <row r="224">
      <c r="A224" s="4" t="inlineStr">
        <is>
          <t>Base → SOL</t>
        </is>
      </c>
      <c r="B224" s="4" t="n">
        <v>1</v>
      </c>
      <c r="C224" s="4" t="inlineStr">
        <is>
          <t>LI.FI (Jumper)</t>
        </is>
      </c>
      <c r="D224" s="4" t="inlineStr">
        <is>
          <t>venue</t>
        </is>
      </c>
      <c r="E224" s="19" t="n">
        <v>99.85005</v>
      </c>
      <c r="F224" s="4" t="inlineStr">
        <is>
          <t>Allbridge Core</t>
        </is>
      </c>
      <c r="G224" s="19" t="n">
        <v>100</v>
      </c>
      <c r="H224" s="16">
        <f>(E224-G224)/100*10000</f>
        <v/>
      </c>
      <c r="I224" s="4" t="inlineStr"/>
      <c r="J224" s="4" t="inlineStr">
        <is>
          <t>2026-09-23T14:21:44.562Z</t>
        </is>
      </c>
      <c r="K224" s="4" t="inlineStr">
        <is>
          <t>2026-09-23T14:21:44.558Z</t>
        </is>
      </c>
      <c r="L224" s="13" t="n">
        <v>0.004</v>
      </c>
    </row>
    <row r="225">
      <c r="A225" s="4" t="inlineStr">
        <is>
          <t>Base → SOL</t>
        </is>
      </c>
      <c r="B225" s="4" t="n">
        <v>2</v>
      </c>
      <c r="C225" s="4" t="inlineStr">
        <is>
          <t>LI.FI (Jumper)</t>
        </is>
      </c>
      <c r="D225" s="4" t="inlineStr">
        <is>
          <t>venue</t>
        </is>
      </c>
      <c r="E225" s="19" t="n">
        <v>99.85005</v>
      </c>
      <c r="F225" s="4" t="inlineStr">
        <is>
          <t>Allbridge Core</t>
        </is>
      </c>
      <c r="G225" s="19" t="n">
        <v>100</v>
      </c>
      <c r="H225" s="16">
        <f>(E225-G225)/100*10000</f>
        <v/>
      </c>
      <c r="I225" s="4" t="inlineStr"/>
      <c r="J225" s="4" t="inlineStr">
        <is>
          <t>2026-09-23T14:26:20.602Z</t>
        </is>
      </c>
      <c r="K225" s="4" t="inlineStr">
        <is>
          <t>2026-09-23T14:26:20.601Z</t>
        </is>
      </c>
      <c r="L225" s="13" t="n">
        <v>0.001</v>
      </c>
    </row>
    <row r="226">
      <c r="A226" s="4" t="inlineStr">
        <is>
          <t>Base → SOL</t>
        </is>
      </c>
      <c r="B226" s="4" t="n">
        <v>3</v>
      </c>
      <c r="C226" s="4" t="inlineStr">
        <is>
          <t>LI.FI (Jumper)</t>
        </is>
      </c>
      <c r="D226" s="4" t="inlineStr">
        <is>
          <t>venue</t>
        </is>
      </c>
      <c r="E226" s="19" t="n">
        <v>99.85005</v>
      </c>
      <c r="F226" s="4" t="inlineStr">
        <is>
          <t>Allbridge Core</t>
        </is>
      </c>
      <c r="G226" s="19" t="n">
        <v>100</v>
      </c>
      <c r="H226" s="16">
        <f>(E226-G226)/100*10000</f>
        <v/>
      </c>
      <c r="I226" s="4" t="inlineStr"/>
      <c r="J226" s="4" t="inlineStr">
        <is>
          <t>2026-09-23T14:30:58.847Z</t>
        </is>
      </c>
      <c r="K226" s="4" t="inlineStr">
        <is>
          <t>2026-09-23T14:30:58.847Z</t>
        </is>
      </c>
      <c r="L226" s="13" t="n">
        <v>0</v>
      </c>
    </row>
    <row r="227">
      <c r="A227" s="4" t="inlineStr">
        <is>
          <t>Base → SOL</t>
        </is>
      </c>
      <c r="B227" s="4" t="n">
        <v>1</v>
      </c>
      <c r="C227" s="4" t="inlineStr">
        <is>
          <t>Across</t>
        </is>
      </c>
      <c r="D227" s="4" t="inlineStr">
        <is>
          <t>venue</t>
        </is>
      </c>
      <c r="E227" s="19" t="n">
        <v>99.85005</v>
      </c>
      <c r="F227" s="4" t="inlineStr">
        <is>
          <t>Allbridge Core</t>
        </is>
      </c>
      <c r="G227" s="19" t="n">
        <v>99.98699999999999</v>
      </c>
      <c r="H227" s="16">
        <f>(E227-G227)/100*10000</f>
        <v/>
      </c>
      <c r="I227" s="4" t="inlineStr"/>
      <c r="J227" s="4" t="inlineStr">
        <is>
          <t>2026-09-23T14:21:44.562Z</t>
        </is>
      </c>
      <c r="K227" s="4" t="inlineStr">
        <is>
          <t>2026-09-23T14:21:44.558Z</t>
        </is>
      </c>
      <c r="L227" s="13" t="n">
        <v>0.004</v>
      </c>
    </row>
    <row r="228">
      <c r="A228" s="4" t="inlineStr">
        <is>
          <t>Base → SOL</t>
        </is>
      </c>
      <c r="B228" s="4" t="n">
        <v>2</v>
      </c>
      <c r="C228" s="4" t="inlineStr">
        <is>
          <t>Across</t>
        </is>
      </c>
      <c r="D228" s="4" t="inlineStr">
        <is>
          <t>venue</t>
        </is>
      </c>
      <c r="E228" s="19" t="n">
        <v>99.85005</v>
      </c>
      <c r="F228" s="4" t="inlineStr">
        <is>
          <t>Allbridge Core</t>
        </is>
      </c>
      <c r="G228" s="19" t="n">
        <v>99.98699999999999</v>
      </c>
      <c r="H228" s="16">
        <f>(E228-G228)/100*10000</f>
        <v/>
      </c>
      <c r="I228" s="4" t="inlineStr"/>
      <c r="J228" s="4" t="inlineStr">
        <is>
          <t>2026-09-23T14:26:20.602Z</t>
        </is>
      </c>
      <c r="K228" s="4" t="inlineStr">
        <is>
          <t>2026-09-23T14:26:20.598Z</t>
        </is>
      </c>
      <c r="L228" s="13" t="n">
        <v>0.004</v>
      </c>
    </row>
    <row r="229">
      <c r="A229" s="4" t="inlineStr">
        <is>
          <t>Base → SOL</t>
        </is>
      </c>
      <c r="B229" s="4" t="n">
        <v>3</v>
      </c>
      <c r="C229" s="4" t="inlineStr">
        <is>
          <t>Across</t>
        </is>
      </c>
      <c r="D229" s="4" t="inlineStr">
        <is>
          <t>venue</t>
        </is>
      </c>
      <c r="E229" s="19" t="n">
        <v>99.85005</v>
      </c>
      <c r="F229" s="4" t="inlineStr">
        <is>
          <t>Allbridge Core</t>
        </is>
      </c>
      <c r="G229" s="19" t="n">
        <v>99.98699999999999</v>
      </c>
      <c r="H229" s="16">
        <f>(E229-G229)/100*10000</f>
        <v/>
      </c>
      <c r="I229" s="4" t="inlineStr"/>
      <c r="J229" s="4" t="inlineStr">
        <is>
          <t>2026-09-23T14:30:58.847Z</t>
        </is>
      </c>
      <c r="K229" s="4" t="inlineStr">
        <is>
          <t>2026-09-23T14:30:58.845Z</t>
        </is>
      </c>
      <c r="L229" s="13" t="n">
        <v>0.002</v>
      </c>
    </row>
    <row r="230">
      <c r="A230" s="4" t="inlineStr">
        <is>
          <t>Base → SOL</t>
        </is>
      </c>
      <c r="B230" s="4" t="n">
        <v>1</v>
      </c>
      <c r="C230" s="4" t="inlineStr">
        <is>
          <t>Mayan</t>
        </is>
      </c>
      <c r="D230" s="4" t="inlineStr">
        <is>
          <t>venue</t>
        </is>
      </c>
      <c r="E230" s="19" t="n">
        <v>99.85005</v>
      </c>
      <c r="F230" s="4" t="inlineStr">
        <is>
          <t>Allbridge Core</t>
        </is>
      </c>
      <c r="G230" s="19" t="n">
        <v>99.685</v>
      </c>
      <c r="H230" s="16">
        <f>(E230-G230)/100*10000</f>
        <v/>
      </c>
      <c r="I230" s="4" t="inlineStr"/>
      <c r="J230" s="4" t="inlineStr">
        <is>
          <t>2026-09-23T14:21:44.562Z</t>
        </is>
      </c>
      <c r="K230" s="4" t="inlineStr">
        <is>
          <t>2026-09-23T14:21:44.557Z</t>
        </is>
      </c>
      <c r="L230" s="13" t="n">
        <v>0.005</v>
      </c>
    </row>
    <row r="231">
      <c r="A231" s="4" t="inlineStr">
        <is>
          <t>Base → SOL</t>
        </is>
      </c>
      <c r="B231" s="4" t="n">
        <v>2</v>
      </c>
      <c r="C231" s="4" t="inlineStr">
        <is>
          <t>Mayan</t>
        </is>
      </c>
      <c r="D231" s="4" t="inlineStr">
        <is>
          <t>venue</t>
        </is>
      </c>
      <c r="E231" s="19" t="n">
        <v>99.85005</v>
      </c>
      <c r="F231" s="4" t="inlineStr">
        <is>
          <t>Allbridge Core</t>
        </is>
      </c>
      <c r="G231" s="19" t="n">
        <v>99.68600000000001</v>
      </c>
      <c r="H231" s="16">
        <f>(E231-G231)/100*10000</f>
        <v/>
      </c>
      <c r="I231" s="4" t="inlineStr"/>
      <c r="J231" s="4" t="inlineStr">
        <is>
          <t>2026-09-23T14:26:20.602Z</t>
        </is>
      </c>
      <c r="K231" s="4" t="inlineStr">
        <is>
          <t>2026-09-23T14:26:20.599Z</t>
        </is>
      </c>
      <c r="L231" s="13" t="n">
        <v>0.003</v>
      </c>
    </row>
    <row r="232">
      <c r="A232" s="4" t="inlineStr">
        <is>
          <t>Base → SOL</t>
        </is>
      </c>
      <c r="B232" s="4" t="n">
        <v>3</v>
      </c>
      <c r="C232" s="4" t="inlineStr">
        <is>
          <t>Mayan</t>
        </is>
      </c>
      <c r="D232" s="4" t="inlineStr">
        <is>
          <t>venue</t>
        </is>
      </c>
      <c r="E232" s="19" t="n">
        <v>99.85005</v>
      </c>
      <c r="F232" s="4" t="inlineStr">
        <is>
          <t>Allbridge Core</t>
        </is>
      </c>
      <c r="G232" s="19" t="n">
        <v>99.688</v>
      </c>
      <c r="H232" s="16">
        <f>(E232-G232)/100*10000</f>
        <v/>
      </c>
      <c r="I232" s="4" t="inlineStr"/>
      <c r="J232" s="4" t="inlineStr">
        <is>
          <t>2026-09-23T14:30:58.847Z</t>
        </is>
      </c>
      <c r="K232" s="4" t="inlineStr">
        <is>
          <t>2026-09-23T14:30:58.844Z</t>
        </is>
      </c>
      <c r="L232" s="13" t="n">
        <v>0.003</v>
      </c>
    </row>
    <row r="233">
      <c r="A233" s="4" t="inlineStr">
        <is>
          <t>Base → SOL</t>
        </is>
      </c>
      <c r="B233" s="4" t="n">
        <v>1</v>
      </c>
      <c r="C233" s="4" t="inlineStr">
        <is>
          <t>Allbridge Core</t>
        </is>
      </c>
      <c r="D233" s="4" t="inlineStr">
        <is>
          <t>venue</t>
        </is>
      </c>
      <c r="E233" s="19" t="n">
        <v>99.85005</v>
      </c>
      <c r="F233" s="4" t="inlineStr">
        <is>
          <t>Allbridge Core</t>
        </is>
      </c>
      <c r="G233" s="19" t="n">
        <v>99.90000000000001</v>
      </c>
      <c r="H233" s="16">
        <f>(E233-G233)/100*10000</f>
        <v/>
      </c>
      <c r="I233" s="4" t="inlineStr">
        <is>
          <t>yes</t>
        </is>
      </c>
      <c r="J233" s="4" t="inlineStr">
        <is>
          <t>2026-09-23T14:21:44.562Z</t>
        </is>
      </c>
      <c r="K233" s="4" t="inlineStr">
        <is>
          <t>2026-09-23T14:21:44.563Z</t>
        </is>
      </c>
      <c r="L233" s="13" t="n">
        <v>0.001</v>
      </c>
    </row>
    <row r="234">
      <c r="A234" s="4" t="inlineStr">
        <is>
          <t>Base → SOL</t>
        </is>
      </c>
      <c r="B234" s="4" t="n">
        <v>2</v>
      </c>
      <c r="C234" s="4" t="inlineStr">
        <is>
          <t>Allbridge Core</t>
        </is>
      </c>
      <c r="D234" s="4" t="inlineStr">
        <is>
          <t>venue</t>
        </is>
      </c>
      <c r="E234" s="19" t="n">
        <v>99.85005</v>
      </c>
      <c r="F234" s="4" t="inlineStr">
        <is>
          <t>Allbridge Core</t>
        </is>
      </c>
      <c r="G234" s="19" t="n">
        <v>99.90000000000001</v>
      </c>
      <c r="H234" s="16">
        <f>(E234-G234)/100*10000</f>
        <v/>
      </c>
      <c r="I234" s="4" t="inlineStr">
        <is>
          <t>yes</t>
        </is>
      </c>
      <c r="J234" s="4" t="inlineStr">
        <is>
          <t>2026-09-23T14:26:20.602Z</t>
        </is>
      </c>
      <c r="K234" s="4" t="inlineStr">
        <is>
          <t>2026-09-23T14:26:20.600Z</t>
        </is>
      </c>
      <c r="L234" s="13" t="n">
        <v>0.002</v>
      </c>
    </row>
    <row r="235">
      <c r="A235" s="4" t="inlineStr">
        <is>
          <t>Base → SOL</t>
        </is>
      </c>
      <c r="B235" s="4" t="n">
        <v>3</v>
      </c>
      <c r="C235" s="4" t="inlineStr">
        <is>
          <t>Allbridge Core</t>
        </is>
      </c>
      <c r="D235" s="4" t="inlineStr">
        <is>
          <t>venue</t>
        </is>
      </c>
      <c r="E235" s="19" t="n">
        <v>99.85005</v>
      </c>
      <c r="F235" s="4" t="inlineStr">
        <is>
          <t>Allbridge Core</t>
        </is>
      </c>
      <c r="G235" s="19" t="n">
        <v>99.90000000000001</v>
      </c>
      <c r="H235" s="16">
        <f>(E235-G235)/100*10000</f>
        <v/>
      </c>
      <c r="I235" s="4" t="inlineStr">
        <is>
          <t>yes</t>
        </is>
      </c>
      <c r="J235" s="4" t="inlineStr">
        <is>
          <t>2026-09-23T14:30:58.847Z</t>
        </is>
      </c>
      <c r="K235" s="4" t="inlineStr">
        <is>
          <t>2026-09-23T14:30:58.845Z</t>
        </is>
      </c>
      <c r="L235" s="13" t="n">
        <v>0.002</v>
      </c>
    </row>
    <row r="236">
      <c r="A236" s="4" t="inlineStr">
        <is>
          <t>Base → SOL</t>
        </is>
      </c>
      <c r="B236" s="4" t="n">
        <v>1</v>
      </c>
      <c r="C236" s="4" t="inlineStr">
        <is>
          <t>CCTP (via Portal)</t>
        </is>
      </c>
      <c r="D236" s="4" t="inlineStr">
        <is>
          <t>venue</t>
        </is>
      </c>
      <c r="E236" s="19" t="n">
        <v>99.85005</v>
      </c>
      <c r="F236" s="4" t="inlineStr">
        <is>
          <t>Allbridge Core</t>
        </is>
      </c>
      <c r="G236" s="19" t="n">
        <v>99.977001</v>
      </c>
      <c r="H236" s="16">
        <f>(E236-G236)/100*10000</f>
        <v/>
      </c>
      <c r="I236" s="4" t="inlineStr"/>
      <c r="J236" s="4" t="inlineStr">
        <is>
          <t>2026-09-23T14:21:44.562Z</t>
        </is>
      </c>
      <c r="K236" s="4" t="inlineStr">
        <is>
          <t>2026-09-23T14:21:44.556Z</t>
        </is>
      </c>
      <c r="L236" s="13" t="n">
        <v>0.006</v>
      </c>
    </row>
    <row r="237">
      <c r="A237" s="4" t="inlineStr">
        <is>
          <t>Base → SOL</t>
        </is>
      </c>
      <c r="B237" s="4" t="n">
        <v>2</v>
      </c>
      <c r="C237" s="4" t="inlineStr">
        <is>
          <t>CCTP (via Portal)</t>
        </is>
      </c>
      <c r="D237" s="4" t="inlineStr">
        <is>
          <t>venue</t>
        </is>
      </c>
      <c r="E237" s="19" t="n">
        <v>99.85005</v>
      </c>
      <c r="F237" s="4" t="inlineStr">
        <is>
          <t>Allbridge Core</t>
        </is>
      </c>
      <c r="G237" s="19" t="n">
        <v>99.977001</v>
      </c>
      <c r="H237" s="16">
        <f>(E237-G237)/100*10000</f>
        <v/>
      </c>
      <c r="I237" s="4" t="inlineStr"/>
      <c r="J237" s="4" t="inlineStr">
        <is>
          <t>2026-09-23T14:26:20.602Z</t>
        </is>
      </c>
      <c r="K237" s="4" t="inlineStr">
        <is>
          <t>2026-09-23T14:26:20.598Z</t>
        </is>
      </c>
      <c r="L237" s="13" t="n">
        <v>0.004</v>
      </c>
    </row>
    <row r="238">
      <c r="A238" s="4" t="inlineStr">
        <is>
          <t>Base → SOL</t>
        </is>
      </c>
      <c r="B238" s="4" t="n">
        <v>3</v>
      </c>
      <c r="C238" s="4" t="inlineStr">
        <is>
          <t>CCTP (via Portal)</t>
        </is>
      </c>
      <c r="D238" s="4" t="inlineStr">
        <is>
          <t>venue</t>
        </is>
      </c>
      <c r="E238" s="19" t="n">
        <v>99.85005</v>
      </c>
      <c r="F238" s="4" t="inlineStr">
        <is>
          <t>Allbridge Core</t>
        </is>
      </c>
      <c r="G238" s="19" t="n">
        <v>99.977001</v>
      </c>
      <c r="H238" s="16">
        <f>(E238-G238)/100*10000</f>
        <v/>
      </c>
      <c r="I238" s="4" t="inlineStr"/>
      <c r="J238" s="4" t="inlineStr">
        <is>
          <t>2026-09-23T14:30:58.847Z</t>
        </is>
      </c>
      <c r="K238" s="4" t="inlineStr">
        <is>
          <t>2026-09-23T14:30:58.844Z</t>
        </is>
      </c>
      <c r="L238" s="13" t="n">
        <v>0.003</v>
      </c>
    </row>
    <row r="239">
      <c r="A239" s="4" t="inlineStr">
        <is>
          <t>Base → SOL</t>
        </is>
      </c>
      <c r="B239" s="4" t="n">
        <v>1</v>
      </c>
      <c r="C239" s="4" t="inlineStr">
        <is>
          <t>Husher</t>
        </is>
      </c>
      <c r="D239" s="4" t="inlineStr">
        <is>
          <t>venue</t>
        </is>
      </c>
      <c r="E239" s="19" t="n">
        <v>99.85005</v>
      </c>
      <c r="F239" s="4" t="inlineStr">
        <is>
          <t>Allbridge Core</t>
        </is>
      </c>
      <c r="G239" s="19" t="n">
        <v>99.34999999999999</v>
      </c>
      <c r="H239" s="16">
        <f>(E239-G239)/100*10000</f>
        <v/>
      </c>
      <c r="I239" s="4" t="inlineStr"/>
      <c r="J239" s="4" t="inlineStr">
        <is>
          <t>2026-09-23T14:21:44.562Z</t>
        </is>
      </c>
      <c r="K239" s="4" t="inlineStr">
        <is>
          <t>2026-09-23T14:21:44.560Z</t>
        </is>
      </c>
      <c r="L239" s="13" t="n">
        <v>0.002</v>
      </c>
    </row>
    <row r="240">
      <c r="A240" s="4" t="inlineStr">
        <is>
          <t>Base → SOL</t>
        </is>
      </c>
      <c r="B240" s="4" t="n">
        <v>2</v>
      </c>
      <c r="C240" s="4" t="inlineStr">
        <is>
          <t>Husher</t>
        </is>
      </c>
      <c r="D240" s="4" t="inlineStr">
        <is>
          <t>venue</t>
        </is>
      </c>
      <c r="E240" s="19" t="n">
        <v>99.85005</v>
      </c>
      <c r="F240" s="4" t="inlineStr">
        <is>
          <t>Allbridge Core</t>
        </is>
      </c>
      <c r="G240" s="19" t="n">
        <v>99.34999999999999</v>
      </c>
      <c r="H240" s="16">
        <f>(E240-G240)/100*10000</f>
        <v/>
      </c>
      <c r="I240" s="4" t="inlineStr"/>
      <c r="J240" s="4" t="inlineStr">
        <is>
          <t>2026-09-23T14:26:20.602Z</t>
        </is>
      </c>
      <c r="K240" s="4" t="inlineStr">
        <is>
          <t>2026-09-23T14:26:20.598Z</t>
        </is>
      </c>
      <c r="L240" s="13" t="n">
        <v>0.004</v>
      </c>
    </row>
    <row r="241">
      <c r="A241" s="4" t="inlineStr">
        <is>
          <t>Base → SOL</t>
        </is>
      </c>
      <c r="B241" s="4" t="n">
        <v>3</v>
      </c>
      <c r="C241" s="4" t="inlineStr">
        <is>
          <t>Husher</t>
        </is>
      </c>
      <c r="D241" s="4" t="inlineStr">
        <is>
          <t>venue</t>
        </is>
      </c>
      <c r="E241" s="19" t="n">
        <v>99.85005</v>
      </c>
      <c r="F241" s="4" t="inlineStr">
        <is>
          <t>Allbridge Core</t>
        </is>
      </c>
      <c r="G241" s="19" t="n">
        <v>99.34999999999999</v>
      </c>
      <c r="H241" s="16">
        <f>(E241-G241)/100*10000</f>
        <v/>
      </c>
      <c r="I241" s="4" t="inlineStr"/>
      <c r="J241" s="4" t="inlineStr">
        <is>
          <t>2026-09-23T14:30:58.847Z</t>
        </is>
      </c>
      <c r="K241" s="4" t="inlineStr">
        <is>
          <t>2026-09-23T14:30:58.845Z</t>
        </is>
      </c>
      <c r="L241" s="13" t="n">
        <v>0.002</v>
      </c>
    </row>
    <row r="242">
      <c r="A242" s="4" t="inlineStr">
        <is>
          <t>Base → SOL</t>
        </is>
      </c>
      <c r="B242" s="4" t="n">
        <v>1</v>
      </c>
      <c r="C242" s="4" t="inlineStr">
        <is>
          <t>Layerswap</t>
        </is>
      </c>
      <c r="D242" s="4" t="inlineStr">
        <is>
          <t>venue</t>
        </is>
      </c>
      <c r="E242" s="19" t="n">
        <v>99.85005</v>
      </c>
      <c r="F242" s="4" t="inlineStr">
        <is>
          <t>Allbridge Core</t>
        </is>
      </c>
      <c r="G242" s="19" t="n">
        <v>99.68203099999999</v>
      </c>
      <c r="H242" s="16">
        <f>(E242-G242)/100*10000</f>
        <v/>
      </c>
      <c r="I242" s="4" t="inlineStr"/>
      <c r="J242" s="4" t="inlineStr">
        <is>
          <t>2026-09-23T14:21:44.562Z</t>
        </is>
      </c>
      <c r="K242" s="4" t="inlineStr">
        <is>
          <t>2026-09-23T14:21:44.563Z</t>
        </is>
      </c>
      <c r="L242" s="13" t="n">
        <v>0.001</v>
      </c>
    </row>
    <row r="243">
      <c r="A243" s="4" t="inlineStr">
        <is>
          <t>Base → SOL</t>
        </is>
      </c>
      <c r="B243" s="4" t="n">
        <v>2</v>
      </c>
      <c r="C243" s="4" t="inlineStr">
        <is>
          <t>Layerswap</t>
        </is>
      </c>
      <c r="D243" s="4" t="inlineStr">
        <is>
          <t>venue</t>
        </is>
      </c>
      <c r="E243" s="19" t="n">
        <v>99.85005</v>
      </c>
      <c r="F243" s="4" t="inlineStr">
        <is>
          <t>Allbridge Core</t>
        </is>
      </c>
      <c r="G243" s="19" t="n">
        <v>99.68307299999999</v>
      </c>
      <c r="H243" s="16">
        <f>(E243-G243)/100*10000</f>
        <v/>
      </c>
      <c r="I243" s="4" t="inlineStr"/>
      <c r="J243" s="4" t="inlineStr">
        <is>
          <t>2026-09-23T14:26:20.602Z</t>
        </is>
      </c>
      <c r="K243" s="4" t="inlineStr">
        <is>
          <t>2026-09-23T14:26:20.600Z</t>
        </is>
      </c>
      <c r="L243" s="13" t="n">
        <v>0.002</v>
      </c>
    </row>
    <row r="244">
      <c r="A244" s="4" t="inlineStr">
        <is>
          <t>Base → SOL</t>
        </is>
      </c>
      <c r="B244" s="4" t="n">
        <v>3</v>
      </c>
      <c r="C244" s="4" t="inlineStr">
        <is>
          <t>Layerswap</t>
        </is>
      </c>
      <c r="D244" s="4" t="inlineStr">
        <is>
          <t>venue</t>
        </is>
      </c>
      <c r="E244" s="19" t="n">
        <v>99.85005</v>
      </c>
      <c r="F244" s="4" t="inlineStr">
        <is>
          <t>Allbridge Core</t>
        </is>
      </c>
      <c r="G244" s="19" t="n">
        <v>99.68316299999999</v>
      </c>
      <c r="H244" s="16">
        <f>(E244-G244)/100*10000</f>
        <v/>
      </c>
      <c r="I244" s="4" t="inlineStr"/>
      <c r="J244" s="4" t="inlineStr">
        <is>
          <t>2026-09-23T14:30:58.847Z</t>
        </is>
      </c>
      <c r="K244" s="4" t="inlineStr">
        <is>
          <t>2026-09-23T14:30:58.846Z</t>
        </is>
      </c>
      <c r="L244" s="13" t="n">
        <v>0.001</v>
      </c>
    </row>
    <row r="245">
      <c r="A245" s="4" t="inlineStr">
        <is>
          <t>Base → SOL</t>
        </is>
      </c>
      <c r="B245" s="4" t="n">
        <v>1</v>
      </c>
      <c r="C245" s="4" t="inlineStr">
        <is>
          <t>Meson</t>
        </is>
      </c>
      <c r="D245" s="4" t="inlineStr">
        <is>
          <t>venue</t>
        </is>
      </c>
      <c r="E245" s="19" t="n">
        <v>99.85005</v>
      </c>
      <c r="F245" s="4" t="inlineStr">
        <is>
          <t>Allbridge Core</t>
        </is>
      </c>
      <c r="G245" s="19" t="n">
        <v>99.59999999999999</v>
      </c>
      <c r="H245" s="16">
        <f>(E245-G245)/100*10000</f>
        <v/>
      </c>
      <c r="I245" s="4" t="inlineStr"/>
      <c r="J245" s="4" t="inlineStr">
        <is>
          <t>2026-09-23T14:21:44.562Z</t>
        </is>
      </c>
      <c r="K245" s="4" t="inlineStr">
        <is>
          <t>2026-09-23T14:21:44.557Z</t>
        </is>
      </c>
      <c r="L245" s="13" t="n">
        <v>0.005</v>
      </c>
    </row>
    <row r="246">
      <c r="A246" s="4" t="inlineStr">
        <is>
          <t>Base → SOL</t>
        </is>
      </c>
      <c r="B246" s="4" t="n">
        <v>2</v>
      </c>
      <c r="C246" s="4" t="inlineStr">
        <is>
          <t>Meson</t>
        </is>
      </c>
      <c r="D246" s="4" t="inlineStr">
        <is>
          <t>venue</t>
        </is>
      </c>
      <c r="E246" s="19" t="n">
        <v>99.85005</v>
      </c>
      <c r="F246" s="4" t="inlineStr">
        <is>
          <t>Allbridge Core</t>
        </is>
      </c>
      <c r="G246" s="19" t="n">
        <v>99.59999999999999</v>
      </c>
      <c r="H246" s="16">
        <f>(E246-G246)/100*10000</f>
        <v/>
      </c>
      <c r="I246" s="4" t="inlineStr"/>
      <c r="J246" s="4" t="inlineStr">
        <is>
          <t>2026-09-23T14:26:20.602Z</t>
        </is>
      </c>
      <c r="K246" s="4" t="inlineStr">
        <is>
          <t>2026-09-23T14:26:20.598Z</t>
        </is>
      </c>
      <c r="L246" s="13" t="n">
        <v>0.004</v>
      </c>
    </row>
    <row r="247">
      <c r="A247" s="4" t="inlineStr">
        <is>
          <t>Base → SOL</t>
        </is>
      </c>
      <c r="B247" s="4" t="n">
        <v>3</v>
      </c>
      <c r="C247" s="4" t="inlineStr">
        <is>
          <t>Meson</t>
        </is>
      </c>
      <c r="D247" s="4" t="inlineStr">
        <is>
          <t>venue</t>
        </is>
      </c>
      <c r="E247" s="19" t="n">
        <v>99.85005</v>
      </c>
      <c r="F247" s="4" t="inlineStr">
        <is>
          <t>Allbridge Core</t>
        </is>
      </c>
      <c r="G247" s="19" t="n">
        <v>99.59999999999999</v>
      </c>
      <c r="H247" s="16">
        <f>(E247-G247)/100*10000</f>
        <v/>
      </c>
      <c r="I247" s="4" t="inlineStr"/>
      <c r="J247" s="4" t="inlineStr">
        <is>
          <t>2026-09-23T14:30:58.847Z</t>
        </is>
      </c>
      <c r="K247" s="4" t="inlineStr">
        <is>
          <t>2026-09-23T14:30:58.844Z</t>
        </is>
      </c>
      <c r="L247" s="13" t="n">
        <v>0.003</v>
      </c>
    </row>
    <row r="248">
      <c r="A248" s="4" t="inlineStr">
        <is>
          <t>Base → SOL</t>
        </is>
      </c>
      <c r="B248" s="4" t="n">
        <v>1</v>
      </c>
      <c r="C248" s="4" t="inlineStr">
        <is>
          <t>SimpleSwap</t>
        </is>
      </c>
      <c r="D248" s="4" t="inlineStr">
        <is>
          <t>venue</t>
        </is>
      </c>
      <c r="E248" s="19" t="n">
        <v>99.85005</v>
      </c>
      <c r="F248" s="4" t="inlineStr">
        <is>
          <t>Allbridge Core</t>
        </is>
      </c>
      <c r="G248" s="19" t="n">
        <v>98.485001</v>
      </c>
      <c r="H248" s="16">
        <f>(E248-G248)/100*10000</f>
        <v/>
      </c>
      <c r="I248" s="4" t="inlineStr"/>
      <c r="J248" s="4" t="inlineStr">
        <is>
          <t>2026-09-23T14:21:44.562Z</t>
        </is>
      </c>
      <c r="K248" s="4" t="inlineStr">
        <is>
          <t>2026-09-23T14:21:44.561Z</t>
        </is>
      </c>
      <c r="L248" s="13" t="n">
        <v>0.001</v>
      </c>
    </row>
    <row r="249">
      <c r="A249" s="4" t="inlineStr">
        <is>
          <t>Base → SOL</t>
        </is>
      </c>
      <c r="B249" s="4" t="n">
        <v>2</v>
      </c>
      <c r="C249" s="4" t="inlineStr">
        <is>
          <t>SimpleSwap</t>
        </is>
      </c>
      <c r="D249" s="4" t="inlineStr">
        <is>
          <t>venue</t>
        </is>
      </c>
      <c r="E249" s="19" t="n">
        <v>99.85005</v>
      </c>
      <c r="F249" s="4" t="inlineStr">
        <is>
          <t>Allbridge Core</t>
        </is>
      </c>
      <c r="G249" s="19" t="n">
        <v>98.48478299999999</v>
      </c>
      <c r="H249" s="16">
        <f>(E249-G249)/100*10000</f>
        <v/>
      </c>
      <c r="I249" s="4" t="inlineStr"/>
      <c r="J249" s="4" t="inlineStr">
        <is>
          <t>2026-09-23T14:26:20.602Z</t>
        </is>
      </c>
      <c r="K249" s="4" t="inlineStr">
        <is>
          <t>2026-09-23T14:26:20.601Z</t>
        </is>
      </c>
      <c r="L249" s="13" t="n">
        <v>0.001</v>
      </c>
    </row>
    <row r="250">
      <c r="A250" s="4" t="inlineStr">
        <is>
          <t>Base → SOL</t>
        </is>
      </c>
      <c r="B250" s="4" t="n">
        <v>3</v>
      </c>
      <c r="C250" s="4" t="inlineStr">
        <is>
          <t>SimpleSwap</t>
        </is>
      </c>
      <c r="D250" s="4" t="inlineStr">
        <is>
          <t>venue</t>
        </is>
      </c>
      <c r="E250" s="19" t="n">
        <v>99.85005</v>
      </c>
      <c r="F250" s="4" t="inlineStr">
        <is>
          <t>Allbridge Core</t>
        </is>
      </c>
      <c r="G250" s="19" t="n">
        <v>98.48504</v>
      </c>
      <c r="H250" s="16">
        <f>(E250-G250)/100*10000</f>
        <v/>
      </c>
      <c r="I250" s="4" t="inlineStr"/>
      <c r="J250" s="4" t="inlineStr">
        <is>
          <t>2026-09-23T14:30:58.847Z</t>
        </is>
      </c>
      <c r="K250" s="4" t="inlineStr">
        <is>
          <t>2026-09-23T14:30:58.847Z</t>
        </is>
      </c>
      <c r="L250" s="13" t="n">
        <v>0</v>
      </c>
    </row>
    <row r="251">
      <c r="A251" s="4" t="inlineStr">
        <is>
          <t>Base → SOL</t>
        </is>
      </c>
      <c r="B251" s="4" t="n">
        <v>1</v>
      </c>
      <c r="C251" s="4" t="inlineStr">
        <is>
          <t>Skip Go</t>
        </is>
      </c>
      <c r="D251" s="4" t="inlineStr">
        <is>
          <t>venue</t>
        </is>
      </c>
      <c r="E251" s="19" t="n">
        <v>99.85005</v>
      </c>
      <c r="F251" s="4" t="inlineStr">
        <is>
          <t>Allbridge Core</t>
        </is>
      </c>
      <c r="G251" s="19" t="n">
        <v>99.72471</v>
      </c>
      <c r="H251" s="16">
        <f>(E251-G251)/100*10000</f>
        <v/>
      </c>
      <c r="I251" s="4" t="inlineStr"/>
      <c r="J251" s="4" t="inlineStr">
        <is>
          <t>2026-09-23T14:21:44.562Z</t>
        </is>
      </c>
      <c r="K251" s="4" t="inlineStr">
        <is>
          <t>2026-09-23T14:21:44.561Z</t>
        </is>
      </c>
      <c r="L251" s="13" t="n">
        <v>0.001</v>
      </c>
    </row>
    <row r="252">
      <c r="A252" s="4" t="inlineStr">
        <is>
          <t>Base → SOL</t>
        </is>
      </c>
      <c r="B252" s="4" t="n">
        <v>2</v>
      </c>
      <c r="C252" s="4" t="inlineStr">
        <is>
          <t>Skip Go</t>
        </is>
      </c>
      <c r="D252" s="4" t="inlineStr">
        <is>
          <t>venue</t>
        </is>
      </c>
      <c r="E252" s="19" t="n">
        <v>99.85005</v>
      </c>
      <c r="F252" s="4" t="inlineStr">
        <is>
          <t>Allbridge Core</t>
        </is>
      </c>
      <c r="G252" s="19" t="n">
        <v>99.72471</v>
      </c>
      <c r="H252" s="16">
        <f>(E252-G252)/100*10000</f>
        <v/>
      </c>
      <c r="I252" s="4" t="inlineStr"/>
      <c r="J252" s="4" t="inlineStr">
        <is>
          <t>2026-09-23T14:26:20.602Z</t>
        </is>
      </c>
      <c r="K252" s="4" t="inlineStr">
        <is>
          <t>2026-09-23T14:26:20.601Z</t>
        </is>
      </c>
      <c r="L252" s="13" t="n">
        <v>0.001</v>
      </c>
    </row>
    <row r="253">
      <c r="A253" s="4" t="inlineStr">
        <is>
          <t>Base → SOL</t>
        </is>
      </c>
      <c r="B253" s="4" t="n">
        <v>3</v>
      </c>
      <c r="C253" s="4" t="inlineStr">
        <is>
          <t>Skip Go</t>
        </is>
      </c>
      <c r="D253" s="4" t="inlineStr">
        <is>
          <t>venue</t>
        </is>
      </c>
      <c r="E253" s="19" t="n">
        <v>99.85005</v>
      </c>
      <c r="F253" s="4" t="inlineStr">
        <is>
          <t>Allbridge Core</t>
        </is>
      </c>
      <c r="G253" s="19" t="n">
        <v>99.72427</v>
      </c>
      <c r="H253" s="16">
        <f>(E253-G253)/100*10000</f>
        <v/>
      </c>
      <c r="I253" s="4" t="inlineStr"/>
      <c r="J253" s="4" t="inlineStr">
        <is>
          <t>2026-09-23T14:30:58.847Z</t>
        </is>
      </c>
      <c r="K253" s="4" t="inlineStr">
        <is>
          <t>2026-09-23T14:30:58.846Z</t>
        </is>
      </c>
      <c r="L253" s="13" t="n">
        <v>0.001</v>
      </c>
    </row>
    <row r="254">
      <c r="A254" s="4" t="inlineStr">
        <is>
          <t>Base → SOL</t>
        </is>
      </c>
      <c r="B254" s="4" t="n">
        <v>1</v>
      </c>
      <c r="C254" s="4" t="inlineStr">
        <is>
          <t>Symbiosis</t>
        </is>
      </c>
      <c r="D254" s="4" t="inlineStr">
        <is>
          <t>venue</t>
        </is>
      </c>
      <c r="E254" s="19" t="n">
        <v>99.85005</v>
      </c>
      <c r="F254" s="4" t="inlineStr">
        <is>
          <t>Allbridge Core</t>
        </is>
      </c>
      <c r="G254" s="19" t="n">
        <v>98.351938</v>
      </c>
      <c r="H254" s="16">
        <f>(E254-G254)/100*10000</f>
        <v/>
      </c>
      <c r="I254" s="4" t="inlineStr"/>
      <c r="J254" s="4" t="inlineStr">
        <is>
          <t>2026-09-23T14:21:44.562Z</t>
        </is>
      </c>
      <c r="K254" s="4" t="inlineStr">
        <is>
          <t>2026-09-23T14:21:44.563Z</t>
        </is>
      </c>
      <c r="L254" s="13" t="n">
        <v>0.001</v>
      </c>
    </row>
    <row r="255">
      <c r="A255" s="4" t="inlineStr">
        <is>
          <t>Base → SOL</t>
        </is>
      </c>
      <c r="B255" s="4" t="n">
        <v>2</v>
      </c>
      <c r="C255" s="4" t="inlineStr">
        <is>
          <t>Symbiosis</t>
        </is>
      </c>
      <c r="D255" s="4" t="inlineStr">
        <is>
          <t>venue</t>
        </is>
      </c>
      <c r="E255" s="19" t="n">
        <v>99.85005</v>
      </c>
      <c r="F255" s="4" t="inlineStr">
        <is>
          <t>Allbridge Core</t>
        </is>
      </c>
      <c r="G255" s="19" t="n">
        <v>98.349396</v>
      </c>
      <c r="H255" s="16">
        <f>(E255-G255)/100*10000</f>
        <v/>
      </c>
      <c r="I255" s="4" t="inlineStr"/>
      <c r="J255" s="4" t="inlineStr">
        <is>
          <t>2026-09-23T14:26:20.602Z</t>
        </is>
      </c>
      <c r="K255" s="4" t="inlineStr">
        <is>
          <t>2026-09-23T14:26:20.602Z</t>
        </is>
      </c>
      <c r="L255" s="13" t="n">
        <v>0</v>
      </c>
    </row>
    <row r="256">
      <c r="A256" s="4" t="inlineStr">
        <is>
          <t>Base → SOL</t>
        </is>
      </c>
      <c r="B256" s="4" t="n">
        <v>3</v>
      </c>
      <c r="C256" s="4" t="inlineStr">
        <is>
          <t>Symbiosis</t>
        </is>
      </c>
      <c r="D256" s="4" t="inlineStr">
        <is>
          <t>venue</t>
        </is>
      </c>
      <c r="E256" s="19" t="n">
        <v>99.85005</v>
      </c>
      <c r="F256" s="4" t="inlineStr">
        <is>
          <t>Allbridge Core</t>
        </is>
      </c>
      <c r="G256" s="19" t="n">
        <v>98.363803</v>
      </c>
      <c r="H256" s="16">
        <f>(E256-G256)/100*10000</f>
        <v/>
      </c>
      <c r="I256" s="4" t="inlineStr"/>
      <c r="J256" s="4" t="inlineStr">
        <is>
          <t>2026-09-23T14:30:58.847Z</t>
        </is>
      </c>
      <c r="K256" s="4" t="inlineStr">
        <is>
          <t>2026-09-23T14:30:58.847Z</t>
        </is>
      </c>
      <c r="L256" s="13" t="n">
        <v>0</v>
      </c>
    </row>
  </sheetData>
  <mergeCells count="4">
    <mergeCell ref="C23:H23"/>
    <mergeCell ref="C22:H22"/>
    <mergeCell ref="C21:H21"/>
    <mergeCell ref="C20:H20"/>
  </mergeCells>
  <conditionalFormatting sqref="H37:H256">
    <cfRule type="cellIs" priority="1" operator="lessThan" dxfId="0">
      <formula>-2</formula>
    </cfRule>
    <cfRule type="cellIs" priority="2" operator="greaterThan" dxfId="1">
      <formula>2</formula>
    </cfRule>
  </conditionalFormatting>
  <conditionalFormatting sqref="C6:H19">
    <cfRule type="cellIs" priority="3" operator="lessThan" dxfId="0">
      <formula>-2</formula>
    </cfRule>
    <cfRule type="cellIs" priority="4" operator="greaterThan" dxfId="1">
      <formula>2</formula>
    </cfRule>
  </conditionalFormatting>
  <conditionalFormatting sqref="E28:E33">
    <cfRule type="cellIs" priority="5" operator="lessThan" dxfId="0">
      <formula>-2</formula>
    </cfRule>
    <cfRule type="cellIs" priority="6" operator="greaterThan" dxfId="1">
      <formula>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6" customWidth="1" min="3" max="3"/>
    <col width="13" customWidth="1" min="4" max="4"/>
    <col width="9" customWidth="1" min="5" max="5"/>
    <col width="13" customWidth="1" min="6" max="6"/>
    <col width="11" customWidth="1" min="7" max="7"/>
    <col width="13" customWidth="1" min="8" max="8"/>
    <col width="10" customWidth="1" min="9" max="9"/>
    <col width="11" customWidth="1" min="10" max="10"/>
    <col width="11" customWidth="1" min="11" max="11"/>
    <col width="9" customWidth="1" min="12" max="12"/>
    <col width="40" customWidth="1" min="13" max="13"/>
    <col width="25" customWidth="1" min="14" max="14"/>
    <col width="25" customWidth="1" min="15" max="15"/>
    <col width="11" customWidth="1" min="17" max="17"/>
    <col width="16" customWidth="1" min="18" max="18"/>
    <col width="8" customWidth="1" min="19" max="19"/>
    <col width="9" customWidth="1" min="20" max="20"/>
    <col width="12" customWidth="1" min="21" max="21"/>
    <col width="12" customWidth="1" min="22" max="22"/>
    <col width="11" customWidth="1" min="23" max="23"/>
    <col width="11" customWidth="1" min="24" max="24"/>
    <col width="9" customWidth="1" min="25" max="25"/>
    <col width="30" customWidth="1" min="26" max="26"/>
  </cols>
  <sheetData>
    <row r="1">
      <c r="A1" s="1" t="inlineStr">
        <is>
          <t>Venue Analysis — is Bridg's listed quote for each venue the same as the venue's own site?</t>
        </is>
      </c>
    </row>
    <row r="2">
      <c r="A2" s="2" t="inlineStr">
        <is>
          <t>Gap (bps) = (Bridg listed − venue direct) / 100 × 10,000. Ex-fee adds Bridg's platform fee back. Direct = venue out − any USDC fee charged on top of the 100 input. Blue = observed inputs; black = formulas.</t>
        </is>
      </c>
    </row>
    <row r="4" ht="30" customHeight="1">
      <c r="A4" s="18" t="inlineStr">
        <is>
          <t>Route</t>
        </is>
      </c>
      <c r="B4" s="18" t="inlineStr">
        <is>
          <t>Sample</t>
        </is>
      </c>
      <c r="C4" s="18" t="inlineStr">
        <is>
          <t>Venue</t>
        </is>
      </c>
      <c r="D4" s="18" t="inlineStr">
        <is>
          <t>Bridg listed</t>
        </is>
      </c>
      <c r="E4" s="18" t="inlineStr">
        <is>
          <t>Compare only</t>
        </is>
      </c>
      <c r="F4" s="18" t="inlineStr">
        <is>
          <t>Venue out</t>
        </is>
      </c>
      <c r="G4" s="18" t="inlineStr">
        <is>
          <t>USDC fee on top</t>
        </is>
      </c>
      <c r="H4" s="18" t="inlineStr">
        <is>
          <t>Direct (cmp)</t>
        </is>
      </c>
      <c r="I4" s="18" t="inlineStr">
        <is>
          <t>Gap bps</t>
        </is>
      </c>
      <c r="J4" s="18" t="inlineStr">
        <is>
          <t>Bridg fee (USDC)</t>
        </is>
      </c>
      <c r="K4" s="18" t="inlineStr">
        <is>
          <t>Gap ex-fee bps</t>
        </is>
      </c>
      <c r="L4" s="18" t="inlineStr">
        <is>
          <t>Δ read (s)</t>
        </is>
      </c>
      <c r="M4" s="18" t="inlineStr">
        <is>
          <t>Note</t>
        </is>
      </c>
      <c r="N4" s="18" t="inlineStr">
        <is>
          <t>Bridg value read (UTC)</t>
        </is>
      </c>
      <c r="O4" s="18" t="inlineStr">
        <is>
          <t>Venue value read (UTC)</t>
        </is>
      </c>
      <c r="Q4" s="18" t="inlineStr">
        <is>
          <t>Route</t>
        </is>
      </c>
      <c r="R4" s="18" t="inlineStr">
        <is>
          <t>Venue</t>
        </is>
      </c>
      <c r="S4" s="18" t="inlineStr">
        <is>
          <t>Samples</t>
        </is>
      </c>
      <c r="T4" s="18" t="inlineStr">
        <is>
          <t>Listed on Bridg</t>
        </is>
      </c>
      <c r="U4" s="18" t="inlineStr">
        <is>
          <t>Bridg avg</t>
        </is>
      </c>
      <c r="V4" s="18" t="inlineStr">
        <is>
          <t>Direct avg</t>
        </is>
      </c>
      <c r="W4" s="18" t="inlineStr">
        <is>
          <t>Gap bps (avg)</t>
        </is>
      </c>
      <c r="X4" s="18" t="inlineStr">
        <is>
          <t>Ex-fee bps (avg)</t>
        </is>
      </c>
      <c r="Y4" s="18" t="inlineStr">
        <is>
          <t>Tolerance bps</t>
        </is>
      </c>
      <c r="Z4" s="18" t="inlineStr">
        <is>
          <t>Verdict</t>
        </is>
      </c>
    </row>
    <row r="5">
      <c r="A5" s="4" t="inlineStr">
        <is>
          <t>SOL → ETH</t>
        </is>
      </c>
      <c r="B5" s="4" t="n">
        <v>1</v>
      </c>
      <c r="C5" s="4" t="inlineStr">
        <is>
          <t>Relay</t>
        </is>
      </c>
      <c r="D5" s="19" t="n">
        <v>98.880917</v>
      </c>
      <c r="E5" s="4" t="inlineStr"/>
      <c r="F5" s="19" t="n">
        <v>99.193956</v>
      </c>
      <c r="G5" s="19" t="n"/>
      <c r="H5" s="17">
        <f>IF(ISNUMBER(F5),F5-N(G5),"")</f>
        <v/>
      </c>
      <c r="I5" s="16">
        <f>IF(AND(ISNUMBER(D5),ISNUMBER(H5)),(D5-H5)/100*10000,"")</f>
        <v/>
      </c>
      <c r="J5" s="19" t="n">
        <v>0.05</v>
      </c>
      <c r="K5" s="16">
        <f>IF(ISNUMBER(I5),I5+N(J5)/100*10000,"")</f>
        <v/>
      </c>
      <c r="L5" s="13" t="n">
        <v>0.002</v>
      </c>
      <c r="M5" s="4" t="inlineStr"/>
      <c r="N5" s="4" t="inlineStr">
        <is>
          <t>2026-09-23T14:18:55.406Z</t>
        </is>
      </c>
      <c r="O5" s="4" t="inlineStr">
        <is>
          <t>2026-09-23T14:18:55.404Z</t>
        </is>
      </c>
      <c r="Q5" s="4" t="inlineStr">
        <is>
          <t>SOL → ETH</t>
        </is>
      </c>
      <c r="R5" s="4" t="inlineStr">
        <is>
          <t>Relay</t>
        </is>
      </c>
      <c r="S5" s="4">
        <f>COUNTIFS($A$5:$A$214,Q5,$C$5:$C$214,R5)</f>
        <v/>
      </c>
      <c r="T5" s="4">
        <f>COUNTIFS($A$5:$A$214,Q5,$C$5:$C$214,R5,$D$5:$D$214,"&gt;0")</f>
        <v/>
      </c>
      <c r="U5" s="17">
        <f>IFERROR(AVERAGEIFS($D$5:$D$214,$A$5:$A$214,Q5,$C$5:$C$214,R5),"—")</f>
        <v/>
      </c>
      <c r="V5" s="17">
        <f>IFERROR(AVERAGEIFS($H$5:$H$214,$A$5:$A$214,Q5,$C$5:$C$214,R5),"—")</f>
        <v/>
      </c>
      <c r="W5" s="16">
        <f>IFERROR(AVERAGEIFS($I$5:$I$214,$A$5:$A$214,Q5,$C$5:$C$214,R5),"—")</f>
        <v/>
      </c>
      <c r="X5" s="16">
        <f>IFERROR(AVERAGEIFS($K$5:$K$214,$A$5:$A$214,Q5,$C$5:$C$214,R5),"—")</f>
        <v/>
      </c>
      <c r="Y5" s="20" t="n">
        <v>2</v>
      </c>
      <c r="Z5" s="4">
        <f>IF(T5=0,"NOT LISTED on Bridg",IF(NOT(ISNUMBER(X5)),"No direct quote",IF(ABS(X5)&lt;=Y5,"Match (net of Bridg fee)",IF(ABS(W5)&lt;=Y5,"Match (Bridg fee not applied)",IF(X5&lt;0,"Bridg LOWER than venue","Bridg HIGHER than venue")))))</f>
        <v/>
      </c>
    </row>
    <row r="6">
      <c r="A6" s="4" t="inlineStr">
        <is>
          <t>SOL → ETH</t>
        </is>
      </c>
      <c r="B6" s="4" t="n">
        <v>2</v>
      </c>
      <c r="C6" s="4" t="inlineStr">
        <is>
          <t>Relay</t>
        </is>
      </c>
      <c r="D6" s="19" t="n">
        <v>98.744355</v>
      </c>
      <c r="E6" s="4" t="inlineStr"/>
      <c r="F6" s="19" t="n">
        <v>99.087326</v>
      </c>
      <c r="G6" s="19" t="n"/>
      <c r="H6" s="17">
        <f>IF(ISNUMBER(F6),F6-N(G6),"")</f>
        <v/>
      </c>
      <c r="I6" s="16">
        <f>IF(AND(ISNUMBER(D6),ISNUMBER(H6)),(D6-H6)/100*10000,"")</f>
        <v/>
      </c>
      <c r="J6" s="19" t="n">
        <v>0.05</v>
      </c>
      <c r="K6" s="16">
        <f>IF(ISNUMBER(I6),I6+N(J6)/100*10000,"")</f>
        <v/>
      </c>
      <c r="L6" s="13" t="n">
        <v>0.003</v>
      </c>
      <c r="M6" s="4" t="inlineStr"/>
      <c r="N6" s="4" t="inlineStr">
        <is>
          <t>2026-09-23T14:22:28.648Z</t>
        </is>
      </c>
      <c r="O6" s="4" t="inlineStr">
        <is>
          <t>2026-09-23T14:22:28.645Z</t>
        </is>
      </c>
      <c r="Q6" s="4" t="inlineStr">
        <is>
          <t>SOL → ETH</t>
        </is>
      </c>
      <c r="R6" s="4" t="inlineStr">
        <is>
          <t>deBridge</t>
        </is>
      </c>
      <c r="S6" s="4">
        <f>COUNTIFS($A$5:$A$214,Q6,$C$5:$C$214,R6)</f>
        <v/>
      </c>
      <c r="T6" s="4">
        <f>COUNTIFS($A$5:$A$214,Q6,$C$5:$C$214,R6,$D$5:$D$214,"&gt;0")</f>
        <v/>
      </c>
      <c r="U6" s="17">
        <f>IFERROR(AVERAGEIFS($D$5:$D$214,$A$5:$A$214,Q6,$C$5:$C$214,R6),"—")</f>
        <v/>
      </c>
      <c r="V6" s="17">
        <f>IFERROR(AVERAGEIFS($H$5:$H$214,$A$5:$A$214,Q6,$C$5:$C$214,R6),"—")</f>
        <v/>
      </c>
      <c r="W6" s="16">
        <f>IFERROR(AVERAGEIFS($I$5:$I$214,$A$5:$A$214,Q6,$C$5:$C$214,R6),"—")</f>
        <v/>
      </c>
      <c r="X6" s="16">
        <f>IFERROR(AVERAGEIFS($K$5:$K$214,$A$5:$A$214,Q6,$C$5:$C$214,R6),"—")</f>
        <v/>
      </c>
      <c r="Y6" s="20" t="n">
        <v>2</v>
      </c>
      <c r="Z6" s="4">
        <f>IF(T6=0,"NOT LISTED on Bridg",IF(NOT(ISNUMBER(X6)),"No direct quote",IF(ABS(X6)&lt;=Y6,"Match (net of Bridg fee)",IF(ABS(W6)&lt;=Y6,"Match (Bridg fee not applied)",IF(X6&lt;0,"Bridg LOWER than venue","Bridg HIGHER than venue")))))</f>
        <v/>
      </c>
    </row>
    <row r="7">
      <c r="A7" s="4" t="inlineStr">
        <is>
          <t>SOL → ETH</t>
        </is>
      </c>
      <c r="B7" s="4" t="n">
        <v>3</v>
      </c>
      <c r="C7" s="4" t="inlineStr">
        <is>
          <t>Relay</t>
        </is>
      </c>
      <c r="D7" s="19" t="n">
        <v>99.01772099999999</v>
      </c>
      <c r="E7" s="4" t="inlineStr"/>
      <c r="F7" s="19" t="n">
        <v>99.260036</v>
      </c>
      <c r="G7" s="19" t="n"/>
      <c r="H7" s="17">
        <f>IF(ISNUMBER(F7),F7-N(G7),"")</f>
        <v/>
      </c>
      <c r="I7" s="16">
        <f>IF(AND(ISNUMBER(D7),ISNUMBER(H7)),(D7-H7)/100*10000,"")</f>
        <v/>
      </c>
      <c r="J7" s="19" t="n">
        <v>0.05</v>
      </c>
      <c r="K7" s="16">
        <f>IF(ISNUMBER(I7),I7+N(J7)/100*10000,"")</f>
        <v/>
      </c>
      <c r="L7" s="13" t="n">
        <v>0.002</v>
      </c>
      <c r="M7" s="4" t="inlineStr"/>
      <c r="N7" s="4" t="inlineStr">
        <is>
          <t>2026-09-23T14:26:54.591Z</t>
        </is>
      </c>
      <c r="O7" s="4" t="inlineStr">
        <is>
          <t>2026-09-23T14:26:54.589Z</t>
        </is>
      </c>
      <c r="Q7" s="4" t="inlineStr">
        <is>
          <t>SOL → ETH</t>
        </is>
      </c>
      <c r="R7" s="4" t="inlineStr">
        <is>
          <t>LI.FI (Jumper)</t>
        </is>
      </c>
      <c r="S7" s="4">
        <f>COUNTIFS($A$5:$A$214,Q7,$C$5:$C$214,R7)</f>
        <v/>
      </c>
      <c r="T7" s="4">
        <f>COUNTIFS($A$5:$A$214,Q7,$C$5:$C$214,R7,$D$5:$D$214,"&gt;0")</f>
        <v/>
      </c>
      <c r="U7" s="17">
        <f>IFERROR(AVERAGEIFS($D$5:$D$214,$A$5:$A$214,Q7,$C$5:$C$214,R7),"—")</f>
        <v/>
      </c>
      <c r="V7" s="17">
        <f>IFERROR(AVERAGEIFS($H$5:$H$214,$A$5:$A$214,Q7,$C$5:$C$214,R7),"—")</f>
        <v/>
      </c>
      <c r="W7" s="16">
        <f>IFERROR(AVERAGEIFS($I$5:$I$214,$A$5:$A$214,Q7,$C$5:$C$214,R7),"—")</f>
        <v/>
      </c>
      <c r="X7" s="16">
        <f>IFERROR(AVERAGEIFS($K$5:$K$214,$A$5:$A$214,Q7,$C$5:$C$214,R7),"—")</f>
        <v/>
      </c>
      <c r="Y7" s="20" t="n">
        <v>2</v>
      </c>
      <c r="Z7" s="4">
        <f>IF(T7=0,"NOT LISTED on Bridg",IF(NOT(ISNUMBER(X7)),"No direct quote",IF(ABS(X7)&lt;=Y7,"Match (net of Bridg fee)",IF(ABS(W7)&lt;=Y7,"Match (Bridg fee not applied)",IF(X7&lt;0,"Bridg LOWER than venue","Bridg HIGHER than venue")))))</f>
        <v/>
      </c>
    </row>
    <row r="8">
      <c r="A8" s="4" t="inlineStr">
        <is>
          <t>SOL → ETH</t>
        </is>
      </c>
      <c r="B8" s="4" t="n">
        <v>1</v>
      </c>
      <c r="C8" s="4" t="inlineStr">
        <is>
          <t>deBridge</t>
        </is>
      </c>
      <c r="D8" s="19" t="n">
        <v>96.98697799999999</v>
      </c>
      <c r="E8" s="4" t="inlineStr"/>
      <c r="F8" s="19" t="n">
        <v>99.920018</v>
      </c>
      <c r="G8" s="19" t="n">
        <v>2.9354</v>
      </c>
      <c r="H8" s="17">
        <f>IF(ISNUMBER(F8),F8-N(G8),"")</f>
        <v/>
      </c>
      <c r="I8" s="16">
        <f>IF(AND(ISNUMBER(D8),ISNUMBER(H8)),(D8-H8)/100*10000,"")</f>
        <v/>
      </c>
      <c r="J8" s="19" t="n">
        <v>0.15</v>
      </c>
      <c r="K8" s="16">
        <f>IF(ISNUMBER(I8),I8+N(J8)/100*10000,"")</f>
        <v/>
      </c>
      <c r="L8" s="13" t="n">
        <v>0.004</v>
      </c>
      <c r="M8" s="4" t="inlineStr">
        <is>
          <t>+2.9354 USDC charged on top of 100 input (subtracted)</t>
        </is>
      </c>
      <c r="N8" s="4" t="inlineStr">
        <is>
          <t>2026-09-23T14:18:55.406Z</t>
        </is>
      </c>
      <c r="O8" s="4" t="inlineStr">
        <is>
          <t>2026-09-23T14:18:55.402Z</t>
        </is>
      </c>
      <c r="Q8" s="4" t="inlineStr">
        <is>
          <t>SOL → ETH</t>
        </is>
      </c>
      <c r="R8" s="4" t="inlineStr">
        <is>
          <t>Across</t>
        </is>
      </c>
      <c r="S8" s="4">
        <f>COUNTIFS($A$5:$A$214,Q8,$C$5:$C$214,R8)</f>
        <v/>
      </c>
      <c r="T8" s="4">
        <f>COUNTIFS($A$5:$A$214,Q8,$C$5:$C$214,R8,$D$5:$D$214,"&gt;0")</f>
        <v/>
      </c>
      <c r="U8" s="17">
        <f>IFERROR(AVERAGEIFS($D$5:$D$214,$A$5:$A$214,Q8,$C$5:$C$214,R8),"—")</f>
        <v/>
      </c>
      <c r="V8" s="17">
        <f>IFERROR(AVERAGEIFS($H$5:$H$214,$A$5:$A$214,Q8,$C$5:$C$214,R8),"—")</f>
        <v/>
      </c>
      <c r="W8" s="16">
        <f>IFERROR(AVERAGEIFS($I$5:$I$214,$A$5:$A$214,Q8,$C$5:$C$214,R8),"—")</f>
        <v/>
      </c>
      <c r="X8" s="16">
        <f>IFERROR(AVERAGEIFS($K$5:$K$214,$A$5:$A$214,Q8,$C$5:$C$214,R8),"—")</f>
        <v/>
      </c>
      <c r="Y8" s="20" t="n">
        <v>2</v>
      </c>
      <c r="Z8" s="4">
        <f>IF(T8=0,"NOT LISTED on Bridg",IF(NOT(ISNUMBER(X8)),"No direct quote",IF(ABS(X8)&lt;=Y8,"Match (net of Bridg fee)",IF(ABS(W8)&lt;=Y8,"Match (Bridg fee not applied)",IF(X8&lt;0,"Bridg LOWER than venue","Bridg HIGHER than venue")))))</f>
        <v/>
      </c>
    </row>
    <row r="9">
      <c r="A9" s="4" t="inlineStr">
        <is>
          <t>SOL → ETH</t>
        </is>
      </c>
      <c r="B9" s="4" t="n">
        <v>2</v>
      </c>
      <c r="C9" s="4" t="inlineStr">
        <is>
          <t>deBridge</t>
        </is>
      </c>
      <c r="D9" s="19" t="n">
        <v>96.649264</v>
      </c>
      <c r="E9" s="4" t="inlineStr"/>
      <c r="F9" s="19" t="n">
        <v>99.920018</v>
      </c>
      <c r="G9" s="19" t="n">
        <v>3.2734</v>
      </c>
      <c r="H9" s="17">
        <f>IF(ISNUMBER(F9),F9-N(G9),"")</f>
        <v/>
      </c>
      <c r="I9" s="16">
        <f>IF(AND(ISNUMBER(D9),ISNUMBER(H9)),(D9-H9)/100*10000,"")</f>
        <v/>
      </c>
      <c r="J9" s="19" t="n">
        <v>0.15</v>
      </c>
      <c r="K9" s="16">
        <f>IF(ISNUMBER(I9),I9+N(J9)/100*10000,"")</f>
        <v/>
      </c>
      <c r="L9" s="13" t="n">
        <v>0.002</v>
      </c>
      <c r="M9" s="4" t="inlineStr">
        <is>
          <t>+3.2734 USDC charged on top of 100 input (subtracted)</t>
        </is>
      </c>
      <c r="N9" s="4" t="inlineStr">
        <is>
          <t>2026-09-23T14:22:28.648Z</t>
        </is>
      </c>
      <c r="O9" s="4" t="inlineStr">
        <is>
          <t>2026-09-23T14:22:28.646Z</t>
        </is>
      </c>
      <c r="Q9" s="4" t="inlineStr">
        <is>
          <t>SOL → ETH</t>
        </is>
      </c>
      <c r="R9" s="4" t="inlineStr">
        <is>
          <t>Mayan</t>
        </is>
      </c>
      <c r="S9" s="4">
        <f>COUNTIFS($A$5:$A$214,Q9,$C$5:$C$214,R9)</f>
        <v/>
      </c>
      <c r="T9" s="4">
        <f>COUNTIFS($A$5:$A$214,Q9,$C$5:$C$214,R9,$D$5:$D$214,"&gt;0")</f>
        <v/>
      </c>
      <c r="U9" s="17">
        <f>IFERROR(AVERAGEIFS($D$5:$D$214,$A$5:$A$214,Q9,$C$5:$C$214,R9),"—")</f>
        <v/>
      </c>
      <c r="V9" s="17">
        <f>IFERROR(AVERAGEIFS($H$5:$H$214,$A$5:$A$214,Q9,$C$5:$C$214,R9),"—")</f>
        <v/>
      </c>
      <c r="W9" s="16">
        <f>IFERROR(AVERAGEIFS($I$5:$I$214,$A$5:$A$214,Q9,$C$5:$C$214,R9),"—")</f>
        <v/>
      </c>
      <c r="X9" s="16">
        <f>IFERROR(AVERAGEIFS($K$5:$K$214,$A$5:$A$214,Q9,$C$5:$C$214,R9),"—")</f>
        <v/>
      </c>
      <c r="Y9" s="20" t="n">
        <v>4</v>
      </c>
      <c r="Z9" s="4">
        <f>IF(T9=0,"NOT LISTED on Bridg",IF(NOT(ISNUMBER(X9)),"No direct quote",IF(ABS(X9)&lt;=Y9,"Match (net of Bridg fee)",IF(ABS(W9)&lt;=Y9,"Match (Bridg fee not applied)",IF(X9&lt;0,"Bridg LOWER than venue","Bridg HIGHER than venue")))))</f>
        <v/>
      </c>
    </row>
    <row r="10">
      <c r="A10" s="4" t="inlineStr">
        <is>
          <t>SOL → ETH</t>
        </is>
      </c>
      <c r="B10" s="4" t="n">
        <v>3</v>
      </c>
      <c r="C10" s="4" t="inlineStr">
        <is>
          <t>deBridge</t>
        </is>
      </c>
      <c r="D10" s="19" t="n">
        <v>97.026152</v>
      </c>
      <c r="E10" s="4" t="inlineStr"/>
      <c r="F10" s="19" t="n">
        <v>99.880033</v>
      </c>
      <c r="G10" s="19" t="n">
        <v>2.8199</v>
      </c>
      <c r="H10" s="17">
        <f>IF(ISNUMBER(F10),F10-N(G10),"")</f>
        <v/>
      </c>
      <c r="I10" s="16">
        <f>IF(AND(ISNUMBER(D10),ISNUMBER(H10)),(D10-H10)/100*10000,"")</f>
        <v/>
      </c>
      <c r="J10" s="19" t="n">
        <v>0.15</v>
      </c>
      <c r="K10" s="16">
        <f>IF(ISNUMBER(I10),I10+N(J10)/100*10000,"")</f>
        <v/>
      </c>
      <c r="L10" s="13" t="n">
        <v>0.002</v>
      </c>
      <c r="M10" s="4" t="inlineStr">
        <is>
          <t>+2.8199 USDC charged on top of 100 input (subtracted)</t>
        </is>
      </c>
      <c r="N10" s="4" t="inlineStr">
        <is>
          <t>2026-09-23T14:26:54.591Z</t>
        </is>
      </c>
      <c r="O10" s="4" t="inlineStr">
        <is>
          <t>2026-09-23T14:26:54.593Z</t>
        </is>
      </c>
      <c r="Q10" s="4" t="inlineStr">
        <is>
          <t>SOL → ETH</t>
        </is>
      </c>
      <c r="R10" s="4" t="inlineStr">
        <is>
          <t>Allbridge Core</t>
        </is>
      </c>
      <c r="S10" s="4">
        <f>COUNTIFS($A$5:$A$214,Q10,$C$5:$C$214,R10)</f>
        <v/>
      </c>
      <c r="T10" s="4">
        <f>COUNTIFS($A$5:$A$214,Q10,$C$5:$C$214,R10,$D$5:$D$214,"&gt;0")</f>
        <v/>
      </c>
      <c r="U10" s="17">
        <f>IFERROR(AVERAGEIFS($D$5:$D$214,$A$5:$A$214,Q10,$C$5:$C$214,R10),"—")</f>
        <v/>
      </c>
      <c r="V10" s="17">
        <f>IFERROR(AVERAGEIFS($H$5:$H$214,$A$5:$A$214,Q10,$C$5:$C$214,R10),"—")</f>
        <v/>
      </c>
      <c r="W10" s="16">
        <f>IFERROR(AVERAGEIFS($I$5:$I$214,$A$5:$A$214,Q10,$C$5:$C$214,R10),"—")</f>
        <v/>
      </c>
      <c r="X10" s="16">
        <f>IFERROR(AVERAGEIFS($K$5:$K$214,$A$5:$A$214,Q10,$C$5:$C$214,R10),"—")</f>
        <v/>
      </c>
      <c r="Y10" s="20" t="n">
        <v>2</v>
      </c>
      <c r="Z10" s="4">
        <f>IF(T10=0,"NOT LISTED on Bridg",IF(NOT(ISNUMBER(X10)),"No direct quote",IF(ABS(X10)&lt;=Y10,"Match (net of Bridg fee)",IF(ABS(W10)&lt;=Y10,"Match (Bridg fee not applied)",IF(X10&lt;0,"Bridg LOWER than venue","Bridg HIGHER than venue")))))</f>
        <v/>
      </c>
    </row>
    <row r="11">
      <c r="A11" s="4" t="inlineStr">
        <is>
          <t>SOL → ETH</t>
        </is>
      </c>
      <c r="B11" s="4" t="n">
        <v>1</v>
      </c>
      <c r="C11" s="4" t="inlineStr">
        <is>
          <t>LI.FI (Jumper)</t>
        </is>
      </c>
      <c r="D11" s="19" t="n">
        <v>98.887005</v>
      </c>
      <c r="E11" s="4" t="inlineStr"/>
      <c r="F11" s="19" t="n">
        <v>99.193956</v>
      </c>
      <c r="G11" s="19" t="n"/>
      <c r="H11" s="17">
        <f>IF(ISNUMBER(F11),F11-N(G11),"")</f>
        <v/>
      </c>
      <c r="I11" s="16">
        <f>IF(AND(ISNUMBER(D11),ISNUMBER(H11)),(D11-H11)/100*10000,"")</f>
        <v/>
      </c>
      <c r="J11" s="19" t="n">
        <v>0.15</v>
      </c>
      <c r="K11" s="16">
        <f>IF(ISNUMBER(I11),I11+N(J11)/100*10000,"")</f>
        <v/>
      </c>
      <c r="L11" s="13" t="n">
        <v>0.006</v>
      </c>
      <c r="M11" s="4" t="inlineStr">
        <is>
          <t>Jumper Best Return via Relay; max route 99.99</t>
        </is>
      </c>
      <c r="N11" s="4" t="inlineStr">
        <is>
          <t>2026-09-23T14:18:55.406Z</t>
        </is>
      </c>
      <c r="O11" s="4" t="inlineStr">
        <is>
          <t>2026-09-23T14:18:55.400Z</t>
        </is>
      </c>
      <c r="Q11" s="4" t="inlineStr">
        <is>
          <t>SOL → ETH</t>
        </is>
      </c>
      <c r="R11" s="4" t="inlineStr">
        <is>
          <t>CCTP (via Portal)</t>
        </is>
      </c>
      <c r="S11" s="4">
        <f>COUNTIFS($A$5:$A$214,Q11,$C$5:$C$214,R11)</f>
        <v/>
      </c>
      <c r="T11" s="4">
        <f>COUNTIFS($A$5:$A$214,Q11,$C$5:$C$214,R11,$D$5:$D$214,"&gt;0")</f>
        <v/>
      </c>
      <c r="U11" s="17">
        <f>IFERROR(AVERAGEIFS($D$5:$D$214,$A$5:$A$214,Q11,$C$5:$C$214,R11),"—")</f>
        <v/>
      </c>
      <c r="V11" s="17">
        <f>IFERROR(AVERAGEIFS($H$5:$H$214,$A$5:$A$214,Q11,$C$5:$C$214,R11),"—")</f>
        <v/>
      </c>
      <c r="W11" s="16">
        <f>IFERROR(AVERAGEIFS($I$5:$I$214,$A$5:$A$214,Q11,$C$5:$C$214,R11),"—")</f>
        <v/>
      </c>
      <c r="X11" s="16">
        <f>IFERROR(AVERAGEIFS($K$5:$K$214,$A$5:$A$214,Q11,$C$5:$C$214,R11),"—")</f>
        <v/>
      </c>
      <c r="Y11" s="20" t="n">
        <v>2</v>
      </c>
      <c r="Z11" s="4">
        <f>IF(T11=0,"NOT LISTED on Bridg",IF(NOT(ISNUMBER(X11)),"No direct quote",IF(ABS(X11)&lt;=Y11,"Match (net of Bridg fee)",IF(ABS(W11)&lt;=Y11,"Match (Bridg fee not applied)",IF(X11&lt;0,"Bridg LOWER than venue","Bridg HIGHER than venue")))))</f>
        <v/>
      </c>
    </row>
    <row r="12">
      <c r="A12" s="4" t="inlineStr">
        <is>
          <t>SOL → ETH</t>
        </is>
      </c>
      <c r="B12" s="4" t="n">
        <v>2</v>
      </c>
      <c r="C12" s="4" t="inlineStr">
        <is>
          <t>LI.FI (Jumper)</t>
        </is>
      </c>
      <c r="D12" s="19" t="n">
        <v>98.889246</v>
      </c>
      <c r="E12" s="4" t="inlineStr"/>
      <c r="F12" s="19" t="n">
        <v>99.087326</v>
      </c>
      <c r="G12" s="19" t="n"/>
      <c r="H12" s="17">
        <f>IF(ISNUMBER(F12),F12-N(G12),"")</f>
        <v/>
      </c>
      <c r="I12" s="16">
        <f>IF(AND(ISNUMBER(D12),ISNUMBER(H12)),(D12-H12)/100*10000,"")</f>
        <v/>
      </c>
      <c r="J12" s="19" t="n">
        <v>0.15</v>
      </c>
      <c r="K12" s="16">
        <f>IF(ISNUMBER(I12),I12+N(J12)/100*10000,"")</f>
        <v/>
      </c>
      <c r="L12" s="13" t="n">
        <v>0.002</v>
      </c>
      <c r="M12" s="4" t="inlineStr">
        <is>
          <t>Jumper Best Return via Relay; max route 99.99</t>
        </is>
      </c>
      <c r="N12" s="4" t="inlineStr">
        <is>
          <t>2026-09-23T14:22:28.648Z</t>
        </is>
      </c>
      <c r="O12" s="4" t="inlineStr">
        <is>
          <t>2026-09-23T14:22:28.650Z</t>
        </is>
      </c>
      <c r="Q12" s="4" t="inlineStr">
        <is>
          <t>SOL → ETH</t>
        </is>
      </c>
      <c r="R12" s="4" t="inlineStr">
        <is>
          <t>Husher</t>
        </is>
      </c>
      <c r="S12" s="4">
        <f>COUNTIFS($A$5:$A$214,Q12,$C$5:$C$214,R12)</f>
        <v/>
      </c>
      <c r="T12" s="4">
        <f>COUNTIFS($A$5:$A$214,Q12,$C$5:$C$214,R12,$D$5:$D$214,"&gt;0")</f>
        <v/>
      </c>
      <c r="U12" s="17">
        <f>IFERROR(AVERAGEIFS($D$5:$D$214,$A$5:$A$214,Q12,$C$5:$C$214,R12),"—")</f>
        <v/>
      </c>
      <c r="V12" s="17">
        <f>IFERROR(AVERAGEIFS($H$5:$H$214,$A$5:$A$214,Q12,$C$5:$C$214,R12),"—")</f>
        <v/>
      </c>
      <c r="W12" s="16">
        <f>IFERROR(AVERAGEIFS($I$5:$I$214,$A$5:$A$214,Q12,$C$5:$C$214,R12),"—")</f>
        <v/>
      </c>
      <c r="X12" s="16">
        <f>IFERROR(AVERAGEIFS($K$5:$K$214,$A$5:$A$214,Q12,$C$5:$C$214,R12),"—")</f>
        <v/>
      </c>
      <c r="Y12" s="20" t="n">
        <v>2</v>
      </c>
      <c r="Z12" s="4">
        <f>IF(T12=0,"NOT LISTED on Bridg",IF(NOT(ISNUMBER(X12)),"No direct quote",IF(ABS(X12)&lt;=Y12,"Match (net of Bridg fee)",IF(ABS(W12)&lt;=Y12,"Match (Bridg fee not applied)",IF(X12&lt;0,"Bridg LOWER than venue","Bridg HIGHER than venue")))))</f>
        <v/>
      </c>
    </row>
    <row r="13">
      <c r="A13" s="4" t="inlineStr">
        <is>
          <t>SOL → ETH</t>
        </is>
      </c>
      <c r="B13" s="4" t="n">
        <v>3</v>
      </c>
      <c r="C13" s="4" t="inlineStr">
        <is>
          <t>LI.FI (Jumper)</t>
        </is>
      </c>
      <c r="D13" s="19" t="n">
        <v>98.86696000000001</v>
      </c>
      <c r="E13" s="4" t="inlineStr"/>
      <c r="F13" s="19" t="n">
        <v>99.260036</v>
      </c>
      <c r="G13" s="19" t="n"/>
      <c r="H13" s="17">
        <f>IF(ISNUMBER(F13),F13-N(G13),"")</f>
        <v/>
      </c>
      <c r="I13" s="16">
        <f>IF(AND(ISNUMBER(D13),ISNUMBER(H13)),(D13-H13)/100*10000,"")</f>
        <v/>
      </c>
      <c r="J13" s="19" t="n">
        <v>0.15</v>
      </c>
      <c r="K13" s="16">
        <f>IF(ISNUMBER(I13),I13+N(J13)/100*10000,"")</f>
        <v/>
      </c>
      <c r="L13" s="13" t="n">
        <v>0</v>
      </c>
      <c r="M13" s="4" t="inlineStr">
        <is>
          <t>Jumper Best Return via Relay; max route 99.99</t>
        </is>
      </c>
      <c r="N13" s="4" t="inlineStr">
        <is>
          <t>2026-09-23T14:26:54.591Z</t>
        </is>
      </c>
      <c r="O13" s="4" t="inlineStr">
        <is>
          <t>2026-09-23T14:26:54.591Z</t>
        </is>
      </c>
      <c r="Q13" s="4" t="inlineStr">
        <is>
          <t>SOL → ETH</t>
        </is>
      </c>
      <c r="R13" s="4" t="inlineStr">
        <is>
          <t>Layerswap</t>
        </is>
      </c>
      <c r="S13" s="4">
        <f>COUNTIFS($A$5:$A$214,Q13,$C$5:$C$214,R13)</f>
        <v/>
      </c>
      <c r="T13" s="4">
        <f>COUNTIFS($A$5:$A$214,Q13,$C$5:$C$214,R13,$D$5:$D$214,"&gt;0")</f>
        <v/>
      </c>
      <c r="U13" s="17">
        <f>IFERROR(AVERAGEIFS($D$5:$D$214,$A$5:$A$214,Q13,$C$5:$C$214,R13),"—")</f>
        <v/>
      </c>
      <c r="V13" s="17">
        <f>IFERROR(AVERAGEIFS($H$5:$H$214,$A$5:$A$214,Q13,$C$5:$C$214,R13),"—")</f>
        <v/>
      </c>
      <c r="W13" s="16">
        <f>IFERROR(AVERAGEIFS($I$5:$I$214,$A$5:$A$214,Q13,$C$5:$C$214,R13),"—")</f>
        <v/>
      </c>
      <c r="X13" s="16">
        <f>IFERROR(AVERAGEIFS($K$5:$K$214,$A$5:$A$214,Q13,$C$5:$C$214,R13),"—")</f>
        <v/>
      </c>
      <c r="Y13" s="20" t="n">
        <v>2</v>
      </c>
      <c r="Z13" s="4">
        <f>IF(T13=0,"NOT LISTED on Bridg",IF(NOT(ISNUMBER(X13)),"No direct quote",IF(ABS(X13)&lt;=Y13,"Match (net of Bridg fee)",IF(ABS(W13)&lt;=Y13,"Match (Bridg fee not applied)",IF(X13&lt;0,"Bridg LOWER than venue","Bridg HIGHER than venue")))))</f>
        <v/>
      </c>
    </row>
    <row r="14">
      <c r="A14" s="4" t="inlineStr">
        <is>
          <t>SOL → ETH</t>
        </is>
      </c>
      <c r="B14" s="4" t="n">
        <v>1</v>
      </c>
      <c r="C14" s="4" t="inlineStr">
        <is>
          <t>Across</t>
        </is>
      </c>
      <c r="D14" s="19" t="n">
        <v>99.84001499999999</v>
      </c>
      <c r="E14" s="4" t="inlineStr"/>
      <c r="F14" s="19" t="n">
        <v>99.98999999999999</v>
      </c>
      <c r="G14" s="19" t="n"/>
      <c r="H14" s="17">
        <f>IF(ISNUMBER(F14),F14-N(G14),"")</f>
        <v/>
      </c>
      <c r="I14" s="16">
        <f>IF(AND(ISNUMBER(D14),ISNUMBER(H14)),(D14-H14)/100*10000,"")</f>
        <v/>
      </c>
      <c r="J14" s="19" t="n">
        <v>0.15</v>
      </c>
      <c r="K14" s="16">
        <f>IF(ISNUMBER(I14),I14+N(J14)/100*10000,"")</f>
        <v/>
      </c>
      <c r="L14" s="13" t="n">
        <v>0.006</v>
      </c>
      <c r="M14" s="4" t="inlineStr"/>
      <c r="N14" s="4" t="inlineStr">
        <is>
          <t>2026-09-23T14:18:55.406Z</t>
        </is>
      </c>
      <c r="O14" s="4" t="inlineStr">
        <is>
          <t>2026-09-23T14:18:55.400Z</t>
        </is>
      </c>
      <c r="Q14" s="4" t="inlineStr">
        <is>
          <t>SOL → ETH</t>
        </is>
      </c>
      <c r="R14" s="4" t="inlineStr">
        <is>
          <t>Meson</t>
        </is>
      </c>
      <c r="S14" s="4">
        <f>COUNTIFS($A$5:$A$214,Q14,$C$5:$C$214,R14)</f>
        <v/>
      </c>
      <c r="T14" s="4">
        <f>COUNTIFS($A$5:$A$214,Q14,$C$5:$C$214,R14,$D$5:$D$214,"&gt;0")</f>
        <v/>
      </c>
      <c r="U14" s="17">
        <f>IFERROR(AVERAGEIFS($D$5:$D$214,$A$5:$A$214,Q14,$C$5:$C$214,R14),"—")</f>
        <v/>
      </c>
      <c r="V14" s="17">
        <f>IFERROR(AVERAGEIFS($H$5:$H$214,$A$5:$A$214,Q14,$C$5:$C$214,R14),"—")</f>
        <v/>
      </c>
      <c r="W14" s="16">
        <f>IFERROR(AVERAGEIFS($I$5:$I$214,$A$5:$A$214,Q14,$C$5:$C$214,R14),"—")</f>
        <v/>
      </c>
      <c r="X14" s="16">
        <f>IFERROR(AVERAGEIFS($K$5:$K$214,$A$5:$A$214,Q14,$C$5:$C$214,R14),"—")</f>
        <v/>
      </c>
      <c r="Y14" s="20" t="n">
        <v>2</v>
      </c>
      <c r="Z14" s="4">
        <f>IF(T14=0,"NOT LISTED on Bridg",IF(NOT(ISNUMBER(X14)),"No direct quote",IF(ABS(X14)&lt;=Y14,"Match (net of Bridg fee)",IF(ABS(W14)&lt;=Y14,"Match (Bridg fee not applied)",IF(X14&lt;0,"Bridg LOWER than venue","Bridg HIGHER than venue")))))</f>
        <v/>
      </c>
    </row>
    <row r="15">
      <c r="A15" s="4" t="inlineStr">
        <is>
          <t>SOL → ETH</t>
        </is>
      </c>
      <c r="B15" s="4" t="n">
        <v>2</v>
      </c>
      <c r="C15" s="4" t="inlineStr">
        <is>
          <t>Across</t>
        </is>
      </c>
      <c r="D15" s="19" t="n">
        <v>99.84001499999999</v>
      </c>
      <c r="E15" s="4" t="inlineStr"/>
      <c r="F15" s="19" t="n">
        <v>99.98999999999999</v>
      </c>
      <c r="G15" s="19" t="n"/>
      <c r="H15" s="17">
        <f>IF(ISNUMBER(F15),F15-N(G15),"")</f>
        <v/>
      </c>
      <c r="I15" s="16">
        <f>IF(AND(ISNUMBER(D15),ISNUMBER(H15)),(D15-H15)/100*10000,"")</f>
        <v/>
      </c>
      <c r="J15" s="19" t="n">
        <v>0.15</v>
      </c>
      <c r="K15" s="16">
        <f>IF(ISNUMBER(I15),I15+N(J15)/100*10000,"")</f>
        <v/>
      </c>
      <c r="L15" s="13" t="n">
        <v>0.004</v>
      </c>
      <c r="M15" s="4" t="inlineStr"/>
      <c r="N15" s="4" t="inlineStr">
        <is>
          <t>2026-09-23T14:22:28.648Z</t>
        </is>
      </c>
      <c r="O15" s="4" t="inlineStr">
        <is>
          <t>2026-09-23T14:22:28.644Z</t>
        </is>
      </c>
      <c r="Q15" s="4" t="inlineStr">
        <is>
          <t>SOL → ETH</t>
        </is>
      </c>
      <c r="R15" s="4" t="inlineStr">
        <is>
          <t>SimpleSwap</t>
        </is>
      </c>
      <c r="S15" s="4">
        <f>COUNTIFS($A$5:$A$214,Q15,$C$5:$C$214,R15)</f>
        <v/>
      </c>
      <c r="T15" s="4">
        <f>COUNTIFS($A$5:$A$214,Q15,$C$5:$C$214,R15,$D$5:$D$214,"&gt;0")</f>
        <v/>
      </c>
      <c r="U15" s="17">
        <f>IFERROR(AVERAGEIFS($D$5:$D$214,$A$5:$A$214,Q15,$C$5:$C$214,R15),"—")</f>
        <v/>
      </c>
      <c r="V15" s="17">
        <f>IFERROR(AVERAGEIFS($H$5:$H$214,$A$5:$A$214,Q15,$C$5:$C$214,R15),"—")</f>
        <v/>
      </c>
      <c r="W15" s="16">
        <f>IFERROR(AVERAGEIFS($I$5:$I$214,$A$5:$A$214,Q15,$C$5:$C$214,R15),"—")</f>
        <v/>
      </c>
      <c r="X15" s="16">
        <f>IFERROR(AVERAGEIFS($K$5:$K$214,$A$5:$A$214,Q15,$C$5:$C$214,R15),"—")</f>
        <v/>
      </c>
      <c r="Y15" s="20" t="n">
        <v>2</v>
      </c>
      <c r="Z15" s="4">
        <f>IF(T15=0,"NOT LISTED on Bridg",IF(NOT(ISNUMBER(X15)),"No direct quote",IF(ABS(X15)&lt;=Y15,"Match (net of Bridg fee)",IF(ABS(W15)&lt;=Y15,"Match (Bridg fee not applied)",IF(X15&lt;0,"Bridg LOWER than venue","Bridg HIGHER than venue")))))</f>
        <v/>
      </c>
    </row>
    <row r="16">
      <c r="A16" s="4" t="inlineStr">
        <is>
          <t>SOL → ETH</t>
        </is>
      </c>
      <c r="B16" s="4" t="n">
        <v>3</v>
      </c>
      <c r="C16" s="4" t="inlineStr">
        <is>
          <t>Across</t>
        </is>
      </c>
      <c r="D16" s="19" t="n">
        <v>99.84001499999999</v>
      </c>
      <c r="E16" s="4" t="inlineStr"/>
      <c r="F16" s="19" t="n">
        <v>99.98999999999999</v>
      </c>
      <c r="G16" s="19" t="n"/>
      <c r="H16" s="17">
        <f>IF(ISNUMBER(F16),F16-N(G16),"")</f>
        <v/>
      </c>
      <c r="I16" s="16">
        <f>IF(AND(ISNUMBER(D16),ISNUMBER(H16)),(D16-H16)/100*10000,"")</f>
        <v/>
      </c>
      <c r="J16" s="19" t="n">
        <v>0.15</v>
      </c>
      <c r="K16" s="16">
        <f>IF(ISNUMBER(I16),I16+N(J16)/100*10000,"")</f>
        <v/>
      </c>
      <c r="L16" s="13" t="n">
        <v>0.002</v>
      </c>
      <c r="M16" s="4" t="inlineStr"/>
      <c r="N16" s="4" t="inlineStr">
        <is>
          <t>2026-09-23T14:26:54.591Z</t>
        </is>
      </c>
      <c r="O16" s="4" t="inlineStr">
        <is>
          <t>2026-09-23T14:26:54.589Z</t>
        </is>
      </c>
      <c r="Q16" s="4" t="inlineStr">
        <is>
          <t>SOL → ETH</t>
        </is>
      </c>
      <c r="R16" s="4" t="inlineStr">
        <is>
          <t>Skip Go</t>
        </is>
      </c>
      <c r="S16" s="4">
        <f>COUNTIFS($A$5:$A$214,Q16,$C$5:$C$214,R16)</f>
        <v/>
      </c>
      <c r="T16" s="4">
        <f>COUNTIFS($A$5:$A$214,Q16,$C$5:$C$214,R16,$D$5:$D$214,"&gt;0")</f>
        <v/>
      </c>
      <c r="U16" s="17">
        <f>IFERROR(AVERAGEIFS($D$5:$D$214,$A$5:$A$214,Q16,$C$5:$C$214,R16),"—")</f>
        <v/>
      </c>
      <c r="V16" s="17">
        <f>IFERROR(AVERAGEIFS($H$5:$H$214,$A$5:$A$214,Q16,$C$5:$C$214,R16),"—")</f>
        <v/>
      </c>
      <c r="W16" s="16">
        <f>IFERROR(AVERAGEIFS($I$5:$I$214,$A$5:$A$214,Q16,$C$5:$C$214,R16),"—")</f>
        <v/>
      </c>
      <c r="X16" s="16">
        <f>IFERROR(AVERAGEIFS($K$5:$K$214,$A$5:$A$214,Q16,$C$5:$C$214,R16),"—")</f>
        <v/>
      </c>
      <c r="Y16" s="20" t="n">
        <v>2</v>
      </c>
      <c r="Z16" s="4">
        <f>IF(T16=0,"NOT LISTED on Bridg",IF(NOT(ISNUMBER(X16)),"No direct quote",IF(ABS(X16)&lt;=Y16,"Match (net of Bridg fee)",IF(ABS(W16)&lt;=Y16,"Match (Bridg fee not applied)",IF(X16&lt;0,"Bridg LOWER than venue","Bridg HIGHER than venue")))))</f>
        <v/>
      </c>
    </row>
    <row r="17">
      <c r="A17" s="4" t="inlineStr">
        <is>
          <t>SOL → ETH</t>
        </is>
      </c>
      <c r="B17" s="4" t="n">
        <v>1</v>
      </c>
      <c r="C17" s="4" t="inlineStr">
        <is>
          <t>Mayan</t>
        </is>
      </c>
      <c r="D17" s="19" t="n">
        <v>96.48894900000001</v>
      </c>
      <c r="E17" s="4" t="inlineStr">
        <is>
          <t>yes</t>
        </is>
      </c>
      <c r="F17" s="19" t="n">
        <v>96.6446</v>
      </c>
      <c r="G17" s="19" t="n"/>
      <c r="H17" s="17">
        <f>IF(ISNUMBER(F17),F17-N(G17),"")</f>
        <v/>
      </c>
      <c r="I17" s="16">
        <f>IF(AND(ISNUMBER(D17),ISNUMBER(H17)),(D17-H17)/100*10000,"")</f>
        <v/>
      </c>
      <c r="J17" s="19" t="n">
        <v>0.15</v>
      </c>
      <c r="K17" s="16">
        <f>IF(ISNUMBER(I17),I17+N(J17)/100*10000,"")</f>
        <v/>
      </c>
      <c r="L17" s="13" t="n">
        <v>0.006</v>
      </c>
      <c r="M17" s="4" t="inlineStr">
        <is>
          <t>Swift v2; UI shows 4 dp</t>
        </is>
      </c>
      <c r="N17" s="4" t="inlineStr">
        <is>
          <t>2026-09-23T14:18:55.406Z</t>
        </is>
      </c>
      <c r="O17" s="4" t="inlineStr">
        <is>
          <t>2026-09-23T14:18:55.400Z</t>
        </is>
      </c>
      <c r="Q17" s="4" t="inlineStr">
        <is>
          <t>SOL → ETH</t>
        </is>
      </c>
      <c r="R17" s="4" t="inlineStr">
        <is>
          <t>Symbiosis</t>
        </is>
      </c>
      <c r="S17" s="4">
        <f>COUNTIFS($A$5:$A$214,Q17,$C$5:$C$214,R17)</f>
        <v/>
      </c>
      <c r="T17" s="4">
        <f>COUNTIFS($A$5:$A$214,Q17,$C$5:$C$214,R17,$D$5:$D$214,"&gt;0")</f>
        <v/>
      </c>
      <c r="U17" s="17">
        <f>IFERROR(AVERAGEIFS($D$5:$D$214,$A$5:$A$214,Q17,$C$5:$C$214,R17),"—")</f>
        <v/>
      </c>
      <c r="V17" s="17">
        <f>IFERROR(AVERAGEIFS($H$5:$H$214,$A$5:$A$214,Q17,$C$5:$C$214,R17),"—")</f>
        <v/>
      </c>
      <c r="W17" s="16">
        <f>IFERROR(AVERAGEIFS($I$5:$I$214,$A$5:$A$214,Q17,$C$5:$C$214,R17),"—")</f>
        <v/>
      </c>
      <c r="X17" s="16">
        <f>IFERROR(AVERAGEIFS($K$5:$K$214,$A$5:$A$214,Q17,$C$5:$C$214,R17),"—")</f>
        <v/>
      </c>
      <c r="Y17" s="20" t="n">
        <v>2</v>
      </c>
      <c r="Z17" s="4">
        <f>IF(T17=0,"NOT LISTED on Bridg",IF(NOT(ISNUMBER(X17)),"No direct quote",IF(ABS(X17)&lt;=Y17,"Match (net of Bridg fee)",IF(ABS(W17)&lt;=Y17,"Match (Bridg fee not applied)",IF(X17&lt;0,"Bridg LOWER than venue","Bridg HIGHER than venue")))))</f>
        <v/>
      </c>
    </row>
    <row r="18">
      <c r="A18" s="4" t="inlineStr">
        <is>
          <t>SOL → ETH</t>
        </is>
      </c>
      <c r="B18" s="4" t="n">
        <v>2</v>
      </c>
      <c r="C18" s="4" t="inlineStr">
        <is>
          <t>Mayan</t>
        </is>
      </c>
      <c r="D18" s="19" t="n">
        <v>96.68446</v>
      </c>
      <c r="E18" s="4" t="inlineStr">
        <is>
          <t>yes</t>
        </is>
      </c>
      <c r="F18" s="19" t="n">
        <v>96.6844</v>
      </c>
      <c r="G18" s="19" t="n"/>
      <c r="H18" s="17">
        <f>IF(ISNUMBER(F18),F18-N(G18),"")</f>
        <v/>
      </c>
      <c r="I18" s="16">
        <f>IF(AND(ISNUMBER(D18),ISNUMBER(H18)),(D18-H18)/100*10000,"")</f>
        <v/>
      </c>
      <c r="J18" s="19" t="n">
        <v>0.15</v>
      </c>
      <c r="K18" s="16">
        <f>IF(ISNUMBER(I18),I18+N(J18)/100*10000,"")</f>
        <v/>
      </c>
      <c r="L18" s="13" t="n">
        <v>0.005</v>
      </c>
      <c r="M18" s="4" t="inlineStr">
        <is>
          <t>Swift v2; UI shows 4 dp</t>
        </is>
      </c>
      <c r="N18" s="4" t="inlineStr">
        <is>
          <t>2026-09-23T14:22:28.648Z</t>
        </is>
      </c>
      <c r="O18" s="4" t="inlineStr">
        <is>
          <t>2026-09-23T14:22:28.643Z</t>
        </is>
      </c>
      <c r="Q18" s="4" t="inlineStr">
        <is>
          <t>ETH → SOL</t>
        </is>
      </c>
      <c r="R18" s="4" t="inlineStr">
        <is>
          <t>Relay</t>
        </is>
      </c>
      <c r="S18" s="4">
        <f>COUNTIFS($A$5:$A$214,Q18,$C$5:$C$214,R18)</f>
        <v/>
      </c>
      <c r="T18" s="4">
        <f>COUNTIFS($A$5:$A$214,Q18,$C$5:$C$214,R18,$D$5:$D$214,"&gt;0")</f>
        <v/>
      </c>
      <c r="U18" s="17">
        <f>IFERROR(AVERAGEIFS($D$5:$D$214,$A$5:$A$214,Q18,$C$5:$C$214,R18),"—")</f>
        <v/>
      </c>
      <c r="V18" s="17">
        <f>IFERROR(AVERAGEIFS($H$5:$H$214,$A$5:$A$214,Q18,$C$5:$C$214,R18),"—")</f>
        <v/>
      </c>
      <c r="W18" s="16">
        <f>IFERROR(AVERAGEIFS($I$5:$I$214,$A$5:$A$214,Q18,$C$5:$C$214,R18),"—")</f>
        <v/>
      </c>
      <c r="X18" s="16">
        <f>IFERROR(AVERAGEIFS($K$5:$K$214,$A$5:$A$214,Q18,$C$5:$C$214,R18),"—")</f>
        <v/>
      </c>
      <c r="Y18" s="20" t="n">
        <v>2</v>
      </c>
      <c r="Z18" s="4">
        <f>IF(T18=0,"NOT LISTED on Bridg",IF(NOT(ISNUMBER(X18)),"No direct quote",IF(ABS(X18)&lt;=Y18,"Match (net of Bridg fee)",IF(ABS(W18)&lt;=Y18,"Match (Bridg fee not applied)",IF(X18&lt;0,"Bridg LOWER than venue","Bridg HIGHER than venue")))))</f>
        <v/>
      </c>
    </row>
    <row r="19">
      <c r="A19" s="4" t="inlineStr">
        <is>
          <t>SOL → ETH</t>
        </is>
      </c>
      <c r="B19" s="4" t="n">
        <v>3</v>
      </c>
      <c r="C19" s="4" t="inlineStr">
        <is>
          <t>Mayan</t>
        </is>
      </c>
      <c r="D19" s="19" t="n">
        <v>96.851035</v>
      </c>
      <c r="E19" s="4" t="inlineStr">
        <is>
          <t>yes</t>
        </is>
      </c>
      <c r="F19" s="19" t="n">
        <v>96.851</v>
      </c>
      <c r="G19" s="19" t="n"/>
      <c r="H19" s="17">
        <f>IF(ISNUMBER(F19),F19-N(G19),"")</f>
        <v/>
      </c>
      <c r="I19" s="16">
        <f>IF(AND(ISNUMBER(D19),ISNUMBER(H19)),(D19-H19)/100*10000,"")</f>
        <v/>
      </c>
      <c r="J19" s="19" t="n">
        <v>0.15</v>
      </c>
      <c r="K19" s="16">
        <f>IF(ISNUMBER(I19),I19+N(J19)/100*10000,"")</f>
        <v/>
      </c>
      <c r="L19" s="13" t="n">
        <v>0.003</v>
      </c>
      <c r="M19" s="4" t="inlineStr">
        <is>
          <t>Swift v2; UI shows 3 dp</t>
        </is>
      </c>
      <c r="N19" s="4" t="inlineStr">
        <is>
          <t>2026-09-23T14:26:54.591Z</t>
        </is>
      </c>
      <c r="O19" s="4" t="inlineStr">
        <is>
          <t>2026-09-23T14:26:54.588Z</t>
        </is>
      </c>
      <c r="Q19" s="4" t="inlineStr">
        <is>
          <t>ETH → SOL</t>
        </is>
      </c>
      <c r="R19" s="4" t="inlineStr">
        <is>
          <t>deBridge</t>
        </is>
      </c>
      <c r="S19" s="4">
        <f>COUNTIFS($A$5:$A$214,Q19,$C$5:$C$214,R19)</f>
        <v/>
      </c>
      <c r="T19" s="4">
        <f>COUNTIFS($A$5:$A$214,Q19,$C$5:$C$214,R19,$D$5:$D$214,"&gt;0")</f>
        <v/>
      </c>
      <c r="U19" s="17">
        <f>IFERROR(AVERAGEIFS($D$5:$D$214,$A$5:$A$214,Q19,$C$5:$C$214,R19),"—")</f>
        <v/>
      </c>
      <c r="V19" s="17">
        <f>IFERROR(AVERAGEIFS($H$5:$H$214,$A$5:$A$214,Q19,$C$5:$C$214,R19),"—")</f>
        <v/>
      </c>
      <c r="W19" s="16">
        <f>IFERROR(AVERAGEIFS($I$5:$I$214,$A$5:$A$214,Q19,$C$5:$C$214,R19),"—")</f>
        <v/>
      </c>
      <c r="X19" s="16">
        <f>IFERROR(AVERAGEIFS($K$5:$K$214,$A$5:$A$214,Q19,$C$5:$C$214,R19),"—")</f>
        <v/>
      </c>
      <c r="Y19" s="20" t="n">
        <v>2</v>
      </c>
      <c r="Z19" s="4">
        <f>IF(T19=0,"NOT LISTED on Bridg",IF(NOT(ISNUMBER(X19)),"No direct quote",IF(ABS(X19)&lt;=Y19,"Match (net of Bridg fee)",IF(ABS(W19)&lt;=Y19,"Match (Bridg fee not applied)",IF(X19&lt;0,"Bridg LOWER than venue","Bridg HIGHER than venue")))))</f>
        <v/>
      </c>
    </row>
    <row r="20">
      <c r="A20" s="4" t="inlineStr">
        <is>
          <t>SOL → ETH</t>
        </is>
      </c>
      <c r="B20" s="4" t="n">
        <v>1</v>
      </c>
      <c r="C20" s="4" t="inlineStr">
        <is>
          <t>Allbridge Core</t>
        </is>
      </c>
      <c r="D20" s="19" t="n">
        <v>99.75015</v>
      </c>
      <c r="E20" s="4" t="inlineStr">
        <is>
          <t>yes</t>
        </is>
      </c>
      <c r="F20" s="19" t="n">
        <v>99.90000000000001</v>
      </c>
      <c r="G20" s="19" t="n"/>
      <c r="H20" s="17">
        <f>IF(ISNUMBER(F20),F20-N(G20),"")</f>
        <v/>
      </c>
      <c r="I20" s="16">
        <f>IF(AND(ISNUMBER(D20),ISNUMBER(H20)),(D20-H20)/100*10000,"")</f>
        <v/>
      </c>
      <c r="J20" s="19" t="n">
        <v>0.15</v>
      </c>
      <c r="K20" s="16">
        <f>IF(ISNUMBER(I20),I20+N(J20)/100*10000,"")</f>
        <v/>
      </c>
      <c r="L20" s="13" t="n">
        <v>0.005</v>
      </c>
      <c r="M20" s="4" t="inlineStr">
        <is>
          <t>+0.014082 SOL (relayer fee, fee=native) charged on top of 100 input (not converted)</t>
        </is>
      </c>
      <c r="N20" s="4" t="inlineStr">
        <is>
          <t>2026-09-23T14:18:55.406Z</t>
        </is>
      </c>
      <c r="O20" s="4" t="inlineStr">
        <is>
          <t>2026-09-23T14:18:55.401Z</t>
        </is>
      </c>
      <c r="Q20" s="4" t="inlineStr">
        <is>
          <t>ETH → SOL</t>
        </is>
      </c>
      <c r="R20" s="4" t="inlineStr">
        <is>
          <t>LI.FI (Jumper)</t>
        </is>
      </c>
      <c r="S20" s="4">
        <f>COUNTIFS($A$5:$A$214,Q20,$C$5:$C$214,R20)</f>
        <v/>
      </c>
      <c r="T20" s="4">
        <f>COUNTIFS($A$5:$A$214,Q20,$C$5:$C$214,R20,$D$5:$D$214,"&gt;0")</f>
        <v/>
      </c>
      <c r="U20" s="17">
        <f>IFERROR(AVERAGEIFS($D$5:$D$214,$A$5:$A$214,Q20,$C$5:$C$214,R20),"—")</f>
        <v/>
      </c>
      <c r="V20" s="17">
        <f>IFERROR(AVERAGEIFS($H$5:$H$214,$A$5:$A$214,Q20,$C$5:$C$214,R20),"—")</f>
        <v/>
      </c>
      <c r="W20" s="16">
        <f>IFERROR(AVERAGEIFS($I$5:$I$214,$A$5:$A$214,Q20,$C$5:$C$214,R20),"—")</f>
        <v/>
      </c>
      <c r="X20" s="16">
        <f>IFERROR(AVERAGEIFS($K$5:$K$214,$A$5:$A$214,Q20,$C$5:$C$214,R20),"—")</f>
        <v/>
      </c>
      <c r="Y20" s="20" t="n">
        <v>2</v>
      </c>
      <c r="Z20" s="4">
        <f>IF(T20=0,"NOT LISTED on Bridg",IF(NOT(ISNUMBER(X20)),"No direct quote",IF(ABS(X20)&lt;=Y20,"Match (net of Bridg fee)",IF(ABS(W20)&lt;=Y20,"Match (Bridg fee not applied)",IF(X20&lt;0,"Bridg LOWER than venue","Bridg HIGHER than venue")))))</f>
        <v/>
      </c>
    </row>
    <row r="21">
      <c r="A21" s="4" t="inlineStr">
        <is>
          <t>SOL → ETH</t>
        </is>
      </c>
      <c r="B21" s="4" t="n">
        <v>2</v>
      </c>
      <c r="C21" s="4" t="inlineStr">
        <is>
          <t>Allbridge Core</t>
        </is>
      </c>
      <c r="D21" s="19" t="n">
        <v>99.75015</v>
      </c>
      <c r="E21" s="4" t="inlineStr">
        <is>
          <t>yes</t>
        </is>
      </c>
      <c r="F21" s="19" t="n">
        <v>99.90000000000001</v>
      </c>
      <c r="G21" s="19" t="n"/>
      <c r="H21" s="17">
        <f>IF(ISNUMBER(F21),F21-N(G21),"")</f>
        <v/>
      </c>
      <c r="I21" s="16">
        <f>IF(AND(ISNUMBER(D21),ISNUMBER(H21)),(D21-H21)/100*10000,"")</f>
        <v/>
      </c>
      <c r="J21" s="19" t="n">
        <v>0.15</v>
      </c>
      <c r="K21" s="16">
        <f>IF(ISNUMBER(I21),I21+N(J21)/100*10000,"")</f>
        <v/>
      </c>
      <c r="L21" s="13" t="n">
        <v>0.004</v>
      </c>
      <c r="M21" s="4" t="inlineStr">
        <is>
          <t>+0.014082 SOL (relayer fee, fee=native) charged on top of 100 input (not converted)</t>
        </is>
      </c>
      <c r="N21" s="4" t="inlineStr">
        <is>
          <t>2026-09-23T14:22:28.648Z</t>
        </is>
      </c>
      <c r="O21" s="4" t="inlineStr">
        <is>
          <t>2026-09-23T14:22:28.644Z</t>
        </is>
      </c>
      <c r="Q21" s="4" t="inlineStr">
        <is>
          <t>ETH → SOL</t>
        </is>
      </c>
      <c r="R21" s="4" t="inlineStr">
        <is>
          <t>Across</t>
        </is>
      </c>
      <c r="S21" s="4">
        <f>COUNTIFS($A$5:$A$214,Q21,$C$5:$C$214,R21)</f>
        <v/>
      </c>
      <c r="T21" s="4">
        <f>COUNTIFS($A$5:$A$214,Q21,$C$5:$C$214,R21,$D$5:$D$214,"&gt;0")</f>
        <v/>
      </c>
      <c r="U21" s="17">
        <f>IFERROR(AVERAGEIFS($D$5:$D$214,$A$5:$A$214,Q21,$C$5:$C$214,R21),"—")</f>
        <v/>
      </c>
      <c r="V21" s="17">
        <f>IFERROR(AVERAGEIFS($H$5:$H$214,$A$5:$A$214,Q21,$C$5:$C$214,R21),"—")</f>
        <v/>
      </c>
      <c r="W21" s="16">
        <f>IFERROR(AVERAGEIFS($I$5:$I$214,$A$5:$A$214,Q21,$C$5:$C$214,R21),"—")</f>
        <v/>
      </c>
      <c r="X21" s="16">
        <f>IFERROR(AVERAGEIFS($K$5:$K$214,$A$5:$A$214,Q21,$C$5:$C$214,R21),"—")</f>
        <v/>
      </c>
      <c r="Y21" s="20" t="n">
        <v>2</v>
      </c>
      <c r="Z21" s="4">
        <f>IF(T21=0,"NOT LISTED on Bridg",IF(NOT(ISNUMBER(X21)),"No direct quote",IF(ABS(X21)&lt;=Y21,"Match (net of Bridg fee)",IF(ABS(W21)&lt;=Y21,"Match (Bridg fee not applied)",IF(X21&lt;0,"Bridg LOWER than venue","Bridg HIGHER than venue")))))</f>
        <v/>
      </c>
    </row>
    <row r="22">
      <c r="A22" s="4" t="inlineStr">
        <is>
          <t>SOL → ETH</t>
        </is>
      </c>
      <c r="B22" s="4" t="n">
        <v>3</v>
      </c>
      <c r="C22" s="4" t="inlineStr">
        <is>
          <t>Allbridge Core</t>
        </is>
      </c>
      <c r="D22" s="19" t="n">
        <v>99.75015</v>
      </c>
      <c r="E22" s="4" t="inlineStr">
        <is>
          <t>yes</t>
        </is>
      </c>
      <c r="F22" s="19" t="n">
        <v>99.90000000000001</v>
      </c>
      <c r="G22" s="19" t="n"/>
      <c r="H22" s="17">
        <f>IF(ISNUMBER(F22),F22-N(G22),"")</f>
        <v/>
      </c>
      <c r="I22" s="16">
        <f>IF(AND(ISNUMBER(D22),ISNUMBER(H22)),(D22-H22)/100*10000,"")</f>
        <v/>
      </c>
      <c r="J22" s="19" t="n">
        <v>0.15</v>
      </c>
      <c r="K22" s="16">
        <f>IF(ISNUMBER(I22),I22+N(J22)/100*10000,"")</f>
        <v/>
      </c>
      <c r="L22" s="13" t="n">
        <v>0.001</v>
      </c>
      <c r="M22" s="4" t="inlineStr">
        <is>
          <t>+0.015393 SOL (relayer fee, fee=native) charged on top of 100 input (not converted)</t>
        </is>
      </c>
      <c r="N22" s="4" t="inlineStr">
        <is>
          <t>2026-09-23T14:26:54.591Z</t>
        </is>
      </c>
      <c r="O22" s="4" t="inlineStr">
        <is>
          <t>2026-09-23T14:26:54.590Z</t>
        </is>
      </c>
      <c r="Q22" s="4" t="inlineStr">
        <is>
          <t>ETH → SOL</t>
        </is>
      </c>
      <c r="R22" s="4" t="inlineStr">
        <is>
          <t>Mayan</t>
        </is>
      </c>
      <c r="S22" s="4">
        <f>COUNTIFS($A$5:$A$214,Q22,$C$5:$C$214,R22)</f>
        <v/>
      </c>
      <c r="T22" s="4">
        <f>COUNTIFS($A$5:$A$214,Q22,$C$5:$C$214,R22,$D$5:$D$214,"&gt;0")</f>
        <v/>
      </c>
      <c r="U22" s="17">
        <f>IFERROR(AVERAGEIFS($D$5:$D$214,$A$5:$A$214,Q22,$C$5:$C$214,R22),"—")</f>
        <v/>
      </c>
      <c r="V22" s="17">
        <f>IFERROR(AVERAGEIFS($H$5:$H$214,$A$5:$A$214,Q22,$C$5:$C$214,R22),"—")</f>
        <v/>
      </c>
      <c r="W22" s="16">
        <f>IFERROR(AVERAGEIFS($I$5:$I$214,$A$5:$A$214,Q22,$C$5:$C$214,R22),"—")</f>
        <v/>
      </c>
      <c r="X22" s="16">
        <f>IFERROR(AVERAGEIFS($K$5:$K$214,$A$5:$A$214,Q22,$C$5:$C$214,R22),"—")</f>
        <v/>
      </c>
      <c r="Y22" s="20" t="n">
        <v>4</v>
      </c>
      <c r="Z22" s="4">
        <f>IF(T22=0,"NOT LISTED on Bridg",IF(NOT(ISNUMBER(X22)),"No direct quote",IF(ABS(X22)&lt;=Y22,"Match (net of Bridg fee)",IF(ABS(W22)&lt;=Y22,"Match (Bridg fee not applied)",IF(X22&lt;0,"Bridg LOWER than venue","Bridg HIGHER than venue")))))</f>
        <v/>
      </c>
    </row>
    <row r="23">
      <c r="A23" s="4" t="inlineStr">
        <is>
          <t>SOL → ETH</t>
        </is>
      </c>
      <c r="B23" s="4" t="n">
        <v>1</v>
      </c>
      <c r="C23" s="4" t="inlineStr">
        <is>
          <t>CCTP (via Portal)</t>
        </is>
      </c>
      <c r="D23" s="19" t="n">
        <v>96.584008</v>
      </c>
      <c r="E23" s="4" t="inlineStr">
        <is>
          <t>yes</t>
        </is>
      </c>
      <c r="F23" s="19" t="n">
        <v>99.98999999999999</v>
      </c>
      <c r="G23" s="19" t="n"/>
      <c r="H23" s="17">
        <f>IF(ISNUMBER(F23),F23-N(G23),"")</f>
        <v/>
      </c>
      <c r="I23" s="16">
        <f>IF(AND(ISNUMBER(D23),ISNUMBER(H23)),(D23-H23)/100*10000,"")</f>
        <v/>
      </c>
      <c r="J23" s="19" t="n">
        <v>0.15</v>
      </c>
      <c r="K23" s="16">
        <f>IF(ISNUMBER(I23),I23+N(J23)/100*10000,"")</f>
        <v/>
      </c>
      <c r="L23" s="13" t="n">
        <v>0</v>
      </c>
      <c r="M23" s="4" t="inlineStr">
        <is>
          <t>via Portal (CCTPv2StandardExecutorRoute); executor fee hidden until wallet connect</t>
        </is>
      </c>
      <c r="N23" s="4" t="inlineStr">
        <is>
          <t>2026-09-23T14:18:55.406Z</t>
        </is>
      </c>
      <c r="O23" s="4" t="inlineStr">
        <is>
          <t>2026-09-23T14:18:55.406Z</t>
        </is>
      </c>
      <c r="Q23" s="4" t="inlineStr">
        <is>
          <t>ETH → SOL</t>
        </is>
      </c>
      <c r="R23" s="4" t="inlineStr">
        <is>
          <t>Allbridge Core</t>
        </is>
      </c>
      <c r="S23" s="4">
        <f>COUNTIFS($A$5:$A$214,Q23,$C$5:$C$214,R23)</f>
        <v/>
      </c>
      <c r="T23" s="4">
        <f>COUNTIFS($A$5:$A$214,Q23,$C$5:$C$214,R23,$D$5:$D$214,"&gt;0")</f>
        <v/>
      </c>
      <c r="U23" s="17">
        <f>IFERROR(AVERAGEIFS($D$5:$D$214,$A$5:$A$214,Q23,$C$5:$C$214,R23),"—")</f>
        <v/>
      </c>
      <c r="V23" s="17">
        <f>IFERROR(AVERAGEIFS($H$5:$H$214,$A$5:$A$214,Q23,$C$5:$C$214,R23),"—")</f>
        <v/>
      </c>
      <c r="W23" s="16">
        <f>IFERROR(AVERAGEIFS($I$5:$I$214,$A$5:$A$214,Q23,$C$5:$C$214,R23),"—")</f>
        <v/>
      </c>
      <c r="X23" s="16">
        <f>IFERROR(AVERAGEIFS($K$5:$K$214,$A$5:$A$214,Q23,$C$5:$C$214,R23),"—")</f>
        <v/>
      </c>
      <c r="Y23" s="20" t="n">
        <v>2</v>
      </c>
      <c r="Z23" s="4">
        <f>IF(T23=0,"NOT LISTED on Bridg",IF(NOT(ISNUMBER(X23)),"No direct quote",IF(ABS(X23)&lt;=Y23,"Match (net of Bridg fee)",IF(ABS(W23)&lt;=Y23,"Match (Bridg fee not applied)",IF(X23&lt;0,"Bridg LOWER than venue","Bridg HIGHER than venue")))))</f>
        <v/>
      </c>
    </row>
    <row r="24">
      <c r="A24" s="4" t="inlineStr">
        <is>
          <t>SOL → ETH</t>
        </is>
      </c>
      <c r="B24" s="4" t="n">
        <v>2</v>
      </c>
      <c r="C24" s="4" t="inlineStr">
        <is>
          <t>CCTP (via Portal)</t>
        </is>
      </c>
      <c r="D24" s="19" t="n">
        <v>96.584008</v>
      </c>
      <c r="E24" s="4" t="inlineStr">
        <is>
          <t>yes</t>
        </is>
      </c>
      <c r="F24" s="19" t="n">
        <v>99.98999999999999</v>
      </c>
      <c r="G24" s="19" t="n"/>
      <c r="H24" s="17">
        <f>IF(ISNUMBER(F24),F24-N(G24),"")</f>
        <v/>
      </c>
      <c r="I24" s="16">
        <f>IF(AND(ISNUMBER(D24),ISNUMBER(H24)),(D24-H24)/100*10000,"")</f>
        <v/>
      </c>
      <c r="J24" s="19" t="n">
        <v>0.15</v>
      </c>
      <c r="K24" s="16">
        <f>IF(ISNUMBER(I24),I24+N(J24)/100*10000,"")</f>
        <v/>
      </c>
      <c r="L24" s="13" t="n">
        <v>0.001</v>
      </c>
      <c r="M24" s="4" t="inlineStr">
        <is>
          <t>via Portal (CCTPv2StandardExecutorRoute); executor fee hidden until wallet connect</t>
        </is>
      </c>
      <c r="N24" s="4" t="inlineStr">
        <is>
          <t>2026-09-23T14:22:28.648Z</t>
        </is>
      </c>
      <c r="O24" s="4" t="inlineStr">
        <is>
          <t>2026-09-23T14:22:28.649Z</t>
        </is>
      </c>
      <c r="Q24" s="4" t="inlineStr">
        <is>
          <t>ETH → SOL</t>
        </is>
      </c>
      <c r="R24" s="4" t="inlineStr">
        <is>
          <t>CCTP (via Portal)</t>
        </is>
      </c>
      <c r="S24" s="4">
        <f>COUNTIFS($A$5:$A$214,Q24,$C$5:$C$214,R24)</f>
        <v/>
      </c>
      <c r="T24" s="4">
        <f>COUNTIFS($A$5:$A$214,Q24,$C$5:$C$214,R24,$D$5:$D$214,"&gt;0")</f>
        <v/>
      </c>
      <c r="U24" s="17">
        <f>IFERROR(AVERAGEIFS($D$5:$D$214,$A$5:$A$214,Q24,$C$5:$C$214,R24),"—")</f>
        <v/>
      </c>
      <c r="V24" s="17">
        <f>IFERROR(AVERAGEIFS($H$5:$H$214,$A$5:$A$214,Q24,$C$5:$C$214,R24),"—")</f>
        <v/>
      </c>
      <c r="W24" s="16">
        <f>IFERROR(AVERAGEIFS($I$5:$I$214,$A$5:$A$214,Q24,$C$5:$C$214,R24),"—")</f>
        <v/>
      </c>
      <c r="X24" s="16">
        <f>IFERROR(AVERAGEIFS($K$5:$K$214,$A$5:$A$214,Q24,$C$5:$C$214,R24),"—")</f>
        <v/>
      </c>
      <c r="Y24" s="20" t="n">
        <v>2</v>
      </c>
      <c r="Z24" s="4">
        <f>IF(T24=0,"NOT LISTED on Bridg",IF(NOT(ISNUMBER(X24)),"No direct quote",IF(ABS(X24)&lt;=Y24,"Match (net of Bridg fee)",IF(ABS(W24)&lt;=Y24,"Match (Bridg fee not applied)",IF(X24&lt;0,"Bridg LOWER than venue","Bridg HIGHER than venue")))))</f>
        <v/>
      </c>
    </row>
    <row r="25">
      <c r="A25" s="4" t="inlineStr">
        <is>
          <t>SOL → ETH</t>
        </is>
      </c>
      <c r="B25" s="4" t="n">
        <v>3</v>
      </c>
      <c r="C25" s="4" t="inlineStr">
        <is>
          <t>CCTP (via Portal)</t>
        </is>
      </c>
      <c r="D25" s="19" t="n">
        <v>96.397468</v>
      </c>
      <c r="E25" s="4" t="inlineStr">
        <is>
          <t>yes</t>
        </is>
      </c>
      <c r="F25" s="19" t="n">
        <v>99.98999999999999</v>
      </c>
      <c r="G25" s="19" t="n"/>
      <c r="H25" s="17">
        <f>IF(ISNUMBER(F25),F25-N(G25),"")</f>
        <v/>
      </c>
      <c r="I25" s="16">
        <f>IF(AND(ISNUMBER(D25),ISNUMBER(H25)),(D25-H25)/100*10000,"")</f>
        <v/>
      </c>
      <c r="J25" s="19" t="n">
        <v>0.15</v>
      </c>
      <c r="K25" s="16">
        <f>IF(ISNUMBER(I25),I25+N(J25)/100*10000,"")</f>
        <v/>
      </c>
      <c r="L25" s="13" t="n">
        <v>0.003</v>
      </c>
      <c r="M25" s="4" t="inlineStr">
        <is>
          <t>via Portal (CCTPv2StandardExecutorRoute); executor fee hidden until wallet connect</t>
        </is>
      </c>
      <c r="N25" s="4" t="inlineStr">
        <is>
          <t>2026-09-23T14:26:54.591Z</t>
        </is>
      </c>
      <c r="O25" s="4" t="inlineStr">
        <is>
          <t>2026-09-23T14:26:54.588Z</t>
        </is>
      </c>
      <c r="Q25" s="4" t="inlineStr">
        <is>
          <t>ETH → SOL</t>
        </is>
      </c>
      <c r="R25" s="4" t="inlineStr">
        <is>
          <t>Husher</t>
        </is>
      </c>
      <c r="S25" s="4">
        <f>COUNTIFS($A$5:$A$214,Q25,$C$5:$C$214,R25)</f>
        <v/>
      </c>
      <c r="T25" s="4">
        <f>COUNTIFS($A$5:$A$214,Q25,$C$5:$C$214,R25,$D$5:$D$214,"&gt;0")</f>
        <v/>
      </c>
      <c r="U25" s="17">
        <f>IFERROR(AVERAGEIFS($D$5:$D$214,$A$5:$A$214,Q25,$C$5:$C$214,R25),"—")</f>
        <v/>
      </c>
      <c r="V25" s="17">
        <f>IFERROR(AVERAGEIFS($H$5:$H$214,$A$5:$A$214,Q25,$C$5:$C$214,R25),"—")</f>
        <v/>
      </c>
      <c r="W25" s="16">
        <f>IFERROR(AVERAGEIFS($I$5:$I$214,$A$5:$A$214,Q25,$C$5:$C$214,R25),"—")</f>
        <v/>
      </c>
      <c r="X25" s="16">
        <f>IFERROR(AVERAGEIFS($K$5:$K$214,$A$5:$A$214,Q25,$C$5:$C$214,R25),"—")</f>
        <v/>
      </c>
      <c r="Y25" s="20" t="n">
        <v>2</v>
      </c>
      <c r="Z25" s="4">
        <f>IF(T25=0,"NOT LISTED on Bridg",IF(NOT(ISNUMBER(X25)),"No direct quote",IF(ABS(X25)&lt;=Y25,"Match (net of Bridg fee)",IF(ABS(W25)&lt;=Y25,"Match (Bridg fee not applied)",IF(X25&lt;0,"Bridg LOWER than venue","Bridg HIGHER than venue")))))</f>
        <v/>
      </c>
    </row>
    <row r="26">
      <c r="A26" s="4" t="inlineStr">
        <is>
          <t>SOL → ETH</t>
        </is>
      </c>
      <c r="B26" s="4" t="n">
        <v>1</v>
      </c>
      <c r="C26" s="4" t="inlineStr">
        <is>
          <t>Husher</t>
        </is>
      </c>
      <c r="D26" s="19" t="n">
        <v>99.1504</v>
      </c>
      <c r="E26" s="4" t="inlineStr"/>
      <c r="F26" s="19" t="n">
        <v>99.05</v>
      </c>
      <c r="G26" s="19" t="n"/>
      <c r="H26" s="17">
        <f>IF(ISNUMBER(F26),F26-N(G26),"")</f>
        <v/>
      </c>
      <c r="I26" s="16">
        <f>IF(AND(ISNUMBER(D26),ISNUMBER(H26)),(D26-H26)/100*10000,"")</f>
        <v/>
      </c>
      <c r="J26" s="19" t="n">
        <v>0.15</v>
      </c>
      <c r="K26" s="16">
        <f>IF(ISNUMBER(I26),I26+N(J26)/100*10000,"")</f>
        <v/>
      </c>
      <c r="L26" s="13" t="n">
        <v>0.005</v>
      </c>
      <c r="M26" s="4" t="inlineStr"/>
      <c r="N26" s="4" t="inlineStr">
        <is>
          <t>2026-09-23T14:18:55.406Z</t>
        </is>
      </c>
      <c r="O26" s="4" t="inlineStr">
        <is>
          <t>2026-09-23T14:18:55.401Z</t>
        </is>
      </c>
      <c r="Q26" s="4" t="inlineStr">
        <is>
          <t>ETH → SOL</t>
        </is>
      </c>
      <c r="R26" s="4" t="inlineStr">
        <is>
          <t>Layerswap</t>
        </is>
      </c>
      <c r="S26" s="4">
        <f>COUNTIFS($A$5:$A$214,Q26,$C$5:$C$214,R26)</f>
        <v/>
      </c>
      <c r="T26" s="4">
        <f>COUNTIFS($A$5:$A$214,Q26,$C$5:$C$214,R26,$D$5:$D$214,"&gt;0")</f>
        <v/>
      </c>
      <c r="U26" s="17">
        <f>IFERROR(AVERAGEIFS($D$5:$D$214,$A$5:$A$214,Q26,$C$5:$C$214,R26),"—")</f>
        <v/>
      </c>
      <c r="V26" s="17">
        <f>IFERROR(AVERAGEIFS($H$5:$H$214,$A$5:$A$214,Q26,$C$5:$C$214,R26),"—")</f>
        <v/>
      </c>
      <c r="W26" s="16">
        <f>IFERROR(AVERAGEIFS($I$5:$I$214,$A$5:$A$214,Q26,$C$5:$C$214,R26),"—")</f>
        <v/>
      </c>
      <c r="X26" s="16">
        <f>IFERROR(AVERAGEIFS($K$5:$K$214,$A$5:$A$214,Q26,$C$5:$C$214,R26),"—")</f>
        <v/>
      </c>
      <c r="Y26" s="20" t="n">
        <v>2</v>
      </c>
      <c r="Z26" s="4">
        <f>IF(T26=0,"NOT LISTED on Bridg",IF(NOT(ISNUMBER(X26)),"No direct quote",IF(ABS(X26)&lt;=Y26,"Match (net of Bridg fee)",IF(ABS(W26)&lt;=Y26,"Match (Bridg fee not applied)",IF(X26&lt;0,"Bridg LOWER than venue","Bridg HIGHER than venue")))))</f>
        <v/>
      </c>
    </row>
    <row r="27">
      <c r="A27" s="4" t="inlineStr">
        <is>
          <t>SOL → ETH</t>
        </is>
      </c>
      <c r="B27" s="4" t="n">
        <v>2</v>
      </c>
      <c r="C27" s="4" t="inlineStr">
        <is>
          <t>Husher</t>
        </is>
      </c>
      <c r="D27" s="19" t="n">
        <v>99.1504</v>
      </c>
      <c r="E27" s="4" t="inlineStr"/>
      <c r="F27" s="19" t="n">
        <v>99.05</v>
      </c>
      <c r="G27" s="19" t="n"/>
      <c r="H27" s="17">
        <f>IF(ISNUMBER(F27),F27-N(G27),"")</f>
        <v/>
      </c>
      <c r="I27" s="16">
        <f>IF(AND(ISNUMBER(D27),ISNUMBER(H27)),(D27-H27)/100*10000,"")</f>
        <v/>
      </c>
      <c r="J27" s="19" t="n">
        <v>0.15</v>
      </c>
      <c r="K27" s="16">
        <f>IF(ISNUMBER(I27),I27+N(J27)/100*10000,"")</f>
        <v/>
      </c>
      <c r="L27" s="13" t="n">
        <v>0.005</v>
      </c>
      <c r="M27" s="4" t="inlineStr"/>
      <c r="N27" s="4" t="inlineStr">
        <is>
          <t>2026-09-23T14:22:28.648Z</t>
        </is>
      </c>
      <c r="O27" s="4" t="inlineStr">
        <is>
          <t>2026-09-23T14:22:28.643Z</t>
        </is>
      </c>
      <c r="Q27" s="4" t="inlineStr">
        <is>
          <t>ETH → SOL</t>
        </is>
      </c>
      <c r="R27" s="4" t="inlineStr">
        <is>
          <t>Meson</t>
        </is>
      </c>
      <c r="S27" s="4">
        <f>COUNTIFS($A$5:$A$214,Q27,$C$5:$C$214,R27)</f>
        <v/>
      </c>
      <c r="T27" s="4">
        <f>COUNTIFS($A$5:$A$214,Q27,$C$5:$C$214,R27,$D$5:$D$214,"&gt;0")</f>
        <v/>
      </c>
      <c r="U27" s="17">
        <f>IFERROR(AVERAGEIFS($D$5:$D$214,$A$5:$A$214,Q27,$C$5:$C$214,R27),"—")</f>
        <v/>
      </c>
      <c r="V27" s="17">
        <f>IFERROR(AVERAGEIFS($H$5:$H$214,$A$5:$A$214,Q27,$C$5:$C$214,R27),"—")</f>
        <v/>
      </c>
      <c r="W27" s="16">
        <f>IFERROR(AVERAGEIFS($I$5:$I$214,$A$5:$A$214,Q27,$C$5:$C$214,R27),"—")</f>
        <v/>
      </c>
      <c r="X27" s="16">
        <f>IFERROR(AVERAGEIFS($K$5:$K$214,$A$5:$A$214,Q27,$C$5:$C$214,R27),"—")</f>
        <v/>
      </c>
      <c r="Y27" s="20" t="n">
        <v>2</v>
      </c>
      <c r="Z27" s="4">
        <f>IF(T27=0,"NOT LISTED on Bridg",IF(NOT(ISNUMBER(X27)),"No direct quote",IF(ABS(X27)&lt;=Y27,"Match (net of Bridg fee)",IF(ABS(W27)&lt;=Y27,"Match (Bridg fee not applied)",IF(X27&lt;0,"Bridg LOWER than venue","Bridg HIGHER than venue")))))</f>
        <v/>
      </c>
    </row>
    <row r="28">
      <c r="A28" s="4" t="inlineStr">
        <is>
          <t>SOL → ETH</t>
        </is>
      </c>
      <c r="B28" s="4" t="n">
        <v>3</v>
      </c>
      <c r="C28" s="4" t="inlineStr">
        <is>
          <t>Husher</t>
        </is>
      </c>
      <c r="D28" s="19" t="n">
        <v>99.1504</v>
      </c>
      <c r="E28" s="4" t="inlineStr"/>
      <c r="F28" s="19" t="n">
        <v>99.05</v>
      </c>
      <c r="G28" s="19" t="n"/>
      <c r="H28" s="17">
        <f>IF(ISNUMBER(F28),F28-N(G28),"")</f>
        <v/>
      </c>
      <c r="I28" s="16">
        <f>IF(AND(ISNUMBER(D28),ISNUMBER(H28)),(D28-H28)/100*10000,"")</f>
        <v/>
      </c>
      <c r="J28" s="19" t="n">
        <v>0.15</v>
      </c>
      <c r="K28" s="16">
        <f>IF(ISNUMBER(I28),I28+N(J28)/100*10000,"")</f>
        <v/>
      </c>
      <c r="L28" s="13" t="n">
        <v>0.002</v>
      </c>
      <c r="M28" s="4" t="inlineStr"/>
      <c r="N28" s="4" t="inlineStr">
        <is>
          <t>2026-09-23T14:26:54.591Z</t>
        </is>
      </c>
      <c r="O28" s="4" t="inlineStr">
        <is>
          <t>2026-09-23T14:26:54.589Z</t>
        </is>
      </c>
      <c r="Q28" s="4" t="inlineStr">
        <is>
          <t>ETH → SOL</t>
        </is>
      </c>
      <c r="R28" s="4" t="inlineStr">
        <is>
          <t>SimpleSwap</t>
        </is>
      </c>
      <c r="S28" s="4">
        <f>COUNTIFS($A$5:$A$214,Q28,$C$5:$C$214,R28)</f>
        <v/>
      </c>
      <c r="T28" s="4">
        <f>COUNTIFS($A$5:$A$214,Q28,$C$5:$C$214,R28,$D$5:$D$214,"&gt;0")</f>
        <v/>
      </c>
      <c r="U28" s="17">
        <f>IFERROR(AVERAGEIFS($D$5:$D$214,$A$5:$A$214,Q28,$C$5:$C$214,R28),"—")</f>
        <v/>
      </c>
      <c r="V28" s="17">
        <f>IFERROR(AVERAGEIFS($H$5:$H$214,$A$5:$A$214,Q28,$C$5:$C$214,R28),"—")</f>
        <v/>
      </c>
      <c r="W28" s="16">
        <f>IFERROR(AVERAGEIFS($I$5:$I$214,$A$5:$A$214,Q28,$C$5:$C$214,R28),"—")</f>
        <v/>
      </c>
      <c r="X28" s="16">
        <f>IFERROR(AVERAGEIFS($K$5:$K$214,$A$5:$A$214,Q28,$C$5:$C$214,R28),"—")</f>
        <v/>
      </c>
      <c r="Y28" s="20" t="n">
        <v>2</v>
      </c>
      <c r="Z28" s="4">
        <f>IF(T28=0,"NOT LISTED on Bridg",IF(NOT(ISNUMBER(X28)),"No direct quote",IF(ABS(X28)&lt;=Y28,"Match (net of Bridg fee)",IF(ABS(W28)&lt;=Y28,"Match (Bridg fee not applied)",IF(X28&lt;0,"Bridg LOWER than venue","Bridg HIGHER than venue")))))</f>
        <v/>
      </c>
    </row>
    <row r="29">
      <c r="A29" s="4" t="inlineStr">
        <is>
          <t>SOL → ETH</t>
        </is>
      </c>
      <c r="B29" s="4" t="n">
        <v>1</v>
      </c>
      <c r="C29" s="4" t="inlineStr">
        <is>
          <t>Layerswap</t>
        </is>
      </c>
      <c r="D29" s="19" t="n">
        <v>99.43301099999999</v>
      </c>
      <c r="E29" s="4" t="inlineStr"/>
      <c r="F29" s="19" t="n">
        <v>99.716863</v>
      </c>
      <c r="G29" s="19" t="n"/>
      <c r="H29" s="17">
        <f>IF(ISNUMBER(F29),F29-N(G29),"")</f>
        <v/>
      </c>
      <c r="I29" s="16">
        <f>IF(AND(ISNUMBER(D29),ISNUMBER(H29)),(D29-H29)/100*10000,"")</f>
        <v/>
      </c>
      <c r="J29" s="19" t="n">
        <v>0.15</v>
      </c>
      <c r="K29" s="16">
        <f>IF(ISNUMBER(I29),I29+N(J29)/100*10000,"")</f>
        <v/>
      </c>
      <c r="L29" s="13" t="n">
        <v>0.004</v>
      </c>
      <c r="M29" s="4" t="inlineStr"/>
      <c r="N29" s="4" t="inlineStr">
        <is>
          <t>2026-09-23T14:18:55.406Z</t>
        </is>
      </c>
      <c r="O29" s="4" t="inlineStr">
        <is>
          <t>2026-09-23T14:18:55.402Z</t>
        </is>
      </c>
      <c r="Q29" s="4" t="inlineStr">
        <is>
          <t>ETH → SOL</t>
        </is>
      </c>
      <c r="R29" s="4" t="inlineStr">
        <is>
          <t>Skip Go</t>
        </is>
      </c>
      <c r="S29" s="4">
        <f>COUNTIFS($A$5:$A$214,Q29,$C$5:$C$214,R29)</f>
        <v/>
      </c>
      <c r="T29" s="4">
        <f>COUNTIFS($A$5:$A$214,Q29,$C$5:$C$214,R29,$D$5:$D$214,"&gt;0")</f>
        <v/>
      </c>
      <c r="U29" s="17">
        <f>IFERROR(AVERAGEIFS($D$5:$D$214,$A$5:$A$214,Q29,$C$5:$C$214,R29),"—")</f>
        <v/>
      </c>
      <c r="V29" s="17">
        <f>IFERROR(AVERAGEIFS($H$5:$H$214,$A$5:$A$214,Q29,$C$5:$C$214,R29),"—")</f>
        <v/>
      </c>
      <c r="W29" s="16">
        <f>IFERROR(AVERAGEIFS($I$5:$I$214,$A$5:$A$214,Q29,$C$5:$C$214,R29),"—")</f>
        <v/>
      </c>
      <c r="X29" s="16">
        <f>IFERROR(AVERAGEIFS($K$5:$K$214,$A$5:$A$214,Q29,$C$5:$C$214,R29),"—")</f>
        <v/>
      </c>
      <c r="Y29" s="20" t="n">
        <v>2</v>
      </c>
      <c r="Z29" s="4">
        <f>IF(T29=0,"NOT LISTED on Bridg",IF(NOT(ISNUMBER(X29)),"No direct quote",IF(ABS(X29)&lt;=Y29,"Match (net of Bridg fee)",IF(ABS(W29)&lt;=Y29,"Match (Bridg fee not applied)",IF(X29&lt;0,"Bridg LOWER than venue","Bridg HIGHER than venue")))))</f>
        <v/>
      </c>
    </row>
    <row r="30">
      <c r="A30" s="4" t="inlineStr">
        <is>
          <t>SOL → ETH</t>
        </is>
      </c>
      <c r="B30" s="4" t="n">
        <v>2</v>
      </c>
      <c r="C30" s="4" t="inlineStr">
        <is>
          <t>Layerswap</t>
        </is>
      </c>
      <c r="D30" s="19" t="n">
        <v>99.43389999999999</v>
      </c>
      <c r="E30" s="4" t="inlineStr"/>
      <c r="F30" s="19" t="n">
        <v>99.717755</v>
      </c>
      <c r="G30" s="19" t="n"/>
      <c r="H30" s="17">
        <f>IF(ISNUMBER(F30),F30-N(G30),"")</f>
        <v/>
      </c>
      <c r="I30" s="16">
        <f>IF(AND(ISNUMBER(D30),ISNUMBER(H30)),(D30-H30)/100*10000,"")</f>
        <v/>
      </c>
      <c r="J30" s="19" t="n">
        <v>0.15</v>
      </c>
      <c r="K30" s="16">
        <f>IF(ISNUMBER(I30),I30+N(J30)/100*10000,"")</f>
        <v/>
      </c>
      <c r="L30" s="13" t="n">
        <v>0.002</v>
      </c>
      <c r="M30" s="4" t="inlineStr"/>
      <c r="N30" s="4" t="inlineStr">
        <is>
          <t>2026-09-23T14:22:28.648Z</t>
        </is>
      </c>
      <c r="O30" s="4" t="inlineStr">
        <is>
          <t>2026-09-23T14:22:28.646Z</t>
        </is>
      </c>
      <c r="Q30" s="4" t="inlineStr">
        <is>
          <t>ETH → SOL</t>
        </is>
      </c>
      <c r="R30" s="4" t="inlineStr">
        <is>
          <t>Symbiosis</t>
        </is>
      </c>
      <c r="S30" s="4">
        <f>COUNTIFS($A$5:$A$214,Q30,$C$5:$C$214,R30)</f>
        <v/>
      </c>
      <c r="T30" s="4">
        <f>COUNTIFS($A$5:$A$214,Q30,$C$5:$C$214,R30,$D$5:$D$214,"&gt;0")</f>
        <v/>
      </c>
      <c r="U30" s="17">
        <f>IFERROR(AVERAGEIFS($D$5:$D$214,$A$5:$A$214,Q30,$C$5:$C$214,R30),"—")</f>
        <v/>
      </c>
      <c r="V30" s="17">
        <f>IFERROR(AVERAGEIFS($H$5:$H$214,$A$5:$A$214,Q30,$C$5:$C$214,R30),"—")</f>
        <v/>
      </c>
      <c r="W30" s="16">
        <f>IFERROR(AVERAGEIFS($I$5:$I$214,$A$5:$A$214,Q30,$C$5:$C$214,R30),"—")</f>
        <v/>
      </c>
      <c r="X30" s="16">
        <f>IFERROR(AVERAGEIFS($K$5:$K$214,$A$5:$A$214,Q30,$C$5:$C$214,R30),"—")</f>
        <v/>
      </c>
      <c r="Y30" s="20" t="n">
        <v>2</v>
      </c>
      <c r="Z30" s="4">
        <f>IF(T30=0,"NOT LISTED on Bridg",IF(NOT(ISNUMBER(X30)),"No direct quote",IF(ABS(X30)&lt;=Y30,"Match (net of Bridg fee)",IF(ABS(W30)&lt;=Y30,"Match (Bridg fee not applied)",IF(X30&lt;0,"Bridg LOWER than venue","Bridg HIGHER than venue")))))</f>
        <v/>
      </c>
    </row>
    <row r="31">
      <c r="A31" s="4" t="inlineStr">
        <is>
          <t>SOL → ETH</t>
        </is>
      </c>
      <c r="B31" s="4" t="n">
        <v>3</v>
      </c>
      <c r="C31" s="4" t="inlineStr">
        <is>
          <t>Layerswap</t>
        </is>
      </c>
      <c r="D31" s="19" t="n">
        <v>99.42273</v>
      </c>
      <c r="E31" s="4" t="inlineStr"/>
      <c r="F31" s="19" t="n">
        <v>99.706546</v>
      </c>
      <c r="G31" s="19" t="n"/>
      <c r="H31" s="17">
        <f>IF(ISNUMBER(F31),F31-N(G31),"")</f>
        <v/>
      </c>
      <c r="I31" s="16">
        <f>IF(AND(ISNUMBER(D31),ISNUMBER(H31)),(D31-H31)/100*10000,"")</f>
        <v/>
      </c>
      <c r="J31" s="19" t="n">
        <v>0.15</v>
      </c>
      <c r="K31" s="16">
        <f>IF(ISNUMBER(I31),I31+N(J31)/100*10000,"")</f>
        <v/>
      </c>
      <c r="L31" s="13" t="n">
        <v>0.001</v>
      </c>
      <c r="M31" s="4" t="inlineStr"/>
      <c r="N31" s="4" t="inlineStr">
        <is>
          <t>2026-09-23T14:26:54.591Z</t>
        </is>
      </c>
      <c r="O31" s="4" t="inlineStr">
        <is>
          <t>2026-09-23T14:26:54.592Z</t>
        </is>
      </c>
      <c r="Q31" s="4" t="inlineStr">
        <is>
          <t>SOL → BSC</t>
        </is>
      </c>
      <c r="R31" s="4" t="inlineStr">
        <is>
          <t>Relay</t>
        </is>
      </c>
      <c r="S31" s="4">
        <f>COUNTIFS($A$5:$A$214,Q31,$C$5:$C$214,R31)</f>
        <v/>
      </c>
      <c r="T31" s="4">
        <f>COUNTIFS($A$5:$A$214,Q31,$C$5:$C$214,R31,$D$5:$D$214,"&gt;0")</f>
        <v/>
      </c>
      <c r="U31" s="17">
        <f>IFERROR(AVERAGEIFS($D$5:$D$214,$A$5:$A$214,Q31,$C$5:$C$214,R31),"—")</f>
        <v/>
      </c>
      <c r="V31" s="17">
        <f>IFERROR(AVERAGEIFS($H$5:$H$214,$A$5:$A$214,Q31,$C$5:$C$214,R31),"—")</f>
        <v/>
      </c>
      <c r="W31" s="16">
        <f>IFERROR(AVERAGEIFS($I$5:$I$214,$A$5:$A$214,Q31,$C$5:$C$214,R31),"—")</f>
        <v/>
      </c>
      <c r="X31" s="16">
        <f>IFERROR(AVERAGEIFS($K$5:$K$214,$A$5:$A$214,Q31,$C$5:$C$214,R31),"—")</f>
        <v/>
      </c>
      <c r="Y31" s="20" t="n">
        <v>2</v>
      </c>
      <c r="Z31" s="4">
        <f>IF(T31=0,"NOT LISTED on Bridg",IF(NOT(ISNUMBER(X31)),"No direct quote",IF(ABS(X31)&lt;=Y31,"Match (net of Bridg fee)",IF(ABS(W31)&lt;=Y31,"Match (Bridg fee not applied)",IF(X31&lt;0,"Bridg LOWER than venue","Bridg HIGHER than venue")))))</f>
        <v/>
      </c>
    </row>
    <row r="32">
      <c r="A32" s="4" t="inlineStr">
        <is>
          <t>SOL → ETH</t>
        </is>
      </c>
      <c r="B32" s="4" t="n">
        <v>1</v>
      </c>
      <c r="C32" s="4" t="inlineStr">
        <is>
          <t>Meson</t>
        </is>
      </c>
      <c r="D32" s="19" t="n">
        <v>99.75015</v>
      </c>
      <c r="E32" s="4" t="inlineStr">
        <is>
          <t>yes</t>
        </is>
      </c>
      <c r="F32" s="19" t="n">
        <v>98.65000000000001</v>
      </c>
      <c r="G32" s="19" t="n"/>
      <c r="H32" s="17">
        <f>IF(ISNUMBER(F32),F32-N(G32),"")</f>
        <v/>
      </c>
      <c r="I32" s="16">
        <f>IF(AND(ISNUMBER(D32),ISNUMBER(H32)),(D32-H32)/100*10000,"")</f>
        <v/>
      </c>
      <c r="J32" s="19" t="n">
        <v>0.15</v>
      </c>
      <c r="K32" s="16">
        <f>IF(ISNUMBER(I32),I32+N(J32)/100*10000,"")</f>
        <v/>
      </c>
      <c r="L32" s="13" t="n">
        <v>0.006</v>
      </c>
      <c r="M32" s="4" t="inlineStr"/>
      <c r="N32" s="4" t="inlineStr">
        <is>
          <t>2026-09-23T14:18:55.406Z</t>
        </is>
      </c>
      <c r="O32" s="4" t="inlineStr">
        <is>
          <t>2026-09-23T14:18:55.400Z</t>
        </is>
      </c>
      <c r="Q32" s="4" t="inlineStr">
        <is>
          <t>SOL → BSC</t>
        </is>
      </c>
      <c r="R32" s="4" t="inlineStr">
        <is>
          <t>deBridge</t>
        </is>
      </c>
      <c r="S32" s="4">
        <f>COUNTIFS($A$5:$A$214,Q32,$C$5:$C$214,R32)</f>
        <v/>
      </c>
      <c r="T32" s="4">
        <f>COUNTIFS($A$5:$A$214,Q32,$C$5:$C$214,R32,$D$5:$D$214,"&gt;0")</f>
        <v/>
      </c>
      <c r="U32" s="17">
        <f>IFERROR(AVERAGEIFS($D$5:$D$214,$A$5:$A$214,Q32,$C$5:$C$214,R32),"—")</f>
        <v/>
      </c>
      <c r="V32" s="17">
        <f>IFERROR(AVERAGEIFS($H$5:$H$214,$A$5:$A$214,Q32,$C$5:$C$214,R32),"—")</f>
        <v/>
      </c>
      <c r="W32" s="16">
        <f>IFERROR(AVERAGEIFS($I$5:$I$214,$A$5:$A$214,Q32,$C$5:$C$214,R32),"—")</f>
        <v/>
      </c>
      <c r="X32" s="16">
        <f>IFERROR(AVERAGEIFS($K$5:$K$214,$A$5:$A$214,Q32,$C$5:$C$214,R32),"—")</f>
        <v/>
      </c>
      <c r="Y32" s="20" t="n">
        <v>2</v>
      </c>
      <c r="Z32" s="4">
        <f>IF(T32=0,"NOT LISTED on Bridg",IF(NOT(ISNUMBER(X32)),"No direct quote",IF(ABS(X32)&lt;=Y32,"Match (net of Bridg fee)",IF(ABS(W32)&lt;=Y32,"Match (Bridg fee not applied)",IF(X32&lt;0,"Bridg LOWER than venue","Bridg HIGHER than venue")))))</f>
        <v/>
      </c>
    </row>
    <row r="33">
      <c r="A33" s="4" t="inlineStr">
        <is>
          <t>SOL → ETH</t>
        </is>
      </c>
      <c r="B33" s="4" t="n">
        <v>2</v>
      </c>
      <c r="C33" s="4" t="inlineStr">
        <is>
          <t>Meson</t>
        </is>
      </c>
      <c r="D33" s="19" t="n">
        <v>99.75015</v>
      </c>
      <c r="E33" s="4" t="inlineStr">
        <is>
          <t>yes</t>
        </is>
      </c>
      <c r="F33" s="19" t="n">
        <v>98.37</v>
      </c>
      <c r="G33" s="19" t="n"/>
      <c r="H33" s="17">
        <f>IF(ISNUMBER(F33),F33-N(G33),"")</f>
        <v/>
      </c>
      <c r="I33" s="16">
        <f>IF(AND(ISNUMBER(D33),ISNUMBER(H33)),(D33-H33)/100*10000,"")</f>
        <v/>
      </c>
      <c r="J33" s="19" t="n">
        <v>0.15</v>
      </c>
      <c r="K33" s="16">
        <f>IF(ISNUMBER(I33),I33+N(J33)/100*10000,"")</f>
        <v/>
      </c>
      <c r="L33" s="13" t="n">
        <v>0.006</v>
      </c>
      <c r="M33" s="4" t="inlineStr"/>
      <c r="N33" s="4" t="inlineStr">
        <is>
          <t>2026-09-23T14:22:28.648Z</t>
        </is>
      </c>
      <c r="O33" s="4" t="inlineStr">
        <is>
          <t>2026-09-23T14:22:28.642Z</t>
        </is>
      </c>
      <c r="Q33" s="4" t="inlineStr">
        <is>
          <t>SOL → BSC</t>
        </is>
      </c>
      <c r="R33" s="4" t="inlineStr">
        <is>
          <t>LI.FI (Jumper)</t>
        </is>
      </c>
      <c r="S33" s="4">
        <f>COUNTIFS($A$5:$A$214,Q33,$C$5:$C$214,R33)</f>
        <v/>
      </c>
      <c r="T33" s="4">
        <f>COUNTIFS($A$5:$A$214,Q33,$C$5:$C$214,R33,$D$5:$D$214,"&gt;0")</f>
        <v/>
      </c>
      <c r="U33" s="17">
        <f>IFERROR(AVERAGEIFS($D$5:$D$214,$A$5:$A$214,Q33,$C$5:$C$214,R33),"—")</f>
        <v/>
      </c>
      <c r="V33" s="17">
        <f>IFERROR(AVERAGEIFS($H$5:$H$214,$A$5:$A$214,Q33,$C$5:$C$214,R33),"—")</f>
        <v/>
      </c>
      <c r="W33" s="16">
        <f>IFERROR(AVERAGEIFS($I$5:$I$214,$A$5:$A$214,Q33,$C$5:$C$214,R33),"—")</f>
        <v/>
      </c>
      <c r="X33" s="16">
        <f>IFERROR(AVERAGEIFS($K$5:$K$214,$A$5:$A$214,Q33,$C$5:$C$214,R33),"—")</f>
        <v/>
      </c>
      <c r="Y33" s="20" t="n">
        <v>2</v>
      </c>
      <c r="Z33" s="4">
        <f>IF(T33=0,"NOT LISTED on Bridg",IF(NOT(ISNUMBER(X33)),"No direct quote",IF(ABS(X33)&lt;=Y33,"Match (net of Bridg fee)",IF(ABS(W33)&lt;=Y33,"Match (Bridg fee not applied)",IF(X33&lt;0,"Bridg LOWER than venue","Bridg HIGHER than venue")))))</f>
        <v/>
      </c>
    </row>
    <row r="34">
      <c r="A34" s="4" t="inlineStr">
        <is>
          <t>SOL → ETH</t>
        </is>
      </c>
      <c r="B34" s="4" t="n">
        <v>3</v>
      </c>
      <c r="C34" s="4" t="inlineStr">
        <is>
          <t>Meson</t>
        </is>
      </c>
      <c r="D34" s="19" t="n">
        <v>99.75015</v>
      </c>
      <c r="E34" s="4" t="inlineStr">
        <is>
          <t>yes</t>
        </is>
      </c>
      <c r="F34" s="19" t="n">
        <v>98.67</v>
      </c>
      <c r="G34" s="19" t="n"/>
      <c r="H34" s="17">
        <f>IF(ISNUMBER(F34),F34-N(G34),"")</f>
        <v/>
      </c>
      <c r="I34" s="16">
        <f>IF(AND(ISNUMBER(D34),ISNUMBER(H34)),(D34-H34)/100*10000,"")</f>
        <v/>
      </c>
      <c r="J34" s="19" t="n">
        <v>0.15</v>
      </c>
      <c r="K34" s="16">
        <f>IF(ISNUMBER(I34),I34+N(J34)/100*10000,"")</f>
        <v/>
      </c>
      <c r="L34" s="13" t="n">
        <v>0.003</v>
      </c>
      <c r="M34" s="4" t="inlineStr"/>
      <c r="N34" s="4" t="inlineStr">
        <is>
          <t>2026-09-23T14:26:54.591Z</t>
        </is>
      </c>
      <c r="O34" s="4" t="inlineStr">
        <is>
          <t>2026-09-23T14:26:54.588Z</t>
        </is>
      </c>
      <c r="Q34" s="4" t="inlineStr">
        <is>
          <t>SOL → BSC</t>
        </is>
      </c>
      <c r="R34" s="4" t="inlineStr">
        <is>
          <t>Across</t>
        </is>
      </c>
      <c r="S34" s="4">
        <f>COUNTIFS($A$5:$A$214,Q34,$C$5:$C$214,R34)</f>
        <v/>
      </c>
      <c r="T34" s="4">
        <f>COUNTIFS($A$5:$A$214,Q34,$C$5:$C$214,R34,$D$5:$D$214,"&gt;0")</f>
        <v/>
      </c>
      <c r="U34" s="17">
        <f>IFERROR(AVERAGEIFS($D$5:$D$214,$A$5:$A$214,Q34,$C$5:$C$214,R34),"—")</f>
        <v/>
      </c>
      <c r="V34" s="17">
        <f>IFERROR(AVERAGEIFS($H$5:$H$214,$A$5:$A$214,Q34,$C$5:$C$214,R34),"—")</f>
        <v/>
      </c>
      <c r="W34" s="16">
        <f>IFERROR(AVERAGEIFS($I$5:$I$214,$A$5:$A$214,Q34,$C$5:$C$214,R34),"—")</f>
        <v/>
      </c>
      <c r="X34" s="16">
        <f>IFERROR(AVERAGEIFS($K$5:$K$214,$A$5:$A$214,Q34,$C$5:$C$214,R34),"—")</f>
        <v/>
      </c>
      <c r="Y34" s="20" t="n">
        <v>2</v>
      </c>
      <c r="Z34" s="4">
        <f>IF(T34=0,"NOT LISTED on Bridg",IF(NOT(ISNUMBER(X34)),"No direct quote",IF(ABS(X34)&lt;=Y34,"Match (net of Bridg fee)",IF(ABS(W34)&lt;=Y34,"Match (Bridg fee not applied)",IF(X34&lt;0,"Bridg LOWER than venue","Bridg HIGHER than venue")))))</f>
        <v/>
      </c>
    </row>
    <row r="35">
      <c r="A35" s="4" t="inlineStr">
        <is>
          <t>SOL → ETH</t>
        </is>
      </c>
      <c r="B35" s="4" t="n">
        <v>1</v>
      </c>
      <c r="C35" s="4" t="inlineStr">
        <is>
          <t>SimpleSwap</t>
        </is>
      </c>
      <c r="D35" s="19" t="n">
        <v>96.775023</v>
      </c>
      <c r="E35" s="4" t="inlineStr"/>
      <c r="F35" s="19" t="n">
        <v>98.20630199999999</v>
      </c>
      <c r="G35" s="19" t="n"/>
      <c r="H35" s="17">
        <f>IF(ISNUMBER(F35),F35-N(G35),"")</f>
        <v/>
      </c>
      <c r="I35" s="16">
        <f>IF(AND(ISNUMBER(D35),ISNUMBER(H35)),(D35-H35)/100*10000,"")</f>
        <v/>
      </c>
      <c r="J35" s="19" t="n">
        <v>0.15</v>
      </c>
      <c r="K35" s="16">
        <f>IF(ISNUMBER(I35),I35+N(J35)/100*10000,"")</f>
        <v/>
      </c>
      <c r="L35" s="13" t="n">
        <v>0.001</v>
      </c>
      <c r="M35" s="4" t="inlineStr">
        <is>
          <t>selected card: Best rate / Decentralized; best card 98.206302</t>
        </is>
      </c>
      <c r="N35" s="4" t="inlineStr">
        <is>
          <t>2026-09-23T14:18:55.406Z</t>
        </is>
      </c>
      <c r="O35" s="4" t="inlineStr">
        <is>
          <t>2026-09-23T14:18:55.405Z</t>
        </is>
      </c>
      <c r="Q35" s="4" t="inlineStr">
        <is>
          <t>SOL → BSC</t>
        </is>
      </c>
      <c r="R35" s="4" t="inlineStr">
        <is>
          <t>Mayan</t>
        </is>
      </c>
      <c r="S35" s="4">
        <f>COUNTIFS($A$5:$A$214,Q35,$C$5:$C$214,R35)</f>
        <v/>
      </c>
      <c r="T35" s="4">
        <f>COUNTIFS($A$5:$A$214,Q35,$C$5:$C$214,R35,$D$5:$D$214,"&gt;0")</f>
        <v/>
      </c>
      <c r="U35" s="17">
        <f>IFERROR(AVERAGEIFS($D$5:$D$214,$A$5:$A$214,Q35,$C$5:$C$214,R35),"—")</f>
        <v/>
      </c>
      <c r="V35" s="17">
        <f>IFERROR(AVERAGEIFS($H$5:$H$214,$A$5:$A$214,Q35,$C$5:$C$214,R35),"—")</f>
        <v/>
      </c>
      <c r="W35" s="16">
        <f>IFERROR(AVERAGEIFS($I$5:$I$214,$A$5:$A$214,Q35,$C$5:$C$214,R35),"—")</f>
        <v/>
      </c>
      <c r="X35" s="16">
        <f>IFERROR(AVERAGEIFS($K$5:$K$214,$A$5:$A$214,Q35,$C$5:$C$214,R35),"—")</f>
        <v/>
      </c>
      <c r="Y35" s="20" t="n">
        <v>4</v>
      </c>
      <c r="Z35" s="4">
        <f>IF(T35=0,"NOT LISTED on Bridg",IF(NOT(ISNUMBER(X35)),"No direct quote",IF(ABS(X35)&lt;=Y35,"Match (net of Bridg fee)",IF(ABS(W35)&lt;=Y35,"Match (Bridg fee not applied)",IF(X35&lt;0,"Bridg LOWER than venue","Bridg HIGHER than venue")))))</f>
        <v/>
      </c>
    </row>
    <row r="36">
      <c r="A36" s="4" t="inlineStr">
        <is>
          <t>SOL → ETH</t>
        </is>
      </c>
      <c r="B36" s="4" t="n">
        <v>2</v>
      </c>
      <c r="C36" s="4" t="inlineStr">
        <is>
          <t>SimpleSwap</t>
        </is>
      </c>
      <c r="D36" s="19" t="n">
        <v>96.801717</v>
      </c>
      <c r="E36" s="4" t="inlineStr"/>
      <c r="F36" s="19" t="n">
        <v>98.205703</v>
      </c>
      <c r="G36" s="19" t="n"/>
      <c r="H36" s="17">
        <f>IF(ISNUMBER(F36),F36-N(G36),"")</f>
        <v/>
      </c>
      <c r="I36" s="16">
        <f>IF(AND(ISNUMBER(D36),ISNUMBER(H36)),(D36-H36)/100*10000,"")</f>
        <v/>
      </c>
      <c r="J36" s="19" t="n">
        <v>0.15</v>
      </c>
      <c r="K36" s="16">
        <f>IF(ISNUMBER(I36),I36+N(J36)/100*10000,"")</f>
        <v/>
      </c>
      <c r="L36" s="13" t="n">
        <v>0.002</v>
      </c>
      <c r="M36" s="4" t="inlineStr">
        <is>
          <t>selected card: Best rate / Decentralized; best card 98.205703</t>
        </is>
      </c>
      <c r="N36" s="4" t="inlineStr">
        <is>
          <t>2026-09-23T14:22:28.648Z</t>
        </is>
      </c>
      <c r="O36" s="4" t="inlineStr">
        <is>
          <t>2026-09-23T14:22:28.646Z</t>
        </is>
      </c>
      <c r="Q36" s="4" t="inlineStr">
        <is>
          <t>SOL → BSC</t>
        </is>
      </c>
      <c r="R36" s="4" t="inlineStr">
        <is>
          <t>Husher</t>
        </is>
      </c>
      <c r="S36" s="4">
        <f>COUNTIFS($A$5:$A$214,Q36,$C$5:$C$214,R36)</f>
        <v/>
      </c>
      <c r="T36" s="4">
        <f>COUNTIFS($A$5:$A$214,Q36,$C$5:$C$214,R36,$D$5:$D$214,"&gt;0")</f>
        <v/>
      </c>
      <c r="U36" s="17">
        <f>IFERROR(AVERAGEIFS($D$5:$D$214,$A$5:$A$214,Q36,$C$5:$C$214,R36),"—")</f>
        <v/>
      </c>
      <c r="V36" s="17">
        <f>IFERROR(AVERAGEIFS($H$5:$H$214,$A$5:$A$214,Q36,$C$5:$C$214,R36),"—")</f>
        <v/>
      </c>
      <c r="W36" s="16">
        <f>IFERROR(AVERAGEIFS($I$5:$I$214,$A$5:$A$214,Q36,$C$5:$C$214,R36),"—")</f>
        <v/>
      </c>
      <c r="X36" s="16">
        <f>IFERROR(AVERAGEIFS($K$5:$K$214,$A$5:$A$214,Q36,$C$5:$C$214,R36),"—")</f>
        <v/>
      </c>
      <c r="Y36" s="20" t="n">
        <v>2</v>
      </c>
      <c r="Z36" s="4">
        <f>IF(T36=0,"NOT LISTED on Bridg",IF(NOT(ISNUMBER(X36)),"No direct quote",IF(ABS(X36)&lt;=Y36,"Match (net of Bridg fee)",IF(ABS(W36)&lt;=Y36,"Match (Bridg fee not applied)",IF(X36&lt;0,"Bridg LOWER than venue","Bridg HIGHER than venue")))))</f>
        <v/>
      </c>
    </row>
    <row r="37">
      <c r="A37" s="4" t="inlineStr">
        <is>
          <t>SOL → ETH</t>
        </is>
      </c>
      <c r="B37" s="4" t="n">
        <v>3</v>
      </c>
      <c r="C37" s="4" t="inlineStr">
        <is>
          <t>SimpleSwap</t>
        </is>
      </c>
      <c r="D37" s="19" t="n">
        <v>96.790074</v>
      </c>
      <c r="E37" s="4" t="inlineStr"/>
      <c r="F37" s="19" t="n">
        <v>98.205814</v>
      </c>
      <c r="G37" s="19" t="n"/>
      <c r="H37" s="17">
        <f>IF(ISNUMBER(F37),F37-N(G37),"")</f>
        <v/>
      </c>
      <c r="I37" s="16">
        <f>IF(AND(ISNUMBER(D37),ISNUMBER(H37)),(D37-H37)/100*10000,"")</f>
        <v/>
      </c>
      <c r="J37" s="19" t="n">
        <v>0.15</v>
      </c>
      <c r="K37" s="16">
        <f>IF(ISNUMBER(I37),I37+N(J37)/100*10000,"")</f>
        <v/>
      </c>
      <c r="L37" s="13" t="n">
        <v>0.003</v>
      </c>
      <c r="M37" s="4" t="inlineStr">
        <is>
          <t>selected card: Best rate / Decentralized; best card 98.205814</t>
        </is>
      </c>
      <c r="N37" s="4" t="inlineStr">
        <is>
          <t>2026-09-23T14:26:54.591Z</t>
        </is>
      </c>
      <c r="O37" s="4" t="inlineStr">
        <is>
          <t>2026-09-23T14:26:54.594Z</t>
        </is>
      </c>
      <c r="Q37" s="4" t="inlineStr">
        <is>
          <t>SOL → BSC</t>
        </is>
      </c>
      <c r="R37" s="4" t="inlineStr">
        <is>
          <t>Layerswap</t>
        </is>
      </c>
      <c r="S37" s="4">
        <f>COUNTIFS($A$5:$A$214,Q37,$C$5:$C$214,R37)</f>
        <v/>
      </c>
      <c r="T37" s="4">
        <f>COUNTIFS($A$5:$A$214,Q37,$C$5:$C$214,R37,$D$5:$D$214,"&gt;0")</f>
        <v/>
      </c>
      <c r="U37" s="17">
        <f>IFERROR(AVERAGEIFS($D$5:$D$214,$A$5:$A$214,Q37,$C$5:$C$214,R37),"—")</f>
        <v/>
      </c>
      <c r="V37" s="17">
        <f>IFERROR(AVERAGEIFS($H$5:$H$214,$A$5:$A$214,Q37,$C$5:$C$214,R37),"—")</f>
        <v/>
      </c>
      <c r="W37" s="16">
        <f>IFERROR(AVERAGEIFS($I$5:$I$214,$A$5:$A$214,Q37,$C$5:$C$214,R37),"—")</f>
        <v/>
      </c>
      <c r="X37" s="16">
        <f>IFERROR(AVERAGEIFS($K$5:$K$214,$A$5:$A$214,Q37,$C$5:$C$214,R37),"—")</f>
        <v/>
      </c>
      <c r="Y37" s="20" t="n">
        <v>2</v>
      </c>
      <c r="Z37" s="4">
        <f>IF(T37=0,"NOT LISTED on Bridg",IF(NOT(ISNUMBER(X37)),"No direct quote",IF(ABS(X37)&lt;=Y37,"Match (net of Bridg fee)",IF(ABS(W37)&lt;=Y37,"Match (Bridg fee not applied)",IF(X37&lt;0,"Bridg LOWER than venue","Bridg HIGHER than venue")))))</f>
        <v/>
      </c>
    </row>
    <row r="38">
      <c r="A38" s="4" t="inlineStr">
        <is>
          <t>SOL → ETH</t>
        </is>
      </c>
      <c r="B38" s="4" t="n">
        <v>1</v>
      </c>
      <c r="C38" s="4" t="inlineStr">
        <is>
          <t>Skip Go</t>
        </is>
      </c>
      <c r="D38" s="19" t="n">
        <v>96.961212</v>
      </c>
      <c r="E38" s="4" t="inlineStr"/>
      <c r="F38" s="19" t="n">
        <v>96.94911</v>
      </c>
      <c r="G38" s="19" t="n"/>
      <c r="H38" s="17">
        <f>IF(ISNUMBER(F38),F38-N(G38),"")</f>
        <v/>
      </c>
      <c r="I38" s="16">
        <f>IF(AND(ISNUMBER(D38),ISNUMBER(H38)),(D38-H38)/100*10000,"")</f>
        <v/>
      </c>
      <c r="J38" s="19" t="n">
        <v>0.15</v>
      </c>
      <c r="K38" s="16">
        <f>IF(ISNUMBER(I38),I38+N(J38)/100*10000,"")</f>
        <v/>
      </c>
      <c r="L38" s="13" t="n">
        <v>0</v>
      </c>
      <c r="M38" s="4" t="inlineStr"/>
      <c r="N38" s="4" t="inlineStr">
        <is>
          <t>2026-09-23T14:18:55.406Z</t>
        </is>
      </c>
      <c r="O38" s="4" t="inlineStr">
        <is>
          <t>2026-09-23T14:18:55.406Z</t>
        </is>
      </c>
      <c r="Q38" s="4" t="inlineStr">
        <is>
          <t>SOL → BSC</t>
        </is>
      </c>
      <c r="R38" s="4" t="inlineStr">
        <is>
          <t>Meson</t>
        </is>
      </c>
      <c r="S38" s="4">
        <f>COUNTIFS($A$5:$A$214,Q38,$C$5:$C$214,R38)</f>
        <v/>
      </c>
      <c r="T38" s="4">
        <f>COUNTIFS($A$5:$A$214,Q38,$C$5:$C$214,R38,$D$5:$D$214,"&gt;0")</f>
        <v/>
      </c>
      <c r="U38" s="17">
        <f>IFERROR(AVERAGEIFS($D$5:$D$214,$A$5:$A$214,Q38,$C$5:$C$214,R38),"—")</f>
        <v/>
      </c>
      <c r="V38" s="17">
        <f>IFERROR(AVERAGEIFS($H$5:$H$214,$A$5:$A$214,Q38,$C$5:$C$214,R38),"—")</f>
        <v/>
      </c>
      <c r="W38" s="16">
        <f>IFERROR(AVERAGEIFS($I$5:$I$214,$A$5:$A$214,Q38,$C$5:$C$214,R38),"—")</f>
        <v/>
      </c>
      <c r="X38" s="16">
        <f>IFERROR(AVERAGEIFS($K$5:$K$214,$A$5:$A$214,Q38,$C$5:$C$214,R38),"—")</f>
        <v/>
      </c>
      <c r="Y38" s="20" t="n">
        <v>2</v>
      </c>
      <c r="Z38" s="4">
        <f>IF(T38=0,"NOT LISTED on Bridg",IF(NOT(ISNUMBER(X38)),"No direct quote",IF(ABS(X38)&lt;=Y38,"Match (net of Bridg fee)",IF(ABS(W38)&lt;=Y38,"Match (Bridg fee not applied)",IF(X38&lt;0,"Bridg LOWER than venue","Bridg HIGHER than venue")))))</f>
        <v/>
      </c>
    </row>
    <row r="39">
      <c r="A39" s="4" t="inlineStr">
        <is>
          <t>SOL → ETH</t>
        </is>
      </c>
      <c r="B39" s="4" t="n">
        <v>2</v>
      </c>
      <c r="C39" s="4" t="inlineStr">
        <is>
          <t>Skip Go</t>
        </is>
      </c>
      <c r="D39" s="19" t="n">
        <v>96.961212</v>
      </c>
      <c r="E39" s="4" t="inlineStr"/>
      <c r="F39" s="19" t="n">
        <v>96.94911</v>
      </c>
      <c r="G39" s="19" t="n"/>
      <c r="H39" s="17">
        <f>IF(ISNUMBER(F39),F39-N(G39),"")</f>
        <v/>
      </c>
      <c r="I39" s="16">
        <f>IF(AND(ISNUMBER(D39),ISNUMBER(H39)),(D39-H39)/100*10000,"")</f>
        <v/>
      </c>
      <c r="J39" s="19" t="n">
        <v>0.15</v>
      </c>
      <c r="K39" s="16">
        <f>IF(ISNUMBER(I39),I39+N(J39)/100*10000,"")</f>
        <v/>
      </c>
      <c r="L39" s="13" t="n">
        <v>0</v>
      </c>
      <c r="M39" s="4" t="inlineStr"/>
      <c r="N39" s="4" t="inlineStr">
        <is>
          <t>2026-09-23T14:22:28.648Z</t>
        </is>
      </c>
      <c r="O39" s="4" t="inlineStr">
        <is>
          <t>2026-09-23T14:22:28.648Z</t>
        </is>
      </c>
      <c r="Q39" s="4" t="inlineStr">
        <is>
          <t>SOL → BSC</t>
        </is>
      </c>
      <c r="R39" s="4" t="inlineStr">
        <is>
          <t>SimpleSwap</t>
        </is>
      </c>
      <c r="S39" s="4">
        <f>COUNTIFS($A$5:$A$214,Q39,$C$5:$C$214,R39)</f>
        <v/>
      </c>
      <c r="T39" s="4">
        <f>COUNTIFS($A$5:$A$214,Q39,$C$5:$C$214,R39,$D$5:$D$214,"&gt;0")</f>
        <v/>
      </c>
      <c r="U39" s="17">
        <f>IFERROR(AVERAGEIFS($D$5:$D$214,$A$5:$A$214,Q39,$C$5:$C$214,R39),"—")</f>
        <v/>
      </c>
      <c r="V39" s="17">
        <f>IFERROR(AVERAGEIFS($H$5:$H$214,$A$5:$A$214,Q39,$C$5:$C$214,R39),"—")</f>
        <v/>
      </c>
      <c r="W39" s="16">
        <f>IFERROR(AVERAGEIFS($I$5:$I$214,$A$5:$A$214,Q39,$C$5:$C$214,R39),"—")</f>
        <v/>
      </c>
      <c r="X39" s="16">
        <f>IFERROR(AVERAGEIFS($K$5:$K$214,$A$5:$A$214,Q39,$C$5:$C$214,R39),"—")</f>
        <v/>
      </c>
      <c r="Y39" s="20" t="n">
        <v>2</v>
      </c>
      <c r="Z39" s="4">
        <f>IF(T39=0,"NOT LISTED on Bridg",IF(NOT(ISNUMBER(X39)),"No direct quote",IF(ABS(X39)&lt;=Y39,"Match (net of Bridg fee)",IF(ABS(W39)&lt;=Y39,"Match (Bridg fee not applied)",IF(X39&lt;0,"Bridg LOWER than venue","Bridg HIGHER than venue")))))</f>
        <v/>
      </c>
    </row>
    <row r="40">
      <c r="A40" s="4" t="inlineStr">
        <is>
          <t>SOL → ETH</t>
        </is>
      </c>
      <c r="B40" s="4" t="n">
        <v>3</v>
      </c>
      <c r="C40" s="4" t="inlineStr">
        <is>
          <t>Skip Go</t>
        </is>
      </c>
      <c r="D40" s="19" t="n">
        <v>96.711186</v>
      </c>
      <c r="E40" s="4" t="inlineStr"/>
      <c r="F40" s="19" t="n">
        <v>97.44691</v>
      </c>
      <c r="G40" s="19" t="n"/>
      <c r="H40" s="17">
        <f>IF(ISNUMBER(F40),F40-N(G40),"")</f>
        <v/>
      </c>
      <c r="I40" s="16">
        <f>IF(AND(ISNUMBER(D40),ISNUMBER(H40)),(D40-H40)/100*10000,"")</f>
        <v/>
      </c>
      <c r="J40" s="19" t="n">
        <v>0.15</v>
      </c>
      <c r="K40" s="16">
        <f>IF(ISNUMBER(I40),I40+N(J40)/100*10000,"")</f>
        <v/>
      </c>
      <c r="L40" s="13" t="n">
        <v>0.001</v>
      </c>
      <c r="M40" s="4" t="inlineStr"/>
      <c r="N40" s="4" t="inlineStr">
        <is>
          <t>2026-09-23T14:26:54.591Z</t>
        </is>
      </c>
      <c r="O40" s="4" t="inlineStr">
        <is>
          <t>2026-09-23T14:26:54.592Z</t>
        </is>
      </c>
      <c r="Q40" s="4" t="inlineStr">
        <is>
          <t>BSC → SOL</t>
        </is>
      </c>
      <c r="R40" s="4" t="inlineStr">
        <is>
          <t>Relay</t>
        </is>
      </c>
      <c r="S40" s="4">
        <f>COUNTIFS($A$5:$A$214,Q40,$C$5:$C$214,R40)</f>
        <v/>
      </c>
      <c r="T40" s="4">
        <f>COUNTIFS($A$5:$A$214,Q40,$C$5:$C$214,R40,$D$5:$D$214,"&gt;0")</f>
        <v/>
      </c>
      <c r="U40" s="17">
        <f>IFERROR(AVERAGEIFS($D$5:$D$214,$A$5:$A$214,Q40,$C$5:$C$214,R40),"—")</f>
        <v/>
      </c>
      <c r="V40" s="17">
        <f>IFERROR(AVERAGEIFS($H$5:$H$214,$A$5:$A$214,Q40,$C$5:$C$214,R40),"—")</f>
        <v/>
      </c>
      <c r="W40" s="16">
        <f>IFERROR(AVERAGEIFS($I$5:$I$214,$A$5:$A$214,Q40,$C$5:$C$214,R40),"—")</f>
        <v/>
      </c>
      <c r="X40" s="16">
        <f>IFERROR(AVERAGEIFS($K$5:$K$214,$A$5:$A$214,Q40,$C$5:$C$214,R40),"—")</f>
        <v/>
      </c>
      <c r="Y40" s="20" t="n">
        <v>2</v>
      </c>
      <c r="Z40" s="4">
        <f>IF(T40=0,"NOT LISTED on Bridg",IF(NOT(ISNUMBER(X40)),"No direct quote",IF(ABS(X40)&lt;=Y40,"Match (net of Bridg fee)",IF(ABS(W40)&lt;=Y40,"Match (Bridg fee not applied)",IF(X40&lt;0,"Bridg LOWER than venue","Bridg HIGHER than venue")))))</f>
        <v/>
      </c>
    </row>
    <row r="41">
      <c r="A41" s="4" t="inlineStr">
        <is>
          <t>SOL → ETH</t>
        </is>
      </c>
      <c r="B41" s="4" t="n">
        <v>1</v>
      </c>
      <c r="C41" s="4" t="inlineStr">
        <is>
          <t>Symbiosis</t>
        </is>
      </c>
      <c r="D41" s="19" t="n">
        <v>96.16527499999999</v>
      </c>
      <c r="E41" s="4" t="inlineStr"/>
      <c r="F41" s="19" t="n">
        <v>96.860997</v>
      </c>
      <c r="G41" s="19" t="n"/>
      <c r="H41" s="17">
        <f>IF(ISNUMBER(F41),F41-N(G41),"")</f>
        <v/>
      </c>
      <c r="I41" s="16">
        <f>IF(AND(ISNUMBER(D41),ISNUMBER(H41)),(D41-H41)/100*10000,"")</f>
        <v/>
      </c>
      <c r="J41" s="19" t="n">
        <v>0.15</v>
      </c>
      <c r="K41" s="16">
        <f>IF(ISNUMBER(I41),I41+N(J41)/100*10000,"")</f>
        <v/>
      </c>
      <c r="L41" s="13" t="n">
        <v>0.002</v>
      </c>
      <c r="M41" s="4" t="inlineStr"/>
      <c r="N41" s="4" t="inlineStr">
        <is>
          <t>2026-09-23T14:18:55.406Z</t>
        </is>
      </c>
      <c r="O41" s="4" t="inlineStr">
        <is>
          <t>2026-09-23T14:18:55.404Z</t>
        </is>
      </c>
      <c r="Q41" s="4" t="inlineStr">
        <is>
          <t>BSC → SOL</t>
        </is>
      </c>
      <c r="R41" s="4" t="inlineStr">
        <is>
          <t>deBridge</t>
        </is>
      </c>
      <c r="S41" s="4">
        <f>COUNTIFS($A$5:$A$214,Q41,$C$5:$C$214,R41)</f>
        <v/>
      </c>
      <c r="T41" s="4">
        <f>COUNTIFS($A$5:$A$214,Q41,$C$5:$C$214,R41,$D$5:$D$214,"&gt;0")</f>
        <v/>
      </c>
      <c r="U41" s="17">
        <f>IFERROR(AVERAGEIFS($D$5:$D$214,$A$5:$A$214,Q41,$C$5:$C$214,R41),"—")</f>
        <v/>
      </c>
      <c r="V41" s="17">
        <f>IFERROR(AVERAGEIFS($H$5:$H$214,$A$5:$A$214,Q41,$C$5:$C$214,R41),"—")</f>
        <v/>
      </c>
      <c r="W41" s="16">
        <f>IFERROR(AVERAGEIFS($I$5:$I$214,$A$5:$A$214,Q41,$C$5:$C$214,R41),"—")</f>
        <v/>
      </c>
      <c r="X41" s="16">
        <f>IFERROR(AVERAGEIFS($K$5:$K$214,$A$5:$A$214,Q41,$C$5:$C$214,R41),"—")</f>
        <v/>
      </c>
      <c r="Y41" s="20" t="n">
        <v>2</v>
      </c>
      <c r="Z41" s="4">
        <f>IF(T41=0,"NOT LISTED on Bridg",IF(NOT(ISNUMBER(X41)),"No direct quote",IF(ABS(X41)&lt;=Y41,"Match (net of Bridg fee)",IF(ABS(W41)&lt;=Y41,"Match (Bridg fee not applied)",IF(X41&lt;0,"Bridg LOWER than venue","Bridg HIGHER than venue")))))</f>
        <v/>
      </c>
    </row>
    <row r="42">
      <c r="A42" s="4" t="inlineStr">
        <is>
          <t>SOL → ETH</t>
        </is>
      </c>
      <c r="B42" s="4" t="n">
        <v>2</v>
      </c>
      <c r="C42" s="4" t="inlineStr">
        <is>
          <t>Symbiosis</t>
        </is>
      </c>
      <c r="D42" s="19" t="n">
        <v>96.67081</v>
      </c>
      <c r="E42" s="4" t="inlineStr"/>
      <c r="F42" s="19" t="n">
        <v>96.37869999999999</v>
      </c>
      <c r="G42" s="19" t="n"/>
      <c r="H42" s="17">
        <f>IF(ISNUMBER(F42),F42-N(G42),"")</f>
        <v/>
      </c>
      <c r="I42" s="16">
        <f>IF(AND(ISNUMBER(D42),ISNUMBER(H42)),(D42-H42)/100*10000,"")</f>
        <v/>
      </c>
      <c r="J42" s="19" t="n">
        <v>0.15</v>
      </c>
      <c r="K42" s="16">
        <f>IF(ISNUMBER(I42),I42+N(J42)/100*10000,"")</f>
        <v/>
      </c>
      <c r="L42" s="13" t="n">
        <v>0.001</v>
      </c>
      <c r="M42" s="4" t="inlineStr"/>
      <c r="N42" s="4" t="inlineStr">
        <is>
          <t>2026-09-23T14:22:28.648Z</t>
        </is>
      </c>
      <c r="O42" s="4" t="inlineStr">
        <is>
          <t>2026-09-23T14:22:28.649Z</t>
        </is>
      </c>
      <c r="Q42" s="4" t="inlineStr">
        <is>
          <t>BSC → SOL</t>
        </is>
      </c>
      <c r="R42" s="4" t="inlineStr">
        <is>
          <t>LI.FI (Jumper)</t>
        </is>
      </c>
      <c r="S42" s="4">
        <f>COUNTIFS($A$5:$A$214,Q42,$C$5:$C$214,R42)</f>
        <v/>
      </c>
      <c r="T42" s="4">
        <f>COUNTIFS($A$5:$A$214,Q42,$C$5:$C$214,R42,$D$5:$D$214,"&gt;0")</f>
        <v/>
      </c>
      <c r="U42" s="17">
        <f>IFERROR(AVERAGEIFS($D$5:$D$214,$A$5:$A$214,Q42,$C$5:$C$214,R42),"—")</f>
        <v/>
      </c>
      <c r="V42" s="17">
        <f>IFERROR(AVERAGEIFS($H$5:$H$214,$A$5:$A$214,Q42,$C$5:$C$214,R42),"—")</f>
        <v/>
      </c>
      <c r="W42" s="16">
        <f>IFERROR(AVERAGEIFS($I$5:$I$214,$A$5:$A$214,Q42,$C$5:$C$214,R42),"—")</f>
        <v/>
      </c>
      <c r="X42" s="16">
        <f>IFERROR(AVERAGEIFS($K$5:$K$214,$A$5:$A$214,Q42,$C$5:$C$214,R42),"—")</f>
        <v/>
      </c>
      <c r="Y42" s="20" t="n">
        <v>2</v>
      </c>
      <c r="Z42" s="4">
        <f>IF(T42=0,"NOT LISTED on Bridg",IF(NOT(ISNUMBER(X42)),"No direct quote",IF(ABS(X42)&lt;=Y42,"Match (net of Bridg fee)",IF(ABS(W42)&lt;=Y42,"Match (Bridg fee not applied)",IF(X42&lt;0,"Bridg LOWER than venue","Bridg HIGHER than venue")))))</f>
        <v/>
      </c>
    </row>
    <row r="43">
      <c r="A43" s="4" t="inlineStr">
        <is>
          <t>SOL → ETH</t>
        </is>
      </c>
      <c r="B43" s="4" t="n">
        <v>3</v>
      </c>
      <c r="C43" s="4" t="inlineStr">
        <is>
          <t>Symbiosis</t>
        </is>
      </c>
      <c r="D43" s="19" t="n">
        <v>96.510498</v>
      </c>
      <c r="E43" s="4" t="inlineStr"/>
      <c r="F43" s="19" t="n">
        <v>96.510498</v>
      </c>
      <c r="G43" s="19" t="n"/>
      <c r="H43" s="17">
        <f>IF(ISNUMBER(F43),F43-N(G43),"")</f>
        <v/>
      </c>
      <c r="I43" s="16">
        <f>IF(AND(ISNUMBER(D43),ISNUMBER(H43)),(D43-H43)/100*10000,"")</f>
        <v/>
      </c>
      <c r="J43" s="19" t="n">
        <v>0.15</v>
      </c>
      <c r="K43" s="16">
        <f>IF(ISNUMBER(I43),I43+N(J43)/100*10000,"")</f>
        <v/>
      </c>
      <c r="L43" s="13" t="n">
        <v>0</v>
      </c>
      <c r="M43" s="4" t="inlineStr"/>
      <c r="N43" s="4" t="inlineStr">
        <is>
          <t>2026-09-23T14:26:54.591Z</t>
        </is>
      </c>
      <c r="O43" s="4" t="inlineStr">
        <is>
          <t>2026-09-23T14:26:54.591Z</t>
        </is>
      </c>
      <c r="Q43" s="4" t="inlineStr">
        <is>
          <t>BSC → SOL</t>
        </is>
      </c>
      <c r="R43" s="4" t="inlineStr">
        <is>
          <t>Across</t>
        </is>
      </c>
      <c r="S43" s="4">
        <f>COUNTIFS($A$5:$A$214,Q43,$C$5:$C$214,R43)</f>
        <v/>
      </c>
      <c r="T43" s="4">
        <f>COUNTIFS($A$5:$A$214,Q43,$C$5:$C$214,R43,$D$5:$D$214,"&gt;0")</f>
        <v/>
      </c>
      <c r="U43" s="17">
        <f>IFERROR(AVERAGEIFS($D$5:$D$214,$A$5:$A$214,Q43,$C$5:$C$214,R43),"—")</f>
        <v/>
      </c>
      <c r="V43" s="17">
        <f>IFERROR(AVERAGEIFS($H$5:$H$214,$A$5:$A$214,Q43,$C$5:$C$214,R43),"—")</f>
        <v/>
      </c>
      <c r="W43" s="16">
        <f>IFERROR(AVERAGEIFS($I$5:$I$214,$A$5:$A$214,Q43,$C$5:$C$214,R43),"—")</f>
        <v/>
      </c>
      <c r="X43" s="16">
        <f>IFERROR(AVERAGEIFS($K$5:$K$214,$A$5:$A$214,Q43,$C$5:$C$214,R43),"—")</f>
        <v/>
      </c>
      <c r="Y43" s="20" t="n">
        <v>2</v>
      </c>
      <c r="Z43" s="4">
        <f>IF(T43=0,"NOT LISTED on Bridg",IF(NOT(ISNUMBER(X43)),"No direct quote",IF(ABS(X43)&lt;=Y43,"Match (net of Bridg fee)",IF(ABS(W43)&lt;=Y43,"Match (Bridg fee not applied)",IF(X43&lt;0,"Bridg LOWER than venue","Bridg HIGHER than venue")))))</f>
        <v/>
      </c>
    </row>
    <row r="44">
      <c r="A44" s="4" t="inlineStr">
        <is>
          <t>ETH → SOL</t>
        </is>
      </c>
      <c r="B44" s="4" t="n">
        <v>1</v>
      </c>
      <c r="C44" s="4" t="inlineStr">
        <is>
          <t>Relay</t>
        </is>
      </c>
      <c r="D44" s="19" t="n">
        <v>99.69601299999999</v>
      </c>
      <c r="E44" s="4" t="inlineStr"/>
      <c r="F44" s="19" t="n">
        <v>99.94570299999999</v>
      </c>
      <c r="G44" s="19" t="n"/>
      <c r="H44" s="17">
        <f>IF(ISNUMBER(F44),F44-N(G44),"")</f>
        <v/>
      </c>
      <c r="I44" s="16">
        <f>IF(AND(ISNUMBER(D44),ISNUMBER(H44)),(D44-H44)/100*10000,"")</f>
        <v/>
      </c>
      <c r="J44" s="19" t="n">
        <v>0.05</v>
      </c>
      <c r="K44" s="16">
        <f>IF(ISNUMBER(I44),I44+N(J44)/100*10000,"")</f>
        <v/>
      </c>
      <c r="L44" s="13" t="n">
        <v>0.001</v>
      </c>
      <c r="M44" s="4" t="inlineStr"/>
      <c r="N44" s="4" t="inlineStr">
        <is>
          <t>2026-09-23T14:19:28.697Z</t>
        </is>
      </c>
      <c r="O44" s="4" t="inlineStr">
        <is>
          <t>2026-09-23T14:19:28.698Z</t>
        </is>
      </c>
      <c r="Q44" s="4" t="inlineStr">
        <is>
          <t>BSC → SOL</t>
        </is>
      </c>
      <c r="R44" s="4" t="inlineStr">
        <is>
          <t>Mayan</t>
        </is>
      </c>
      <c r="S44" s="4">
        <f>COUNTIFS($A$5:$A$214,Q44,$C$5:$C$214,R44)</f>
        <v/>
      </c>
      <c r="T44" s="4">
        <f>COUNTIFS($A$5:$A$214,Q44,$C$5:$C$214,R44,$D$5:$D$214,"&gt;0")</f>
        <v/>
      </c>
      <c r="U44" s="17">
        <f>IFERROR(AVERAGEIFS($D$5:$D$214,$A$5:$A$214,Q44,$C$5:$C$214,R44),"—")</f>
        <v/>
      </c>
      <c r="V44" s="17">
        <f>IFERROR(AVERAGEIFS($H$5:$H$214,$A$5:$A$214,Q44,$C$5:$C$214,R44),"—")</f>
        <v/>
      </c>
      <c r="W44" s="16">
        <f>IFERROR(AVERAGEIFS($I$5:$I$214,$A$5:$A$214,Q44,$C$5:$C$214,R44),"—")</f>
        <v/>
      </c>
      <c r="X44" s="16">
        <f>IFERROR(AVERAGEIFS($K$5:$K$214,$A$5:$A$214,Q44,$C$5:$C$214,R44),"—")</f>
        <v/>
      </c>
      <c r="Y44" s="20" t="n">
        <v>4</v>
      </c>
      <c r="Z44" s="4">
        <f>IF(T44=0,"NOT LISTED on Bridg",IF(NOT(ISNUMBER(X44)),"No direct quote",IF(ABS(X44)&lt;=Y44,"Match (net of Bridg fee)",IF(ABS(W44)&lt;=Y44,"Match (Bridg fee not applied)",IF(X44&lt;0,"Bridg LOWER than venue","Bridg HIGHER than venue")))))</f>
        <v/>
      </c>
    </row>
    <row r="45">
      <c r="A45" s="4" t="inlineStr">
        <is>
          <t>ETH → SOL</t>
        </is>
      </c>
      <c r="B45" s="4" t="n">
        <v>2</v>
      </c>
      <c r="C45" s="4" t="inlineStr">
        <is>
          <t>Relay</t>
        </is>
      </c>
      <c r="D45" s="19" t="n">
        <v>99.696651</v>
      </c>
      <c r="E45" s="4" t="inlineStr"/>
      <c r="F45" s="19" t="n">
        <v>99.945717</v>
      </c>
      <c r="G45" s="19" t="n"/>
      <c r="H45" s="17">
        <f>IF(ISNUMBER(F45),F45-N(G45),"")</f>
        <v/>
      </c>
      <c r="I45" s="16">
        <f>IF(AND(ISNUMBER(D45),ISNUMBER(H45)),(D45-H45)/100*10000,"")</f>
        <v/>
      </c>
      <c r="J45" s="19" t="n">
        <v>0.05</v>
      </c>
      <c r="K45" s="16">
        <f>IF(ISNUMBER(I45),I45+N(J45)/100*10000,"")</f>
        <v/>
      </c>
      <c r="L45" s="13" t="n">
        <v>0.003</v>
      </c>
      <c r="M45" s="4" t="inlineStr"/>
      <c r="N45" s="4" t="inlineStr">
        <is>
          <t>2026-09-23T14:23:47.144Z</t>
        </is>
      </c>
      <c r="O45" s="4" t="inlineStr">
        <is>
          <t>2026-09-23T14:23:47.141Z</t>
        </is>
      </c>
      <c r="Q45" s="4" t="inlineStr">
        <is>
          <t>BSC → SOL</t>
        </is>
      </c>
      <c r="R45" s="4" t="inlineStr">
        <is>
          <t>Husher</t>
        </is>
      </c>
      <c r="S45" s="4">
        <f>COUNTIFS($A$5:$A$214,Q45,$C$5:$C$214,R45)</f>
        <v/>
      </c>
      <c r="T45" s="4">
        <f>COUNTIFS($A$5:$A$214,Q45,$C$5:$C$214,R45,$D$5:$D$214,"&gt;0")</f>
        <v/>
      </c>
      <c r="U45" s="17">
        <f>IFERROR(AVERAGEIFS($D$5:$D$214,$A$5:$A$214,Q45,$C$5:$C$214,R45),"—")</f>
        <v/>
      </c>
      <c r="V45" s="17">
        <f>IFERROR(AVERAGEIFS($H$5:$H$214,$A$5:$A$214,Q45,$C$5:$C$214,R45),"—")</f>
        <v/>
      </c>
      <c r="W45" s="16">
        <f>IFERROR(AVERAGEIFS($I$5:$I$214,$A$5:$A$214,Q45,$C$5:$C$214,R45),"—")</f>
        <v/>
      </c>
      <c r="X45" s="16">
        <f>IFERROR(AVERAGEIFS($K$5:$K$214,$A$5:$A$214,Q45,$C$5:$C$214,R45),"—")</f>
        <v/>
      </c>
      <c r="Y45" s="20" t="n">
        <v>2</v>
      </c>
      <c r="Z45" s="4">
        <f>IF(T45=0,"NOT LISTED on Bridg",IF(NOT(ISNUMBER(X45)),"No direct quote",IF(ABS(X45)&lt;=Y45,"Match (net of Bridg fee)",IF(ABS(W45)&lt;=Y45,"Match (Bridg fee not applied)",IF(X45&lt;0,"Bridg LOWER than venue","Bridg HIGHER than venue")))))</f>
        <v/>
      </c>
    </row>
    <row r="46">
      <c r="A46" s="4" t="inlineStr">
        <is>
          <t>ETH → SOL</t>
        </is>
      </c>
      <c r="B46" s="4" t="n">
        <v>3</v>
      </c>
      <c r="C46" s="4" t="inlineStr">
        <is>
          <t>Relay</t>
        </is>
      </c>
      <c r="D46" s="19" t="n">
        <v>99.69681199999999</v>
      </c>
      <c r="E46" s="4" t="inlineStr"/>
      <c r="F46" s="19" t="n">
        <v>99.945713</v>
      </c>
      <c r="G46" s="19" t="n"/>
      <c r="H46" s="17">
        <f>IF(ISNUMBER(F46),F46-N(G46),"")</f>
        <v/>
      </c>
      <c r="I46" s="16">
        <f>IF(AND(ISNUMBER(D46),ISNUMBER(H46)),(D46-H46)/100*10000,"")</f>
        <v/>
      </c>
      <c r="J46" s="19" t="n">
        <v>0.05</v>
      </c>
      <c r="K46" s="16">
        <f>IF(ISNUMBER(I46),I46+N(J46)/100*10000,"")</f>
        <v/>
      </c>
      <c r="L46" s="13" t="n">
        <v>0.001</v>
      </c>
      <c r="M46" s="4" t="inlineStr"/>
      <c r="N46" s="4" t="inlineStr">
        <is>
          <t>2026-09-23T14:27:28.356Z</t>
        </is>
      </c>
      <c r="O46" s="4" t="inlineStr">
        <is>
          <t>2026-09-23T14:27:28.355Z</t>
        </is>
      </c>
      <c r="Q46" s="4" t="inlineStr">
        <is>
          <t>BSC → SOL</t>
        </is>
      </c>
      <c r="R46" s="4" t="inlineStr">
        <is>
          <t>Layerswap</t>
        </is>
      </c>
      <c r="S46" s="4">
        <f>COUNTIFS($A$5:$A$214,Q46,$C$5:$C$214,R46)</f>
        <v/>
      </c>
      <c r="T46" s="4">
        <f>COUNTIFS($A$5:$A$214,Q46,$C$5:$C$214,R46,$D$5:$D$214,"&gt;0")</f>
        <v/>
      </c>
      <c r="U46" s="17">
        <f>IFERROR(AVERAGEIFS($D$5:$D$214,$A$5:$A$214,Q46,$C$5:$C$214,R46),"—")</f>
        <v/>
      </c>
      <c r="V46" s="17">
        <f>IFERROR(AVERAGEIFS($H$5:$H$214,$A$5:$A$214,Q46,$C$5:$C$214,R46),"—")</f>
        <v/>
      </c>
      <c r="W46" s="16">
        <f>IFERROR(AVERAGEIFS($I$5:$I$214,$A$5:$A$214,Q46,$C$5:$C$214,R46),"—")</f>
        <v/>
      </c>
      <c r="X46" s="16">
        <f>IFERROR(AVERAGEIFS($K$5:$K$214,$A$5:$A$214,Q46,$C$5:$C$214,R46),"—")</f>
        <v/>
      </c>
      <c r="Y46" s="20" t="n">
        <v>2</v>
      </c>
      <c r="Z46" s="4">
        <f>IF(T46=0,"NOT LISTED on Bridg",IF(NOT(ISNUMBER(X46)),"No direct quote",IF(ABS(X46)&lt;=Y46,"Match (net of Bridg fee)",IF(ABS(W46)&lt;=Y46,"Match (Bridg fee not applied)",IF(X46&lt;0,"Bridg LOWER than venue","Bridg HIGHER than venue")))))</f>
        <v/>
      </c>
    </row>
    <row r="47">
      <c r="A47" s="4" t="inlineStr">
        <is>
          <t>ETH → SOL</t>
        </is>
      </c>
      <c r="B47" s="4" t="n">
        <v>1</v>
      </c>
      <c r="C47" s="4" t="inlineStr">
        <is>
          <t>deBridge</t>
        </is>
      </c>
      <c r="D47" s="19" t="n">
        <v>97.956546</v>
      </c>
      <c r="E47" s="4" t="inlineStr"/>
      <c r="F47" s="19" t="n">
        <v>99.920018</v>
      </c>
      <c r="G47" s="19" t="n">
        <v>1.965</v>
      </c>
      <c r="H47" s="17">
        <f>IF(ISNUMBER(F47),F47-N(G47),"")</f>
        <v/>
      </c>
      <c r="I47" s="16">
        <f>IF(AND(ISNUMBER(D47),ISNUMBER(H47)),(D47-H47)/100*10000,"")</f>
        <v/>
      </c>
      <c r="J47" s="19" t="n">
        <v>0.05</v>
      </c>
      <c r="K47" s="16">
        <f>IF(ISNUMBER(I47),I47+N(J47)/100*10000,"")</f>
        <v/>
      </c>
      <c r="L47" s="13" t="n">
        <v>0.001</v>
      </c>
      <c r="M47" s="4" t="inlineStr">
        <is>
          <t>+1.965 USDC charged on top of 100 input (subtracted)</t>
        </is>
      </c>
      <c r="N47" s="4" t="inlineStr">
        <is>
          <t>2026-09-23T14:19:28.697Z</t>
        </is>
      </c>
      <c r="O47" s="4" t="inlineStr">
        <is>
          <t>2026-09-23T14:19:28.698Z</t>
        </is>
      </c>
      <c r="Q47" s="4" t="inlineStr">
        <is>
          <t>BSC → SOL</t>
        </is>
      </c>
      <c r="R47" s="4" t="inlineStr">
        <is>
          <t>Meson</t>
        </is>
      </c>
      <c r="S47" s="4">
        <f>COUNTIFS($A$5:$A$214,Q47,$C$5:$C$214,R47)</f>
        <v/>
      </c>
      <c r="T47" s="4">
        <f>COUNTIFS($A$5:$A$214,Q47,$C$5:$C$214,R47,$D$5:$D$214,"&gt;0")</f>
        <v/>
      </c>
      <c r="U47" s="17">
        <f>IFERROR(AVERAGEIFS($D$5:$D$214,$A$5:$A$214,Q47,$C$5:$C$214,R47),"—")</f>
        <v/>
      </c>
      <c r="V47" s="17">
        <f>IFERROR(AVERAGEIFS($H$5:$H$214,$A$5:$A$214,Q47,$C$5:$C$214,R47),"—")</f>
        <v/>
      </c>
      <c r="W47" s="16">
        <f>IFERROR(AVERAGEIFS($I$5:$I$214,$A$5:$A$214,Q47,$C$5:$C$214,R47),"—")</f>
        <v/>
      </c>
      <c r="X47" s="16">
        <f>IFERROR(AVERAGEIFS($K$5:$K$214,$A$5:$A$214,Q47,$C$5:$C$214,R47),"—")</f>
        <v/>
      </c>
      <c r="Y47" s="20" t="n">
        <v>2</v>
      </c>
      <c r="Z47" s="4">
        <f>IF(T47=0,"NOT LISTED on Bridg",IF(NOT(ISNUMBER(X47)),"No direct quote",IF(ABS(X47)&lt;=Y47,"Match (net of Bridg fee)",IF(ABS(W47)&lt;=Y47,"Match (Bridg fee not applied)",IF(X47&lt;0,"Bridg LOWER than venue","Bridg HIGHER than venue")))))</f>
        <v/>
      </c>
    </row>
    <row r="48">
      <c r="A48" s="4" t="inlineStr">
        <is>
          <t>ETH → SOL</t>
        </is>
      </c>
      <c r="B48" s="4" t="n">
        <v>2</v>
      </c>
      <c r="C48" s="4" t="inlineStr">
        <is>
          <t>deBridge</t>
        </is>
      </c>
      <c r="D48" s="19" t="n">
        <v>97.8387</v>
      </c>
      <c r="E48" s="4" t="inlineStr"/>
      <c r="F48" s="19" t="n">
        <v>99.920018</v>
      </c>
      <c r="G48" s="19" t="n">
        <v>2.0844</v>
      </c>
      <c r="H48" s="17">
        <f>IF(ISNUMBER(F48),F48-N(G48),"")</f>
        <v/>
      </c>
      <c r="I48" s="16">
        <f>IF(AND(ISNUMBER(D48),ISNUMBER(H48)),(D48-H48)/100*10000,"")</f>
        <v/>
      </c>
      <c r="J48" s="19" t="n">
        <v>0.05</v>
      </c>
      <c r="K48" s="16">
        <f>IF(ISNUMBER(I48),I48+N(J48)/100*10000,"")</f>
        <v/>
      </c>
      <c r="L48" s="13" t="n">
        <v>0.004</v>
      </c>
      <c r="M48" s="4" t="inlineStr">
        <is>
          <t>+2.0844 USDC charged on top of 100 input (subtracted)</t>
        </is>
      </c>
      <c r="N48" s="4" t="inlineStr">
        <is>
          <t>2026-09-23T14:23:47.144Z</t>
        </is>
      </c>
      <c r="O48" s="4" t="inlineStr">
        <is>
          <t>2026-09-23T14:23:47.140Z</t>
        </is>
      </c>
      <c r="Q48" s="4" t="inlineStr">
        <is>
          <t>BSC → SOL</t>
        </is>
      </c>
      <c r="R48" s="4" t="inlineStr">
        <is>
          <t>SimpleSwap</t>
        </is>
      </c>
      <c r="S48" s="4">
        <f>COUNTIFS($A$5:$A$214,Q48,$C$5:$C$214,R48)</f>
        <v/>
      </c>
      <c r="T48" s="4">
        <f>COUNTIFS($A$5:$A$214,Q48,$C$5:$C$214,R48,$D$5:$D$214,"&gt;0")</f>
        <v/>
      </c>
      <c r="U48" s="17">
        <f>IFERROR(AVERAGEIFS($D$5:$D$214,$A$5:$A$214,Q48,$C$5:$C$214,R48),"—")</f>
        <v/>
      </c>
      <c r="V48" s="17">
        <f>IFERROR(AVERAGEIFS($H$5:$H$214,$A$5:$A$214,Q48,$C$5:$C$214,R48),"—")</f>
        <v/>
      </c>
      <c r="W48" s="16">
        <f>IFERROR(AVERAGEIFS($I$5:$I$214,$A$5:$A$214,Q48,$C$5:$C$214,R48),"—")</f>
        <v/>
      </c>
      <c r="X48" s="16">
        <f>IFERROR(AVERAGEIFS($K$5:$K$214,$A$5:$A$214,Q48,$C$5:$C$214,R48),"—")</f>
        <v/>
      </c>
      <c r="Y48" s="20" t="n">
        <v>2</v>
      </c>
      <c r="Z48" s="4">
        <f>IF(T48=0,"NOT LISTED on Bridg",IF(NOT(ISNUMBER(X48)),"No direct quote",IF(ABS(X48)&lt;=Y48,"Match (net of Bridg fee)",IF(ABS(W48)&lt;=Y48,"Match (Bridg fee not applied)",IF(X48&lt;0,"Bridg LOWER than venue","Bridg HIGHER than venue")))))</f>
        <v/>
      </c>
    </row>
    <row r="49">
      <c r="A49" s="4" t="inlineStr">
        <is>
          <t>ETH → SOL</t>
        </is>
      </c>
      <c r="B49" s="4" t="n">
        <v>3</v>
      </c>
      <c r="C49" s="4" t="inlineStr">
        <is>
          <t>deBridge</t>
        </is>
      </c>
      <c r="D49" s="19" t="n">
        <v>98.077794</v>
      </c>
      <c r="E49" s="4" t="inlineStr"/>
      <c r="F49" s="19" t="n">
        <v>99.88003500000001</v>
      </c>
      <c r="G49" s="19" t="n">
        <v>6.6166</v>
      </c>
      <c r="H49" s="17">
        <f>IF(ISNUMBER(F49),F49-N(G49),"")</f>
        <v/>
      </c>
      <c r="I49" s="16">
        <f>IF(AND(ISNUMBER(D49),ISNUMBER(H49)),(D49-H49)/100*10000,"")</f>
        <v/>
      </c>
      <c r="J49" s="19" t="n">
        <v>0.05</v>
      </c>
      <c r="K49" s="16">
        <f>IF(ISNUMBER(I49),I49+N(J49)/100*10000,"")</f>
        <v/>
      </c>
      <c r="L49" s="13" t="n">
        <v>0.001</v>
      </c>
      <c r="M49" s="4" t="inlineStr">
        <is>
          <t>+6.6166 USDC charged on top of 100 input (subtracted)</t>
        </is>
      </c>
      <c r="N49" s="4" t="inlineStr">
        <is>
          <t>2026-09-23T14:27:28.356Z</t>
        </is>
      </c>
      <c r="O49" s="4" t="inlineStr">
        <is>
          <t>2026-09-23T14:27:28.355Z</t>
        </is>
      </c>
      <c r="Q49" s="4" t="inlineStr">
        <is>
          <t>BSC → SOL</t>
        </is>
      </c>
      <c r="R49" s="4" t="inlineStr">
        <is>
          <t>Symbiosis</t>
        </is>
      </c>
      <c r="S49" s="4">
        <f>COUNTIFS($A$5:$A$214,Q49,$C$5:$C$214,R49)</f>
        <v/>
      </c>
      <c r="T49" s="4">
        <f>COUNTIFS($A$5:$A$214,Q49,$C$5:$C$214,R49,$D$5:$D$214,"&gt;0")</f>
        <v/>
      </c>
      <c r="U49" s="17">
        <f>IFERROR(AVERAGEIFS($D$5:$D$214,$A$5:$A$214,Q49,$C$5:$C$214,R49),"—")</f>
        <v/>
      </c>
      <c r="V49" s="17">
        <f>IFERROR(AVERAGEIFS($H$5:$H$214,$A$5:$A$214,Q49,$C$5:$C$214,R49),"—")</f>
        <v/>
      </c>
      <c r="W49" s="16">
        <f>IFERROR(AVERAGEIFS($I$5:$I$214,$A$5:$A$214,Q49,$C$5:$C$214,R49),"—")</f>
        <v/>
      </c>
      <c r="X49" s="16">
        <f>IFERROR(AVERAGEIFS($K$5:$K$214,$A$5:$A$214,Q49,$C$5:$C$214,R49),"—")</f>
        <v/>
      </c>
      <c r="Y49" s="20" t="n">
        <v>2</v>
      </c>
      <c r="Z49" s="4">
        <f>IF(T49=0,"NOT LISTED on Bridg",IF(NOT(ISNUMBER(X49)),"No direct quote",IF(ABS(X49)&lt;=Y49,"Match (net of Bridg fee)",IF(ABS(W49)&lt;=Y49,"Match (Bridg fee not applied)",IF(X49&lt;0,"Bridg LOWER than venue","Bridg HIGHER than venue")))))</f>
        <v/>
      </c>
    </row>
    <row r="50">
      <c r="A50" s="4" t="inlineStr">
        <is>
          <t>ETH → SOL</t>
        </is>
      </c>
      <c r="B50" s="4" t="n">
        <v>1</v>
      </c>
      <c r="C50" s="4" t="inlineStr">
        <is>
          <t>LI.FI (Jumper)</t>
        </is>
      </c>
      <c r="D50" s="19" t="n">
        <v>98.994462</v>
      </c>
      <c r="E50" s="4" t="inlineStr"/>
      <c r="F50" s="19" t="n">
        <v>99.94570299999999</v>
      </c>
      <c r="G50" s="19" t="n"/>
      <c r="H50" s="17">
        <f>IF(ISNUMBER(F50),F50-N(G50),"")</f>
        <v/>
      </c>
      <c r="I50" s="16">
        <f>IF(AND(ISNUMBER(D50),ISNUMBER(H50)),(D50-H50)/100*10000,"")</f>
        <v/>
      </c>
      <c r="J50" s="19" t="n">
        <v>0.05</v>
      </c>
      <c r="K50" s="16">
        <f>IF(ISNUMBER(I50),I50+N(J50)/100*10000,"")</f>
        <v/>
      </c>
      <c r="L50" s="13" t="n">
        <v>0.001</v>
      </c>
      <c r="M50" s="4" t="inlineStr">
        <is>
          <t>Jumper Best Return via Relay; max route 100.0</t>
        </is>
      </c>
      <c r="N50" s="4" t="inlineStr">
        <is>
          <t>2026-09-23T14:19:28.697Z</t>
        </is>
      </c>
      <c r="O50" s="4" t="inlineStr">
        <is>
          <t>2026-09-23T14:19:28.698Z</t>
        </is>
      </c>
      <c r="Q50" s="4" t="inlineStr">
        <is>
          <t>SOL → Base</t>
        </is>
      </c>
      <c r="R50" s="4" t="inlineStr">
        <is>
          <t>Relay</t>
        </is>
      </c>
      <c r="S50" s="4">
        <f>COUNTIFS($A$5:$A$214,Q50,$C$5:$C$214,R50)</f>
        <v/>
      </c>
      <c r="T50" s="4">
        <f>COUNTIFS($A$5:$A$214,Q50,$C$5:$C$214,R50,$D$5:$D$214,"&gt;0")</f>
        <v/>
      </c>
      <c r="U50" s="17">
        <f>IFERROR(AVERAGEIFS($D$5:$D$214,$A$5:$A$214,Q50,$C$5:$C$214,R50),"—")</f>
        <v/>
      </c>
      <c r="V50" s="17">
        <f>IFERROR(AVERAGEIFS($H$5:$H$214,$A$5:$A$214,Q50,$C$5:$C$214,R50),"—")</f>
        <v/>
      </c>
      <c r="W50" s="16">
        <f>IFERROR(AVERAGEIFS($I$5:$I$214,$A$5:$A$214,Q50,$C$5:$C$214,R50),"—")</f>
        <v/>
      </c>
      <c r="X50" s="16">
        <f>IFERROR(AVERAGEIFS($K$5:$K$214,$A$5:$A$214,Q50,$C$5:$C$214,R50),"—")</f>
        <v/>
      </c>
      <c r="Y50" s="20" t="n">
        <v>2</v>
      </c>
      <c r="Z50" s="4">
        <f>IF(T50=0,"NOT LISTED on Bridg",IF(NOT(ISNUMBER(X50)),"No direct quote",IF(ABS(X50)&lt;=Y50,"Match (net of Bridg fee)",IF(ABS(W50)&lt;=Y50,"Match (Bridg fee not applied)",IF(X50&lt;0,"Bridg LOWER than venue","Bridg HIGHER than venue")))))</f>
        <v/>
      </c>
    </row>
    <row r="51">
      <c r="A51" s="4" t="inlineStr">
        <is>
          <t>ETH → SOL</t>
        </is>
      </c>
      <c r="B51" s="4" t="n">
        <v>2</v>
      </c>
      <c r="C51" s="4" t="inlineStr">
        <is>
          <t>LI.FI (Jumper)</t>
        </is>
      </c>
      <c r="D51" s="19" t="n">
        <v>98.995817</v>
      </c>
      <c r="E51" s="4" t="inlineStr"/>
      <c r="F51" s="19" t="n">
        <v>99.945717</v>
      </c>
      <c r="G51" s="19" t="n"/>
      <c r="H51" s="17">
        <f>IF(ISNUMBER(F51),F51-N(G51),"")</f>
        <v/>
      </c>
      <c r="I51" s="16">
        <f>IF(AND(ISNUMBER(D51),ISNUMBER(H51)),(D51-H51)/100*10000,"")</f>
        <v/>
      </c>
      <c r="J51" s="19" t="n">
        <v>0.05</v>
      </c>
      <c r="K51" s="16">
        <f>IF(ISNUMBER(I51),I51+N(J51)/100*10000,"")</f>
        <v/>
      </c>
      <c r="L51" s="13" t="n">
        <v>0.002</v>
      </c>
      <c r="M51" s="4" t="inlineStr">
        <is>
          <t>Jumper Best Return via Relay; max route 100.0</t>
        </is>
      </c>
      <c r="N51" s="4" t="inlineStr">
        <is>
          <t>2026-09-23T14:23:47.144Z</t>
        </is>
      </c>
      <c r="O51" s="4" t="inlineStr">
        <is>
          <t>2026-09-23T14:23:47.142Z</t>
        </is>
      </c>
      <c r="Q51" s="4" t="inlineStr">
        <is>
          <t>SOL → Base</t>
        </is>
      </c>
      <c r="R51" s="4" t="inlineStr">
        <is>
          <t>deBridge</t>
        </is>
      </c>
      <c r="S51" s="4">
        <f>COUNTIFS($A$5:$A$214,Q51,$C$5:$C$214,R51)</f>
        <v/>
      </c>
      <c r="T51" s="4">
        <f>COUNTIFS($A$5:$A$214,Q51,$C$5:$C$214,R51,$D$5:$D$214,"&gt;0")</f>
        <v/>
      </c>
      <c r="U51" s="17">
        <f>IFERROR(AVERAGEIFS($D$5:$D$214,$A$5:$A$214,Q51,$C$5:$C$214,R51),"—")</f>
        <v/>
      </c>
      <c r="V51" s="17">
        <f>IFERROR(AVERAGEIFS($H$5:$H$214,$A$5:$A$214,Q51,$C$5:$C$214,R51),"—")</f>
        <v/>
      </c>
      <c r="W51" s="16">
        <f>IFERROR(AVERAGEIFS($I$5:$I$214,$A$5:$A$214,Q51,$C$5:$C$214,R51),"—")</f>
        <v/>
      </c>
      <c r="X51" s="16">
        <f>IFERROR(AVERAGEIFS($K$5:$K$214,$A$5:$A$214,Q51,$C$5:$C$214,R51),"—")</f>
        <v/>
      </c>
      <c r="Y51" s="20" t="n">
        <v>2</v>
      </c>
      <c r="Z51" s="4">
        <f>IF(T51=0,"NOT LISTED on Bridg",IF(NOT(ISNUMBER(X51)),"No direct quote",IF(ABS(X51)&lt;=Y51,"Match (net of Bridg fee)",IF(ABS(W51)&lt;=Y51,"Match (Bridg fee not applied)",IF(X51&lt;0,"Bridg LOWER than venue","Bridg HIGHER than venue")))))</f>
        <v/>
      </c>
    </row>
    <row r="52">
      <c r="A52" s="4" t="inlineStr">
        <is>
          <t>ETH → SOL</t>
        </is>
      </c>
      <c r="B52" s="4" t="n">
        <v>3</v>
      </c>
      <c r="C52" s="4" t="inlineStr">
        <is>
          <t>LI.FI (Jumper)</t>
        </is>
      </c>
      <c r="D52" s="19" t="n">
        <v>98.99596</v>
      </c>
      <c r="E52" s="4" t="inlineStr"/>
      <c r="F52" s="19" t="n">
        <v>99.945713</v>
      </c>
      <c r="G52" s="19" t="n"/>
      <c r="H52" s="17">
        <f>IF(ISNUMBER(F52),F52-N(G52),"")</f>
        <v/>
      </c>
      <c r="I52" s="16">
        <f>IF(AND(ISNUMBER(D52),ISNUMBER(H52)),(D52-H52)/100*10000,"")</f>
        <v/>
      </c>
      <c r="J52" s="19" t="n">
        <v>0.05</v>
      </c>
      <c r="K52" s="16">
        <f>IF(ISNUMBER(I52),I52+N(J52)/100*10000,"")</f>
        <v/>
      </c>
      <c r="L52" s="13" t="n">
        <v>0</v>
      </c>
      <c r="M52" s="4" t="inlineStr">
        <is>
          <t>Jumper Best Return via Relay; max route 100.0</t>
        </is>
      </c>
      <c r="N52" s="4" t="inlineStr">
        <is>
          <t>2026-09-23T14:27:28.356Z</t>
        </is>
      </c>
      <c r="O52" s="4" t="inlineStr">
        <is>
          <t>2026-09-23T14:27:28.356Z</t>
        </is>
      </c>
      <c r="Q52" s="4" t="inlineStr">
        <is>
          <t>SOL → Base</t>
        </is>
      </c>
      <c r="R52" s="4" t="inlineStr">
        <is>
          <t>LI.FI (Jumper)</t>
        </is>
      </c>
      <c r="S52" s="4">
        <f>COUNTIFS($A$5:$A$214,Q52,$C$5:$C$214,R52)</f>
        <v/>
      </c>
      <c r="T52" s="4">
        <f>COUNTIFS($A$5:$A$214,Q52,$C$5:$C$214,R52,$D$5:$D$214,"&gt;0")</f>
        <v/>
      </c>
      <c r="U52" s="17">
        <f>IFERROR(AVERAGEIFS($D$5:$D$214,$A$5:$A$214,Q52,$C$5:$C$214,R52),"—")</f>
        <v/>
      </c>
      <c r="V52" s="17">
        <f>IFERROR(AVERAGEIFS($H$5:$H$214,$A$5:$A$214,Q52,$C$5:$C$214,R52),"—")</f>
        <v/>
      </c>
      <c r="W52" s="16">
        <f>IFERROR(AVERAGEIFS($I$5:$I$214,$A$5:$A$214,Q52,$C$5:$C$214,R52),"—")</f>
        <v/>
      </c>
      <c r="X52" s="16">
        <f>IFERROR(AVERAGEIFS($K$5:$K$214,$A$5:$A$214,Q52,$C$5:$C$214,R52),"—")</f>
        <v/>
      </c>
      <c r="Y52" s="20" t="n">
        <v>2</v>
      </c>
      <c r="Z52" s="4">
        <f>IF(T52=0,"NOT LISTED on Bridg",IF(NOT(ISNUMBER(X52)),"No direct quote",IF(ABS(X52)&lt;=Y52,"Match (net of Bridg fee)",IF(ABS(W52)&lt;=Y52,"Match (Bridg fee not applied)",IF(X52&lt;0,"Bridg LOWER than venue","Bridg HIGHER than venue")))))</f>
        <v/>
      </c>
    </row>
    <row r="53">
      <c r="A53" s="4" t="inlineStr">
        <is>
          <t>ETH → SOL</t>
        </is>
      </c>
      <c r="B53" s="4" t="n">
        <v>1</v>
      </c>
      <c r="C53" s="4" t="inlineStr">
        <is>
          <t>Across</t>
        </is>
      </c>
      <c r="D53" s="19" t="inlineStr">
        <is>
          <t>not listed</t>
        </is>
      </c>
      <c r="E53" s="4" t="inlineStr"/>
      <c r="F53" s="19" t="n">
        <v>99.98999999999999</v>
      </c>
      <c r="G53" s="19" t="n"/>
      <c r="H53" s="17">
        <f>IF(ISNUMBER(F53),F53-N(G53),"")</f>
        <v/>
      </c>
      <c r="I53" s="16">
        <f>IF(AND(ISNUMBER(D53),ISNUMBER(H53)),(D53-H53)/100*10000,"")</f>
        <v/>
      </c>
      <c r="J53" s="19" t="n">
        <v>0.05</v>
      </c>
      <c r="K53" s="16">
        <f>IF(ISNUMBER(I53),I53+N(J53)/100*10000,"")</f>
        <v/>
      </c>
      <c r="L53" s="13" t="n">
        <v>0</v>
      </c>
      <c r="M53" s="4" t="inlineStr"/>
      <c r="N53" s="4" t="inlineStr">
        <is>
          <t>2026-09-23T14:19:28.697Z</t>
        </is>
      </c>
      <c r="O53" s="4" t="inlineStr">
        <is>
          <t>2026-09-23T14:19:28.697Z</t>
        </is>
      </c>
      <c r="Q53" s="4" t="inlineStr">
        <is>
          <t>SOL → Base</t>
        </is>
      </c>
      <c r="R53" s="4" t="inlineStr">
        <is>
          <t>Across</t>
        </is>
      </c>
      <c r="S53" s="4">
        <f>COUNTIFS($A$5:$A$214,Q53,$C$5:$C$214,R53)</f>
        <v/>
      </c>
      <c r="T53" s="4">
        <f>COUNTIFS($A$5:$A$214,Q53,$C$5:$C$214,R53,$D$5:$D$214,"&gt;0")</f>
        <v/>
      </c>
      <c r="U53" s="17">
        <f>IFERROR(AVERAGEIFS($D$5:$D$214,$A$5:$A$214,Q53,$C$5:$C$214,R53),"—")</f>
        <v/>
      </c>
      <c r="V53" s="17">
        <f>IFERROR(AVERAGEIFS($H$5:$H$214,$A$5:$A$214,Q53,$C$5:$C$214,R53),"—")</f>
        <v/>
      </c>
      <c r="W53" s="16">
        <f>IFERROR(AVERAGEIFS($I$5:$I$214,$A$5:$A$214,Q53,$C$5:$C$214,R53),"—")</f>
        <v/>
      </c>
      <c r="X53" s="16">
        <f>IFERROR(AVERAGEIFS($K$5:$K$214,$A$5:$A$214,Q53,$C$5:$C$214,R53),"—")</f>
        <v/>
      </c>
      <c r="Y53" s="20" t="n">
        <v>2</v>
      </c>
      <c r="Z53" s="4">
        <f>IF(T53=0,"NOT LISTED on Bridg",IF(NOT(ISNUMBER(X53)),"No direct quote",IF(ABS(X53)&lt;=Y53,"Match (net of Bridg fee)",IF(ABS(W53)&lt;=Y53,"Match (Bridg fee not applied)",IF(X53&lt;0,"Bridg LOWER than venue","Bridg HIGHER than venue")))))</f>
        <v/>
      </c>
    </row>
    <row r="54">
      <c r="A54" s="4" t="inlineStr">
        <is>
          <t>ETH → SOL</t>
        </is>
      </c>
      <c r="B54" s="4" t="n">
        <v>2</v>
      </c>
      <c r="C54" s="4" t="inlineStr">
        <is>
          <t>Across</t>
        </is>
      </c>
      <c r="D54" s="19" t="inlineStr">
        <is>
          <t>not listed</t>
        </is>
      </c>
      <c r="E54" s="4" t="inlineStr"/>
      <c r="F54" s="19" t="n">
        <v>99.98999999999999</v>
      </c>
      <c r="G54" s="19" t="n"/>
      <c r="H54" s="17">
        <f>IF(ISNUMBER(F54),F54-N(G54),"")</f>
        <v/>
      </c>
      <c r="I54" s="16">
        <f>IF(AND(ISNUMBER(D54),ISNUMBER(H54)),(D54-H54)/100*10000,"")</f>
        <v/>
      </c>
      <c r="J54" s="19" t="n">
        <v>0.05</v>
      </c>
      <c r="K54" s="16">
        <f>IF(ISNUMBER(I54),I54+N(J54)/100*10000,"")</f>
        <v/>
      </c>
      <c r="L54" s="13" t="n">
        <v>0.005</v>
      </c>
      <c r="M54" s="4" t="inlineStr"/>
      <c r="N54" s="4" t="inlineStr">
        <is>
          <t>2026-09-23T14:23:47.144Z</t>
        </is>
      </c>
      <c r="O54" s="4" t="inlineStr">
        <is>
          <t>2026-09-23T14:23:47.139Z</t>
        </is>
      </c>
      <c r="Q54" s="4" t="inlineStr">
        <is>
          <t>SOL → Base</t>
        </is>
      </c>
      <c r="R54" s="4" t="inlineStr">
        <is>
          <t>Mayan</t>
        </is>
      </c>
      <c r="S54" s="4">
        <f>COUNTIFS($A$5:$A$214,Q54,$C$5:$C$214,R54)</f>
        <v/>
      </c>
      <c r="T54" s="4">
        <f>COUNTIFS($A$5:$A$214,Q54,$C$5:$C$214,R54,$D$5:$D$214,"&gt;0")</f>
        <v/>
      </c>
      <c r="U54" s="17">
        <f>IFERROR(AVERAGEIFS($D$5:$D$214,$A$5:$A$214,Q54,$C$5:$C$214,R54),"—")</f>
        <v/>
      </c>
      <c r="V54" s="17">
        <f>IFERROR(AVERAGEIFS($H$5:$H$214,$A$5:$A$214,Q54,$C$5:$C$214,R54),"—")</f>
        <v/>
      </c>
      <c r="W54" s="16">
        <f>IFERROR(AVERAGEIFS($I$5:$I$214,$A$5:$A$214,Q54,$C$5:$C$214,R54),"—")</f>
        <v/>
      </c>
      <c r="X54" s="16">
        <f>IFERROR(AVERAGEIFS($K$5:$K$214,$A$5:$A$214,Q54,$C$5:$C$214,R54),"—")</f>
        <v/>
      </c>
      <c r="Y54" s="20" t="n">
        <v>4</v>
      </c>
      <c r="Z54" s="4">
        <f>IF(T54=0,"NOT LISTED on Bridg",IF(NOT(ISNUMBER(X54)),"No direct quote",IF(ABS(X54)&lt;=Y54,"Match (net of Bridg fee)",IF(ABS(W54)&lt;=Y54,"Match (Bridg fee not applied)",IF(X54&lt;0,"Bridg LOWER than venue","Bridg HIGHER than venue")))))</f>
        <v/>
      </c>
    </row>
    <row r="55">
      <c r="A55" s="4" t="inlineStr">
        <is>
          <t>ETH → SOL</t>
        </is>
      </c>
      <c r="B55" s="4" t="n">
        <v>3</v>
      </c>
      <c r="C55" s="4" t="inlineStr">
        <is>
          <t>Across</t>
        </is>
      </c>
      <c r="D55" s="19" t="inlineStr">
        <is>
          <t>not listed</t>
        </is>
      </c>
      <c r="E55" s="4" t="inlineStr"/>
      <c r="F55" s="19" t="n">
        <v>99.98999999999999</v>
      </c>
      <c r="G55" s="19" t="n"/>
      <c r="H55" s="17">
        <f>IF(ISNUMBER(F55),F55-N(G55),"")</f>
        <v/>
      </c>
      <c r="I55" s="16">
        <f>IF(AND(ISNUMBER(D55),ISNUMBER(H55)),(D55-H55)/100*10000,"")</f>
        <v/>
      </c>
      <c r="J55" s="19" t="n">
        <v>0.05</v>
      </c>
      <c r="K55" s="16">
        <f>IF(ISNUMBER(I55),I55+N(J55)/100*10000,"")</f>
        <v/>
      </c>
      <c r="L55" s="13" t="n">
        <v>0.001</v>
      </c>
      <c r="M55" s="4" t="inlineStr"/>
      <c r="N55" s="4" t="inlineStr">
        <is>
          <t>2026-09-23T14:27:28.356Z</t>
        </is>
      </c>
      <c r="O55" s="4" t="inlineStr">
        <is>
          <t>2026-09-23T14:27:28.355Z</t>
        </is>
      </c>
      <c r="Q55" s="4" t="inlineStr">
        <is>
          <t>SOL → Base</t>
        </is>
      </c>
      <c r="R55" s="4" t="inlineStr">
        <is>
          <t>Allbridge Core</t>
        </is>
      </c>
      <c r="S55" s="4">
        <f>COUNTIFS($A$5:$A$214,Q55,$C$5:$C$214,R55)</f>
        <v/>
      </c>
      <c r="T55" s="4">
        <f>COUNTIFS($A$5:$A$214,Q55,$C$5:$C$214,R55,$D$5:$D$214,"&gt;0")</f>
        <v/>
      </c>
      <c r="U55" s="17">
        <f>IFERROR(AVERAGEIFS($D$5:$D$214,$A$5:$A$214,Q55,$C$5:$C$214,R55),"—")</f>
        <v/>
      </c>
      <c r="V55" s="17">
        <f>IFERROR(AVERAGEIFS($H$5:$H$214,$A$5:$A$214,Q55,$C$5:$C$214,R55),"—")</f>
        <v/>
      </c>
      <c r="W55" s="16">
        <f>IFERROR(AVERAGEIFS($I$5:$I$214,$A$5:$A$214,Q55,$C$5:$C$214,R55),"—")</f>
        <v/>
      </c>
      <c r="X55" s="16">
        <f>IFERROR(AVERAGEIFS($K$5:$K$214,$A$5:$A$214,Q55,$C$5:$C$214,R55),"—")</f>
        <v/>
      </c>
      <c r="Y55" s="20" t="n">
        <v>2</v>
      </c>
      <c r="Z55" s="4">
        <f>IF(T55=0,"NOT LISTED on Bridg",IF(NOT(ISNUMBER(X55)),"No direct quote",IF(ABS(X55)&lt;=Y55,"Match (net of Bridg fee)",IF(ABS(W55)&lt;=Y55,"Match (Bridg fee not applied)",IF(X55&lt;0,"Bridg LOWER than venue","Bridg HIGHER than venue")))))</f>
        <v/>
      </c>
    </row>
    <row r="56">
      <c r="A56" s="4" t="inlineStr">
        <is>
          <t>ETH → SOL</t>
        </is>
      </c>
      <c r="B56" s="4" t="n">
        <v>1</v>
      </c>
      <c r="C56" s="4" t="inlineStr">
        <is>
          <t>Mayan</t>
        </is>
      </c>
      <c r="D56" s="19" t="n">
        <v>99.012777</v>
      </c>
      <c r="E56" s="4" t="inlineStr"/>
      <c r="F56" s="19" t="n">
        <v>99.0127</v>
      </c>
      <c r="G56" s="19" t="n"/>
      <c r="H56" s="17">
        <f>IF(ISNUMBER(F56),F56-N(G56),"")</f>
        <v/>
      </c>
      <c r="I56" s="16">
        <f>IF(AND(ISNUMBER(D56),ISNUMBER(H56)),(D56-H56)/100*10000,"")</f>
        <v/>
      </c>
      <c r="J56" s="19" t="n">
        <v>0.05</v>
      </c>
      <c r="K56" s="16">
        <f>IF(ISNUMBER(I56),I56+N(J56)/100*10000,"")</f>
        <v/>
      </c>
      <c r="L56" s="13" t="n">
        <v>0.001</v>
      </c>
      <c r="M56" s="4" t="inlineStr">
        <is>
          <t>Swift v2; UI shows 4 dp</t>
        </is>
      </c>
      <c r="N56" s="4" t="inlineStr">
        <is>
          <t>2026-09-23T14:19:28.697Z</t>
        </is>
      </c>
      <c r="O56" s="4" t="inlineStr">
        <is>
          <t>2026-09-23T14:19:28.698Z</t>
        </is>
      </c>
      <c r="Q56" s="4" t="inlineStr">
        <is>
          <t>SOL → Base</t>
        </is>
      </c>
      <c r="R56" s="4" t="inlineStr">
        <is>
          <t>CCTP (via Portal)</t>
        </is>
      </c>
      <c r="S56" s="4">
        <f>COUNTIFS($A$5:$A$214,Q56,$C$5:$C$214,R56)</f>
        <v/>
      </c>
      <c r="T56" s="4">
        <f>COUNTIFS($A$5:$A$214,Q56,$C$5:$C$214,R56,$D$5:$D$214,"&gt;0")</f>
        <v/>
      </c>
      <c r="U56" s="17">
        <f>IFERROR(AVERAGEIFS($D$5:$D$214,$A$5:$A$214,Q56,$C$5:$C$214,R56),"—")</f>
        <v/>
      </c>
      <c r="V56" s="17">
        <f>IFERROR(AVERAGEIFS($H$5:$H$214,$A$5:$A$214,Q56,$C$5:$C$214,R56),"—")</f>
        <v/>
      </c>
      <c r="W56" s="16">
        <f>IFERROR(AVERAGEIFS($I$5:$I$214,$A$5:$A$214,Q56,$C$5:$C$214,R56),"—")</f>
        <v/>
      </c>
      <c r="X56" s="16">
        <f>IFERROR(AVERAGEIFS($K$5:$K$214,$A$5:$A$214,Q56,$C$5:$C$214,R56),"—")</f>
        <v/>
      </c>
      <c r="Y56" s="20" t="n">
        <v>2</v>
      </c>
      <c r="Z56" s="4">
        <f>IF(T56=0,"NOT LISTED on Bridg",IF(NOT(ISNUMBER(X56)),"No direct quote",IF(ABS(X56)&lt;=Y56,"Match (net of Bridg fee)",IF(ABS(W56)&lt;=Y56,"Match (Bridg fee not applied)",IF(X56&lt;0,"Bridg LOWER than venue","Bridg HIGHER than venue")))))</f>
        <v/>
      </c>
    </row>
    <row r="57">
      <c r="A57" s="4" t="inlineStr">
        <is>
          <t>ETH → SOL</t>
        </is>
      </c>
      <c r="B57" s="4" t="n">
        <v>2</v>
      </c>
      <c r="C57" s="4" t="inlineStr">
        <is>
          <t>Mayan</t>
        </is>
      </c>
      <c r="D57" s="19" t="n">
        <v>98.970404</v>
      </c>
      <c r="E57" s="4" t="inlineStr"/>
      <c r="F57" s="19" t="n">
        <v>98.9619</v>
      </c>
      <c r="G57" s="19" t="n"/>
      <c r="H57" s="17">
        <f>IF(ISNUMBER(F57),F57-N(G57),"")</f>
        <v/>
      </c>
      <c r="I57" s="16">
        <f>IF(AND(ISNUMBER(D57),ISNUMBER(H57)),(D57-H57)/100*10000,"")</f>
        <v/>
      </c>
      <c r="J57" s="19" t="n">
        <v>0.05</v>
      </c>
      <c r="K57" s="16">
        <f>IF(ISNUMBER(I57),I57+N(J57)/100*10000,"")</f>
        <v/>
      </c>
      <c r="L57" s="13" t="n">
        <v>0.004</v>
      </c>
      <c r="M57" s="4" t="inlineStr">
        <is>
          <t>Swift v2; UI shows 4 dp</t>
        </is>
      </c>
      <c r="N57" s="4" t="inlineStr">
        <is>
          <t>2026-09-23T14:23:47.144Z</t>
        </is>
      </c>
      <c r="O57" s="4" t="inlineStr">
        <is>
          <t>2026-09-23T14:23:47.140Z</t>
        </is>
      </c>
      <c r="Q57" s="4" t="inlineStr">
        <is>
          <t>SOL → Base</t>
        </is>
      </c>
      <c r="R57" s="4" t="inlineStr">
        <is>
          <t>Husher</t>
        </is>
      </c>
      <c r="S57" s="4">
        <f>COUNTIFS($A$5:$A$214,Q57,$C$5:$C$214,R57)</f>
        <v/>
      </c>
      <c r="T57" s="4">
        <f>COUNTIFS($A$5:$A$214,Q57,$C$5:$C$214,R57,$D$5:$D$214,"&gt;0")</f>
        <v/>
      </c>
      <c r="U57" s="17">
        <f>IFERROR(AVERAGEIFS($D$5:$D$214,$A$5:$A$214,Q57,$C$5:$C$214,R57),"—")</f>
        <v/>
      </c>
      <c r="V57" s="17">
        <f>IFERROR(AVERAGEIFS($H$5:$H$214,$A$5:$A$214,Q57,$C$5:$C$214,R57),"—")</f>
        <v/>
      </c>
      <c r="W57" s="16">
        <f>IFERROR(AVERAGEIFS($I$5:$I$214,$A$5:$A$214,Q57,$C$5:$C$214,R57),"—")</f>
        <v/>
      </c>
      <c r="X57" s="16">
        <f>IFERROR(AVERAGEIFS($K$5:$K$214,$A$5:$A$214,Q57,$C$5:$C$214,R57),"—")</f>
        <v/>
      </c>
      <c r="Y57" s="20" t="n">
        <v>2</v>
      </c>
      <c r="Z57" s="4">
        <f>IF(T57=0,"NOT LISTED on Bridg",IF(NOT(ISNUMBER(X57)),"No direct quote",IF(ABS(X57)&lt;=Y57,"Match (net of Bridg fee)",IF(ABS(W57)&lt;=Y57,"Match (Bridg fee not applied)",IF(X57&lt;0,"Bridg LOWER than venue","Bridg HIGHER than venue")))))</f>
        <v/>
      </c>
    </row>
    <row r="58">
      <c r="A58" s="4" t="inlineStr">
        <is>
          <t>ETH → SOL</t>
        </is>
      </c>
      <c r="B58" s="4" t="n">
        <v>3</v>
      </c>
      <c r="C58" s="4" t="inlineStr">
        <is>
          <t>Mayan</t>
        </is>
      </c>
      <c r="D58" s="19" t="n">
        <v>99.028479</v>
      </c>
      <c r="E58" s="4" t="inlineStr"/>
      <c r="F58" s="19" t="n">
        <v>99.0287</v>
      </c>
      <c r="G58" s="19" t="n"/>
      <c r="H58" s="17">
        <f>IF(ISNUMBER(F58),F58-N(G58),"")</f>
        <v/>
      </c>
      <c r="I58" s="16">
        <f>IF(AND(ISNUMBER(D58),ISNUMBER(H58)),(D58-H58)/100*10000,"")</f>
        <v/>
      </c>
      <c r="J58" s="19" t="n">
        <v>0.05</v>
      </c>
      <c r="K58" s="16">
        <f>IF(ISNUMBER(I58),I58+N(J58)/100*10000,"")</f>
        <v/>
      </c>
      <c r="L58" s="13" t="n">
        <v>0.002</v>
      </c>
      <c r="M58" s="4" t="inlineStr">
        <is>
          <t>Swift v2; UI shows 4 dp</t>
        </is>
      </c>
      <c r="N58" s="4" t="inlineStr">
        <is>
          <t>2026-09-23T14:27:28.356Z</t>
        </is>
      </c>
      <c r="O58" s="4" t="inlineStr">
        <is>
          <t>2026-09-23T14:27:28.354Z</t>
        </is>
      </c>
      <c r="Q58" s="4" t="inlineStr">
        <is>
          <t>SOL → Base</t>
        </is>
      </c>
      <c r="R58" s="4" t="inlineStr">
        <is>
          <t>Layerswap</t>
        </is>
      </c>
      <c r="S58" s="4">
        <f>COUNTIFS($A$5:$A$214,Q58,$C$5:$C$214,R58)</f>
        <v/>
      </c>
      <c r="T58" s="4">
        <f>COUNTIFS($A$5:$A$214,Q58,$C$5:$C$214,R58,$D$5:$D$214,"&gt;0")</f>
        <v/>
      </c>
      <c r="U58" s="17">
        <f>IFERROR(AVERAGEIFS($D$5:$D$214,$A$5:$A$214,Q58,$C$5:$C$214,R58),"—")</f>
        <v/>
      </c>
      <c r="V58" s="17">
        <f>IFERROR(AVERAGEIFS($H$5:$H$214,$A$5:$A$214,Q58,$C$5:$C$214,R58),"—")</f>
        <v/>
      </c>
      <c r="W58" s="16">
        <f>IFERROR(AVERAGEIFS($I$5:$I$214,$A$5:$A$214,Q58,$C$5:$C$214,R58),"—")</f>
        <v/>
      </c>
      <c r="X58" s="16">
        <f>IFERROR(AVERAGEIFS($K$5:$K$214,$A$5:$A$214,Q58,$C$5:$C$214,R58),"—")</f>
        <v/>
      </c>
      <c r="Y58" s="20" t="n">
        <v>2</v>
      </c>
      <c r="Z58" s="4">
        <f>IF(T58=0,"NOT LISTED on Bridg",IF(NOT(ISNUMBER(X58)),"No direct quote",IF(ABS(X58)&lt;=Y58,"Match (net of Bridg fee)",IF(ABS(W58)&lt;=Y58,"Match (Bridg fee not applied)",IF(X58&lt;0,"Bridg LOWER than venue","Bridg HIGHER than venue")))))</f>
        <v/>
      </c>
    </row>
    <row r="59">
      <c r="A59" s="4" t="inlineStr">
        <is>
          <t>ETH → SOL</t>
        </is>
      </c>
      <c r="B59" s="4" t="n">
        <v>1</v>
      </c>
      <c r="C59" s="4" t="inlineStr">
        <is>
          <t>Allbridge Core</t>
        </is>
      </c>
      <c r="D59" s="19" t="n">
        <v>99.85005</v>
      </c>
      <c r="E59" s="4" t="inlineStr"/>
      <c r="F59" s="19" t="n">
        <v>99.90000000000001</v>
      </c>
      <c r="G59" s="19" t="n"/>
      <c r="H59" s="17">
        <f>IF(ISNUMBER(F59),F59-N(G59),"")</f>
        <v/>
      </c>
      <c r="I59" s="16">
        <f>IF(AND(ISNUMBER(D59),ISNUMBER(H59)),(D59-H59)/100*10000,"")</f>
        <v/>
      </c>
      <c r="J59" s="19" t="n">
        <v>0.05</v>
      </c>
      <c r="K59" s="16">
        <f>IF(ISNUMBER(I59),I59+N(J59)/100*10000,"")</f>
        <v/>
      </c>
      <c r="L59" s="13" t="n">
        <v>0</v>
      </c>
      <c r="M59" s="4" t="inlineStr">
        <is>
          <t>+0.000137 ETH (relayer fee, fee=native) charged on top of 100 input (not converted)</t>
        </is>
      </c>
      <c r="N59" s="4" t="inlineStr">
        <is>
          <t>2026-09-23T14:19:28.697Z</t>
        </is>
      </c>
      <c r="O59" s="4" t="inlineStr">
        <is>
          <t>2026-09-23T14:19:28.697Z</t>
        </is>
      </c>
      <c r="Q59" s="4" t="inlineStr">
        <is>
          <t>SOL → Base</t>
        </is>
      </c>
      <c r="R59" s="4" t="inlineStr">
        <is>
          <t>Meson</t>
        </is>
      </c>
      <c r="S59" s="4">
        <f>COUNTIFS($A$5:$A$214,Q59,$C$5:$C$214,R59)</f>
        <v/>
      </c>
      <c r="T59" s="4">
        <f>COUNTIFS($A$5:$A$214,Q59,$C$5:$C$214,R59,$D$5:$D$214,"&gt;0")</f>
        <v/>
      </c>
      <c r="U59" s="17">
        <f>IFERROR(AVERAGEIFS($D$5:$D$214,$A$5:$A$214,Q59,$C$5:$C$214,R59),"—")</f>
        <v/>
      </c>
      <c r="V59" s="17">
        <f>IFERROR(AVERAGEIFS($H$5:$H$214,$A$5:$A$214,Q59,$C$5:$C$214,R59),"—")</f>
        <v/>
      </c>
      <c r="W59" s="16">
        <f>IFERROR(AVERAGEIFS($I$5:$I$214,$A$5:$A$214,Q59,$C$5:$C$214,R59),"—")</f>
        <v/>
      </c>
      <c r="X59" s="16">
        <f>IFERROR(AVERAGEIFS($K$5:$K$214,$A$5:$A$214,Q59,$C$5:$C$214,R59),"—")</f>
        <v/>
      </c>
      <c r="Y59" s="20" t="n">
        <v>2</v>
      </c>
      <c r="Z59" s="4">
        <f>IF(T59=0,"NOT LISTED on Bridg",IF(NOT(ISNUMBER(X59)),"No direct quote",IF(ABS(X59)&lt;=Y59,"Match (net of Bridg fee)",IF(ABS(W59)&lt;=Y59,"Match (Bridg fee not applied)",IF(X59&lt;0,"Bridg LOWER than venue","Bridg HIGHER than venue")))))</f>
        <v/>
      </c>
    </row>
    <row r="60">
      <c r="A60" s="4" t="inlineStr">
        <is>
          <t>ETH → SOL</t>
        </is>
      </c>
      <c r="B60" s="4" t="n">
        <v>2</v>
      </c>
      <c r="C60" s="4" t="inlineStr">
        <is>
          <t>Allbridge Core</t>
        </is>
      </c>
      <c r="D60" s="19" t="n">
        <v>99.85005</v>
      </c>
      <c r="E60" s="4" t="inlineStr"/>
      <c r="F60" s="19" t="n">
        <v>99.90000000000001</v>
      </c>
      <c r="G60" s="19" t="n"/>
      <c r="H60" s="17">
        <f>IF(ISNUMBER(F60),F60-N(G60),"")</f>
        <v/>
      </c>
      <c r="I60" s="16">
        <f>IF(AND(ISNUMBER(D60),ISNUMBER(H60)),(D60-H60)/100*10000,"")</f>
        <v/>
      </c>
      <c r="J60" s="19" t="n">
        <v>0.05</v>
      </c>
      <c r="K60" s="16">
        <f>IF(ISNUMBER(I60),I60+N(J60)/100*10000,"")</f>
        <v/>
      </c>
      <c r="L60" s="13" t="n">
        <v>0.005</v>
      </c>
      <c r="M60" s="4" t="inlineStr">
        <is>
          <t>+0.000137 ETH (relayer fee, fee=native) charged on top of 100 input (not converted)</t>
        </is>
      </c>
      <c r="N60" s="4" t="inlineStr">
        <is>
          <t>2026-09-23T14:23:47.144Z</t>
        </is>
      </c>
      <c r="O60" s="4" t="inlineStr">
        <is>
          <t>2026-09-23T14:23:47.139Z</t>
        </is>
      </c>
      <c r="Q60" s="4" t="inlineStr">
        <is>
          <t>SOL → Base</t>
        </is>
      </c>
      <c r="R60" s="4" t="inlineStr">
        <is>
          <t>SimpleSwap</t>
        </is>
      </c>
      <c r="S60" s="4">
        <f>COUNTIFS($A$5:$A$214,Q60,$C$5:$C$214,R60)</f>
        <v/>
      </c>
      <c r="T60" s="4">
        <f>COUNTIFS($A$5:$A$214,Q60,$C$5:$C$214,R60,$D$5:$D$214,"&gt;0")</f>
        <v/>
      </c>
      <c r="U60" s="17">
        <f>IFERROR(AVERAGEIFS($D$5:$D$214,$A$5:$A$214,Q60,$C$5:$C$214,R60),"—")</f>
        <v/>
      </c>
      <c r="V60" s="17">
        <f>IFERROR(AVERAGEIFS($H$5:$H$214,$A$5:$A$214,Q60,$C$5:$C$214,R60),"—")</f>
        <v/>
      </c>
      <c r="W60" s="16">
        <f>IFERROR(AVERAGEIFS($I$5:$I$214,$A$5:$A$214,Q60,$C$5:$C$214,R60),"—")</f>
        <v/>
      </c>
      <c r="X60" s="16">
        <f>IFERROR(AVERAGEIFS($K$5:$K$214,$A$5:$A$214,Q60,$C$5:$C$214,R60),"—")</f>
        <v/>
      </c>
      <c r="Y60" s="20" t="n">
        <v>2</v>
      </c>
      <c r="Z60" s="4">
        <f>IF(T60=0,"NOT LISTED on Bridg",IF(NOT(ISNUMBER(X60)),"No direct quote",IF(ABS(X60)&lt;=Y60,"Match (net of Bridg fee)",IF(ABS(W60)&lt;=Y60,"Match (Bridg fee not applied)",IF(X60&lt;0,"Bridg LOWER than venue","Bridg HIGHER than venue")))))</f>
        <v/>
      </c>
    </row>
    <row r="61">
      <c r="A61" s="4" t="inlineStr">
        <is>
          <t>ETH → SOL</t>
        </is>
      </c>
      <c r="B61" s="4" t="n">
        <v>3</v>
      </c>
      <c r="C61" s="4" t="inlineStr">
        <is>
          <t>Allbridge Core</t>
        </is>
      </c>
      <c r="D61" s="19" t="n">
        <v>99.85005</v>
      </c>
      <c r="E61" s="4" t="inlineStr"/>
      <c r="F61" s="19" t="n">
        <v>99.90000000000001</v>
      </c>
      <c r="G61" s="19" t="n"/>
      <c r="H61" s="17">
        <f>IF(ISNUMBER(F61),F61-N(G61),"")</f>
        <v/>
      </c>
      <c r="I61" s="16">
        <f>IF(AND(ISNUMBER(D61),ISNUMBER(H61)),(D61-H61)/100*10000,"")</f>
        <v/>
      </c>
      <c r="J61" s="19" t="n">
        <v>0.05</v>
      </c>
      <c r="K61" s="16">
        <f>IF(ISNUMBER(I61),I61+N(J61)/100*10000,"")</f>
        <v/>
      </c>
      <c r="L61" s="13" t="n">
        <v>0.002</v>
      </c>
      <c r="M61" s="4" t="inlineStr">
        <is>
          <t>+0.000137 ETH (relayer fee, fee=native) charged on top of 100 input (not converted)</t>
        </is>
      </c>
      <c r="N61" s="4" t="inlineStr">
        <is>
          <t>2026-09-23T14:27:28.356Z</t>
        </is>
      </c>
      <c r="O61" s="4" t="inlineStr">
        <is>
          <t>2026-09-23T14:27:28.354Z</t>
        </is>
      </c>
      <c r="Q61" s="4" t="inlineStr">
        <is>
          <t>SOL → Base</t>
        </is>
      </c>
      <c r="R61" s="4" t="inlineStr">
        <is>
          <t>Skip Go</t>
        </is>
      </c>
      <c r="S61" s="4">
        <f>COUNTIFS($A$5:$A$214,Q61,$C$5:$C$214,R61)</f>
        <v/>
      </c>
      <c r="T61" s="4">
        <f>COUNTIFS($A$5:$A$214,Q61,$C$5:$C$214,R61,$D$5:$D$214,"&gt;0")</f>
        <v/>
      </c>
      <c r="U61" s="17">
        <f>IFERROR(AVERAGEIFS($D$5:$D$214,$A$5:$A$214,Q61,$C$5:$C$214,R61),"—")</f>
        <v/>
      </c>
      <c r="V61" s="17">
        <f>IFERROR(AVERAGEIFS($H$5:$H$214,$A$5:$A$214,Q61,$C$5:$C$214,R61),"—")</f>
        <v/>
      </c>
      <c r="W61" s="16">
        <f>IFERROR(AVERAGEIFS($I$5:$I$214,$A$5:$A$214,Q61,$C$5:$C$214,R61),"—")</f>
        <v/>
      </c>
      <c r="X61" s="16">
        <f>IFERROR(AVERAGEIFS($K$5:$K$214,$A$5:$A$214,Q61,$C$5:$C$214,R61),"—")</f>
        <v/>
      </c>
      <c r="Y61" s="20" t="n">
        <v>2</v>
      </c>
      <c r="Z61" s="4">
        <f>IF(T61=0,"NOT LISTED on Bridg",IF(NOT(ISNUMBER(X61)),"No direct quote",IF(ABS(X61)&lt;=Y61,"Match (net of Bridg fee)",IF(ABS(W61)&lt;=Y61,"Match (Bridg fee not applied)",IF(X61&lt;0,"Bridg LOWER than venue","Bridg HIGHER than venue")))))</f>
        <v/>
      </c>
    </row>
    <row r="62">
      <c r="A62" s="4" t="inlineStr">
        <is>
          <t>ETH → SOL</t>
        </is>
      </c>
      <c r="B62" s="4" t="n">
        <v>1</v>
      </c>
      <c r="C62" s="4" t="inlineStr">
        <is>
          <t>CCTP (via Portal)</t>
        </is>
      </c>
      <c r="D62" s="19" t="n">
        <v>99.78165799999999</v>
      </c>
      <c r="E62" s="4" t="inlineStr"/>
      <c r="F62" s="19" t="n">
        <v>99.980001</v>
      </c>
      <c r="G62" s="19" t="n"/>
      <c r="H62" s="17">
        <f>IF(ISNUMBER(F62),F62-N(G62),"")</f>
        <v/>
      </c>
      <c r="I62" s="16">
        <f>IF(AND(ISNUMBER(D62),ISNUMBER(H62)),(D62-H62)/100*10000,"")</f>
        <v/>
      </c>
      <c r="J62" s="19" t="n">
        <v>0.05</v>
      </c>
      <c r="K62" s="16">
        <f>IF(ISNUMBER(I62),I62+N(J62)/100*10000,"")</f>
        <v/>
      </c>
      <c r="L62" s="13" t="n">
        <v>0.001</v>
      </c>
      <c r="M62" s="4" t="inlineStr">
        <is>
          <t>via Portal (CCTPv2FastExecutorRoute); executor fee hidden until wallet connect</t>
        </is>
      </c>
      <c r="N62" s="4" t="inlineStr">
        <is>
          <t>2026-09-23T14:19:28.697Z</t>
        </is>
      </c>
      <c r="O62" s="4" t="inlineStr">
        <is>
          <t>2026-09-23T14:19:28.696Z</t>
        </is>
      </c>
      <c r="Q62" s="4" t="inlineStr">
        <is>
          <t>Base → SOL</t>
        </is>
      </c>
      <c r="R62" s="4" t="inlineStr">
        <is>
          <t>Relay</t>
        </is>
      </c>
      <c r="S62" s="4">
        <f>COUNTIFS($A$5:$A$214,Q62,$C$5:$C$214,R62)</f>
        <v/>
      </c>
      <c r="T62" s="4">
        <f>COUNTIFS($A$5:$A$214,Q62,$C$5:$C$214,R62,$D$5:$D$214,"&gt;0")</f>
        <v/>
      </c>
      <c r="U62" s="17">
        <f>IFERROR(AVERAGEIFS($D$5:$D$214,$A$5:$A$214,Q62,$C$5:$C$214,R62),"—")</f>
        <v/>
      </c>
      <c r="V62" s="17">
        <f>IFERROR(AVERAGEIFS($H$5:$H$214,$A$5:$A$214,Q62,$C$5:$C$214,R62),"—")</f>
        <v/>
      </c>
      <c r="W62" s="16">
        <f>IFERROR(AVERAGEIFS($I$5:$I$214,$A$5:$A$214,Q62,$C$5:$C$214,R62),"—")</f>
        <v/>
      </c>
      <c r="X62" s="16">
        <f>IFERROR(AVERAGEIFS($K$5:$K$214,$A$5:$A$214,Q62,$C$5:$C$214,R62),"—")</f>
        <v/>
      </c>
      <c r="Y62" s="20" t="n">
        <v>2</v>
      </c>
      <c r="Z62" s="4">
        <f>IF(T62=0,"NOT LISTED on Bridg",IF(NOT(ISNUMBER(X62)),"No direct quote",IF(ABS(X62)&lt;=Y62,"Match (net of Bridg fee)",IF(ABS(W62)&lt;=Y62,"Match (Bridg fee not applied)",IF(X62&lt;0,"Bridg LOWER than venue","Bridg HIGHER than venue")))))</f>
        <v/>
      </c>
    </row>
    <row r="63">
      <c r="A63" s="4" t="inlineStr">
        <is>
          <t>ETH → SOL</t>
        </is>
      </c>
      <c r="B63" s="4" t="n">
        <v>2</v>
      </c>
      <c r="C63" s="4" t="inlineStr">
        <is>
          <t>CCTP (via Portal)</t>
        </is>
      </c>
      <c r="D63" s="19" t="n">
        <v>99.78165799999999</v>
      </c>
      <c r="E63" s="4" t="inlineStr"/>
      <c r="F63" s="19" t="n">
        <v>99.980001</v>
      </c>
      <c r="G63" s="19" t="n"/>
      <c r="H63" s="17">
        <f>IF(ISNUMBER(F63),F63-N(G63),"")</f>
        <v/>
      </c>
      <c r="I63" s="16">
        <f>IF(AND(ISNUMBER(D63),ISNUMBER(H63)),(D63-H63)/100*10000,"")</f>
        <v/>
      </c>
      <c r="J63" s="19" t="n">
        <v>0.05</v>
      </c>
      <c r="K63" s="16">
        <f>IF(ISNUMBER(I63),I63+N(J63)/100*10000,"")</f>
        <v/>
      </c>
      <c r="L63" s="13" t="n">
        <v>0.001</v>
      </c>
      <c r="M63" s="4" t="inlineStr">
        <is>
          <t>via Portal (CCTPv2FastExecutorRoute); executor fee hidden until wallet connect</t>
        </is>
      </c>
      <c r="N63" s="4" t="inlineStr">
        <is>
          <t>2026-09-23T14:23:47.144Z</t>
        </is>
      </c>
      <c r="O63" s="4" t="inlineStr">
        <is>
          <t>2026-09-23T14:23:47.145Z</t>
        </is>
      </c>
      <c r="Q63" s="4" t="inlineStr">
        <is>
          <t>Base → SOL</t>
        </is>
      </c>
      <c r="R63" s="4" t="inlineStr">
        <is>
          <t>deBridge</t>
        </is>
      </c>
      <c r="S63" s="4">
        <f>COUNTIFS($A$5:$A$214,Q63,$C$5:$C$214,R63)</f>
        <v/>
      </c>
      <c r="T63" s="4">
        <f>COUNTIFS($A$5:$A$214,Q63,$C$5:$C$214,R63,$D$5:$D$214,"&gt;0")</f>
        <v/>
      </c>
      <c r="U63" s="17">
        <f>IFERROR(AVERAGEIFS($D$5:$D$214,$A$5:$A$214,Q63,$C$5:$C$214,R63),"—")</f>
        <v/>
      </c>
      <c r="V63" s="17">
        <f>IFERROR(AVERAGEIFS($H$5:$H$214,$A$5:$A$214,Q63,$C$5:$C$214,R63),"—")</f>
        <v/>
      </c>
      <c r="W63" s="16">
        <f>IFERROR(AVERAGEIFS($I$5:$I$214,$A$5:$A$214,Q63,$C$5:$C$214,R63),"—")</f>
        <v/>
      </c>
      <c r="X63" s="16">
        <f>IFERROR(AVERAGEIFS($K$5:$K$214,$A$5:$A$214,Q63,$C$5:$C$214,R63),"—")</f>
        <v/>
      </c>
      <c r="Y63" s="20" t="n">
        <v>2</v>
      </c>
      <c r="Z63" s="4">
        <f>IF(T63=0,"NOT LISTED on Bridg",IF(NOT(ISNUMBER(X63)),"No direct quote",IF(ABS(X63)&lt;=Y63,"Match (net of Bridg fee)",IF(ABS(W63)&lt;=Y63,"Match (Bridg fee not applied)",IF(X63&lt;0,"Bridg LOWER than venue","Bridg HIGHER than venue")))))</f>
        <v/>
      </c>
    </row>
    <row r="64">
      <c r="A64" s="4" t="inlineStr">
        <is>
          <t>ETH → SOL</t>
        </is>
      </c>
      <c r="B64" s="4" t="n">
        <v>3</v>
      </c>
      <c r="C64" s="4" t="inlineStr">
        <is>
          <t>CCTP (via Portal)</t>
        </is>
      </c>
      <c r="D64" s="19" t="n">
        <v>99.78301</v>
      </c>
      <c r="E64" s="4" t="inlineStr"/>
      <c r="F64" s="19" t="n">
        <v>99.980001</v>
      </c>
      <c r="G64" s="19" t="n"/>
      <c r="H64" s="17">
        <f>IF(ISNUMBER(F64),F64-N(G64),"")</f>
        <v/>
      </c>
      <c r="I64" s="16">
        <f>IF(AND(ISNUMBER(D64),ISNUMBER(H64)),(D64-H64)/100*10000,"")</f>
        <v/>
      </c>
      <c r="J64" s="19" t="n">
        <v>0.05</v>
      </c>
      <c r="K64" s="16">
        <f>IF(ISNUMBER(I64),I64+N(J64)/100*10000,"")</f>
        <v/>
      </c>
      <c r="L64" s="13" t="n">
        <v>0.003</v>
      </c>
      <c r="M64" s="4" t="inlineStr">
        <is>
          <t>via Portal (CCTPv2FastExecutorRoute); executor fee hidden until wallet connect</t>
        </is>
      </c>
      <c r="N64" s="4" t="inlineStr">
        <is>
          <t>2026-09-23T14:27:28.356Z</t>
        </is>
      </c>
      <c r="O64" s="4" t="inlineStr">
        <is>
          <t>2026-09-23T14:27:28.353Z</t>
        </is>
      </c>
      <c r="Q64" s="4" t="inlineStr">
        <is>
          <t>Base → SOL</t>
        </is>
      </c>
      <c r="R64" s="4" t="inlineStr">
        <is>
          <t>LI.FI (Jumper)</t>
        </is>
      </c>
      <c r="S64" s="4">
        <f>COUNTIFS($A$5:$A$214,Q64,$C$5:$C$214,R64)</f>
        <v/>
      </c>
      <c r="T64" s="4">
        <f>COUNTIFS($A$5:$A$214,Q64,$C$5:$C$214,R64,$D$5:$D$214,"&gt;0")</f>
        <v/>
      </c>
      <c r="U64" s="17">
        <f>IFERROR(AVERAGEIFS($D$5:$D$214,$A$5:$A$214,Q64,$C$5:$C$214,R64),"—")</f>
        <v/>
      </c>
      <c r="V64" s="17">
        <f>IFERROR(AVERAGEIFS($H$5:$H$214,$A$5:$A$214,Q64,$C$5:$C$214,R64),"—")</f>
        <v/>
      </c>
      <c r="W64" s="16">
        <f>IFERROR(AVERAGEIFS($I$5:$I$214,$A$5:$A$214,Q64,$C$5:$C$214,R64),"—")</f>
        <v/>
      </c>
      <c r="X64" s="16">
        <f>IFERROR(AVERAGEIFS($K$5:$K$214,$A$5:$A$214,Q64,$C$5:$C$214,R64),"—")</f>
        <v/>
      </c>
      <c r="Y64" s="20" t="n">
        <v>2</v>
      </c>
      <c r="Z64" s="4">
        <f>IF(T64=0,"NOT LISTED on Bridg",IF(NOT(ISNUMBER(X64)),"No direct quote",IF(ABS(X64)&lt;=Y64,"Match (net of Bridg fee)",IF(ABS(W64)&lt;=Y64,"Match (Bridg fee not applied)",IF(X64&lt;0,"Bridg LOWER than venue","Bridg HIGHER than venue")))))</f>
        <v/>
      </c>
    </row>
    <row r="65">
      <c r="A65" s="4" t="inlineStr">
        <is>
          <t>ETH → SOL</t>
        </is>
      </c>
      <c r="B65" s="4" t="n">
        <v>1</v>
      </c>
      <c r="C65" s="4" t="inlineStr">
        <is>
          <t>Husher</t>
        </is>
      </c>
      <c r="D65" s="19" t="n">
        <v>99.45025</v>
      </c>
      <c r="E65" s="4" t="inlineStr"/>
      <c r="F65" s="19" t="n">
        <v>99.34999999999999</v>
      </c>
      <c r="G65" s="19" t="n"/>
      <c r="H65" s="17">
        <f>IF(ISNUMBER(F65),F65-N(G65),"")</f>
        <v/>
      </c>
      <c r="I65" s="16">
        <f>IF(AND(ISNUMBER(D65),ISNUMBER(H65)),(D65-H65)/100*10000,"")</f>
        <v/>
      </c>
      <c r="J65" s="19" t="n">
        <v>0.05</v>
      </c>
      <c r="K65" s="16">
        <f>IF(ISNUMBER(I65),I65+N(J65)/100*10000,"")</f>
        <v/>
      </c>
      <c r="L65" s="13" t="n">
        <v>0.001</v>
      </c>
      <c r="M65" s="4" t="inlineStr"/>
      <c r="N65" s="4" t="inlineStr">
        <is>
          <t>2026-09-23T14:19:28.697Z</t>
        </is>
      </c>
      <c r="O65" s="4" t="inlineStr">
        <is>
          <t>2026-09-23T14:19:28.696Z</t>
        </is>
      </c>
      <c r="Q65" s="4" t="inlineStr">
        <is>
          <t>Base → SOL</t>
        </is>
      </c>
      <c r="R65" s="4" t="inlineStr">
        <is>
          <t>Across</t>
        </is>
      </c>
      <c r="S65" s="4">
        <f>COUNTIFS($A$5:$A$214,Q65,$C$5:$C$214,R65)</f>
        <v/>
      </c>
      <c r="T65" s="4">
        <f>COUNTIFS($A$5:$A$214,Q65,$C$5:$C$214,R65,$D$5:$D$214,"&gt;0")</f>
        <v/>
      </c>
      <c r="U65" s="17">
        <f>IFERROR(AVERAGEIFS($D$5:$D$214,$A$5:$A$214,Q65,$C$5:$C$214,R65),"—")</f>
        <v/>
      </c>
      <c r="V65" s="17">
        <f>IFERROR(AVERAGEIFS($H$5:$H$214,$A$5:$A$214,Q65,$C$5:$C$214,R65),"—")</f>
        <v/>
      </c>
      <c r="W65" s="16">
        <f>IFERROR(AVERAGEIFS($I$5:$I$214,$A$5:$A$214,Q65,$C$5:$C$214,R65),"—")</f>
        <v/>
      </c>
      <c r="X65" s="16">
        <f>IFERROR(AVERAGEIFS($K$5:$K$214,$A$5:$A$214,Q65,$C$5:$C$214,R65),"—")</f>
        <v/>
      </c>
      <c r="Y65" s="20" t="n">
        <v>2</v>
      </c>
      <c r="Z65" s="4">
        <f>IF(T65=0,"NOT LISTED on Bridg",IF(NOT(ISNUMBER(X65)),"No direct quote",IF(ABS(X65)&lt;=Y65,"Match (net of Bridg fee)",IF(ABS(W65)&lt;=Y65,"Match (Bridg fee not applied)",IF(X65&lt;0,"Bridg LOWER than venue","Bridg HIGHER than venue")))))</f>
        <v/>
      </c>
    </row>
    <row r="66">
      <c r="A66" s="4" t="inlineStr">
        <is>
          <t>ETH → SOL</t>
        </is>
      </c>
      <c r="B66" s="4" t="n">
        <v>2</v>
      </c>
      <c r="C66" s="4" t="inlineStr">
        <is>
          <t>Husher</t>
        </is>
      </c>
      <c r="D66" s="19" t="n">
        <v>99.45025</v>
      </c>
      <c r="E66" s="4" t="inlineStr"/>
      <c r="F66" s="19" t="n">
        <v>99.34999999999999</v>
      </c>
      <c r="G66" s="19" t="n"/>
      <c r="H66" s="17">
        <f>IF(ISNUMBER(F66),F66-N(G66),"")</f>
        <v/>
      </c>
      <c r="I66" s="16">
        <f>IF(AND(ISNUMBER(D66),ISNUMBER(H66)),(D66-H66)/100*10000,"")</f>
        <v/>
      </c>
      <c r="J66" s="19" t="n">
        <v>0.05</v>
      </c>
      <c r="K66" s="16">
        <f>IF(ISNUMBER(I66),I66+N(J66)/100*10000,"")</f>
        <v/>
      </c>
      <c r="L66" s="13" t="n">
        <v>0.004</v>
      </c>
      <c r="M66" s="4" t="inlineStr"/>
      <c r="N66" s="4" t="inlineStr">
        <is>
          <t>2026-09-23T14:23:47.144Z</t>
        </is>
      </c>
      <c r="O66" s="4" t="inlineStr">
        <is>
          <t>2026-09-23T14:23:47.140Z</t>
        </is>
      </c>
      <c r="Q66" s="4" t="inlineStr">
        <is>
          <t>Base → SOL</t>
        </is>
      </c>
      <c r="R66" s="4" t="inlineStr">
        <is>
          <t>Mayan</t>
        </is>
      </c>
      <c r="S66" s="4">
        <f>COUNTIFS($A$5:$A$214,Q66,$C$5:$C$214,R66)</f>
        <v/>
      </c>
      <c r="T66" s="4">
        <f>COUNTIFS($A$5:$A$214,Q66,$C$5:$C$214,R66,$D$5:$D$214,"&gt;0")</f>
        <v/>
      </c>
      <c r="U66" s="17">
        <f>IFERROR(AVERAGEIFS($D$5:$D$214,$A$5:$A$214,Q66,$C$5:$C$214,R66),"—")</f>
        <v/>
      </c>
      <c r="V66" s="17">
        <f>IFERROR(AVERAGEIFS($H$5:$H$214,$A$5:$A$214,Q66,$C$5:$C$214,R66),"—")</f>
        <v/>
      </c>
      <c r="W66" s="16">
        <f>IFERROR(AVERAGEIFS($I$5:$I$214,$A$5:$A$214,Q66,$C$5:$C$214,R66),"—")</f>
        <v/>
      </c>
      <c r="X66" s="16">
        <f>IFERROR(AVERAGEIFS($K$5:$K$214,$A$5:$A$214,Q66,$C$5:$C$214,R66),"—")</f>
        <v/>
      </c>
      <c r="Y66" s="20" t="n">
        <v>4</v>
      </c>
      <c r="Z66" s="4">
        <f>IF(T66=0,"NOT LISTED on Bridg",IF(NOT(ISNUMBER(X66)),"No direct quote",IF(ABS(X66)&lt;=Y66,"Match (net of Bridg fee)",IF(ABS(W66)&lt;=Y66,"Match (Bridg fee not applied)",IF(X66&lt;0,"Bridg LOWER than venue","Bridg HIGHER than venue")))))</f>
        <v/>
      </c>
    </row>
    <row r="67">
      <c r="A67" s="4" t="inlineStr">
        <is>
          <t>ETH → SOL</t>
        </is>
      </c>
      <c r="B67" s="4" t="n">
        <v>3</v>
      </c>
      <c r="C67" s="4" t="inlineStr">
        <is>
          <t>Husher</t>
        </is>
      </c>
      <c r="D67" s="19" t="n">
        <v>99.45025</v>
      </c>
      <c r="E67" s="4" t="inlineStr"/>
      <c r="F67" s="19" t="n">
        <v>99.34999999999999</v>
      </c>
      <c r="G67" s="19" t="n"/>
      <c r="H67" s="17">
        <f>IF(ISNUMBER(F67),F67-N(G67),"")</f>
        <v/>
      </c>
      <c r="I67" s="16">
        <f>IF(AND(ISNUMBER(D67),ISNUMBER(H67)),(D67-H67)/100*10000,"")</f>
        <v/>
      </c>
      <c r="J67" s="19" t="n">
        <v>0.05</v>
      </c>
      <c r="K67" s="16">
        <f>IF(ISNUMBER(I67),I67+N(J67)/100*10000,"")</f>
        <v/>
      </c>
      <c r="L67" s="13" t="n">
        <v>0.002</v>
      </c>
      <c r="M67" s="4" t="inlineStr"/>
      <c r="N67" s="4" t="inlineStr">
        <is>
          <t>2026-09-23T14:27:28.356Z</t>
        </is>
      </c>
      <c r="O67" s="4" t="inlineStr">
        <is>
          <t>2026-09-23T14:27:28.354Z</t>
        </is>
      </c>
      <c r="Q67" s="4" t="inlineStr">
        <is>
          <t>Base → SOL</t>
        </is>
      </c>
      <c r="R67" s="4" t="inlineStr">
        <is>
          <t>Allbridge Core</t>
        </is>
      </c>
      <c r="S67" s="4">
        <f>COUNTIFS($A$5:$A$214,Q67,$C$5:$C$214,R67)</f>
        <v/>
      </c>
      <c r="T67" s="4">
        <f>COUNTIFS($A$5:$A$214,Q67,$C$5:$C$214,R67,$D$5:$D$214,"&gt;0")</f>
        <v/>
      </c>
      <c r="U67" s="17">
        <f>IFERROR(AVERAGEIFS($D$5:$D$214,$A$5:$A$214,Q67,$C$5:$C$214,R67),"—")</f>
        <v/>
      </c>
      <c r="V67" s="17">
        <f>IFERROR(AVERAGEIFS($H$5:$H$214,$A$5:$A$214,Q67,$C$5:$C$214,R67),"—")</f>
        <v/>
      </c>
      <c r="W67" s="16">
        <f>IFERROR(AVERAGEIFS($I$5:$I$214,$A$5:$A$214,Q67,$C$5:$C$214,R67),"—")</f>
        <v/>
      </c>
      <c r="X67" s="16">
        <f>IFERROR(AVERAGEIFS($K$5:$K$214,$A$5:$A$214,Q67,$C$5:$C$214,R67),"—")</f>
        <v/>
      </c>
      <c r="Y67" s="20" t="n">
        <v>2</v>
      </c>
      <c r="Z67" s="4">
        <f>IF(T67=0,"NOT LISTED on Bridg",IF(NOT(ISNUMBER(X67)),"No direct quote",IF(ABS(X67)&lt;=Y67,"Match (net of Bridg fee)",IF(ABS(W67)&lt;=Y67,"Match (Bridg fee not applied)",IF(X67&lt;0,"Bridg LOWER than venue","Bridg HIGHER than venue")))))</f>
        <v/>
      </c>
    </row>
    <row r="68">
      <c r="A68" s="4" t="inlineStr">
        <is>
          <t>ETH → SOL</t>
        </is>
      </c>
      <c r="B68" s="4" t="n">
        <v>1</v>
      </c>
      <c r="C68" s="4" t="inlineStr">
        <is>
          <t>Layerswap</t>
        </is>
      </c>
      <c r="D68" s="19" t="n">
        <v>99.599588</v>
      </c>
      <c r="E68" s="4" t="inlineStr"/>
      <c r="F68" s="19" t="n">
        <v>99.68124899999999</v>
      </c>
      <c r="G68" s="19" t="n"/>
      <c r="H68" s="17">
        <f>IF(ISNUMBER(F68),F68-N(G68),"")</f>
        <v/>
      </c>
      <c r="I68" s="16">
        <f>IF(AND(ISNUMBER(D68),ISNUMBER(H68)),(D68-H68)/100*10000,"")</f>
        <v/>
      </c>
      <c r="J68" s="19" t="n">
        <v>0.05</v>
      </c>
      <c r="K68" s="16">
        <f>IF(ISNUMBER(I68),I68+N(J68)/100*10000,"")</f>
        <v/>
      </c>
      <c r="L68" s="13" t="n">
        <v>0.002</v>
      </c>
      <c r="M68" s="4" t="inlineStr"/>
      <c r="N68" s="4" t="inlineStr">
        <is>
          <t>2026-09-23T14:19:28.697Z</t>
        </is>
      </c>
      <c r="O68" s="4" t="inlineStr">
        <is>
          <t>2026-09-23T14:19:28.699Z</t>
        </is>
      </c>
      <c r="Q68" s="4" t="inlineStr">
        <is>
          <t>Base → SOL</t>
        </is>
      </c>
      <c r="R68" s="4" t="inlineStr">
        <is>
          <t>CCTP (via Portal)</t>
        </is>
      </c>
      <c r="S68" s="4">
        <f>COUNTIFS($A$5:$A$214,Q68,$C$5:$C$214,R68)</f>
        <v/>
      </c>
      <c r="T68" s="4">
        <f>COUNTIFS($A$5:$A$214,Q68,$C$5:$C$214,R68,$D$5:$D$214,"&gt;0")</f>
        <v/>
      </c>
      <c r="U68" s="17">
        <f>IFERROR(AVERAGEIFS($D$5:$D$214,$A$5:$A$214,Q68,$C$5:$C$214,R68),"—")</f>
        <v/>
      </c>
      <c r="V68" s="17">
        <f>IFERROR(AVERAGEIFS($H$5:$H$214,$A$5:$A$214,Q68,$C$5:$C$214,R68),"—")</f>
        <v/>
      </c>
      <c r="W68" s="16">
        <f>IFERROR(AVERAGEIFS($I$5:$I$214,$A$5:$A$214,Q68,$C$5:$C$214,R68),"—")</f>
        <v/>
      </c>
      <c r="X68" s="16">
        <f>IFERROR(AVERAGEIFS($K$5:$K$214,$A$5:$A$214,Q68,$C$5:$C$214,R68),"—")</f>
        <v/>
      </c>
      <c r="Y68" s="20" t="n">
        <v>2</v>
      </c>
      <c r="Z68" s="4">
        <f>IF(T68=0,"NOT LISTED on Bridg",IF(NOT(ISNUMBER(X68)),"No direct quote",IF(ABS(X68)&lt;=Y68,"Match (net of Bridg fee)",IF(ABS(W68)&lt;=Y68,"Match (Bridg fee not applied)",IF(X68&lt;0,"Bridg LOWER than venue","Bridg HIGHER than venue")))))</f>
        <v/>
      </c>
    </row>
    <row r="69">
      <c r="A69" s="4" t="inlineStr">
        <is>
          <t>ETH → SOL</t>
        </is>
      </c>
      <c r="B69" s="4" t="n">
        <v>2</v>
      </c>
      <c r="C69" s="4" t="inlineStr">
        <is>
          <t>Layerswap</t>
        </is>
      </c>
      <c r="D69" s="19" t="n">
        <v>99.601114</v>
      </c>
      <c r="E69" s="4" t="inlineStr"/>
      <c r="F69" s="19" t="n">
        <v>99.682776</v>
      </c>
      <c r="G69" s="19" t="n"/>
      <c r="H69" s="17">
        <f>IF(ISNUMBER(F69),F69-N(G69),"")</f>
        <v/>
      </c>
      <c r="I69" s="16">
        <f>IF(AND(ISNUMBER(D69),ISNUMBER(H69)),(D69-H69)/100*10000,"")</f>
        <v/>
      </c>
      <c r="J69" s="19" t="n">
        <v>0.05</v>
      </c>
      <c r="K69" s="16">
        <f>IF(ISNUMBER(I69),I69+N(J69)/100*10000,"")</f>
        <v/>
      </c>
      <c r="L69" s="13" t="n">
        <v>0.001</v>
      </c>
      <c r="M69" s="4" t="inlineStr"/>
      <c r="N69" s="4" t="inlineStr">
        <is>
          <t>2026-09-23T14:23:47.144Z</t>
        </is>
      </c>
      <c r="O69" s="4" t="inlineStr">
        <is>
          <t>2026-09-23T14:23:47.143Z</t>
        </is>
      </c>
      <c r="Q69" s="4" t="inlineStr">
        <is>
          <t>Base → SOL</t>
        </is>
      </c>
      <c r="R69" s="4" t="inlineStr">
        <is>
          <t>Husher</t>
        </is>
      </c>
      <c r="S69" s="4">
        <f>COUNTIFS($A$5:$A$214,Q69,$C$5:$C$214,R69)</f>
        <v/>
      </c>
      <c r="T69" s="4">
        <f>COUNTIFS($A$5:$A$214,Q69,$C$5:$C$214,R69,$D$5:$D$214,"&gt;0")</f>
        <v/>
      </c>
      <c r="U69" s="17">
        <f>IFERROR(AVERAGEIFS($D$5:$D$214,$A$5:$A$214,Q69,$C$5:$C$214,R69),"—")</f>
        <v/>
      </c>
      <c r="V69" s="17">
        <f>IFERROR(AVERAGEIFS($H$5:$H$214,$A$5:$A$214,Q69,$C$5:$C$214,R69),"—")</f>
        <v/>
      </c>
      <c r="W69" s="16">
        <f>IFERROR(AVERAGEIFS($I$5:$I$214,$A$5:$A$214,Q69,$C$5:$C$214,R69),"—")</f>
        <v/>
      </c>
      <c r="X69" s="16">
        <f>IFERROR(AVERAGEIFS($K$5:$K$214,$A$5:$A$214,Q69,$C$5:$C$214,R69),"—")</f>
        <v/>
      </c>
      <c r="Y69" s="20" t="n">
        <v>2</v>
      </c>
      <c r="Z69" s="4">
        <f>IF(T69=0,"NOT LISTED on Bridg",IF(NOT(ISNUMBER(X69)),"No direct quote",IF(ABS(X69)&lt;=Y69,"Match (net of Bridg fee)",IF(ABS(W69)&lt;=Y69,"Match (Bridg fee not applied)",IF(X69&lt;0,"Bridg LOWER than venue","Bridg HIGHER than venue")))))</f>
        <v/>
      </c>
    </row>
    <row r="70">
      <c r="A70" s="4" t="inlineStr">
        <is>
          <t>ETH → SOL</t>
        </is>
      </c>
      <c r="B70" s="4" t="n">
        <v>3</v>
      </c>
      <c r="C70" s="4" t="inlineStr">
        <is>
          <t>Layerswap</t>
        </is>
      </c>
      <c r="D70" s="19" t="n">
        <v>99.601095</v>
      </c>
      <c r="E70" s="4" t="inlineStr"/>
      <c r="F70" s="19" t="n">
        <v>99.682757</v>
      </c>
      <c r="G70" s="19" t="n"/>
      <c r="H70" s="17">
        <f>IF(ISNUMBER(F70),F70-N(G70),"")</f>
        <v/>
      </c>
      <c r="I70" s="16">
        <f>IF(AND(ISNUMBER(D70),ISNUMBER(H70)),(D70-H70)/100*10000,"")</f>
        <v/>
      </c>
      <c r="J70" s="19" t="n">
        <v>0.05</v>
      </c>
      <c r="K70" s="16">
        <f>IF(ISNUMBER(I70),I70+N(J70)/100*10000,"")</f>
        <v/>
      </c>
      <c r="L70" s="13" t="n">
        <v>0</v>
      </c>
      <c r="M70" s="4" t="inlineStr"/>
      <c r="N70" s="4" t="inlineStr">
        <is>
          <t>2026-09-23T14:27:28.356Z</t>
        </is>
      </c>
      <c r="O70" s="4" t="inlineStr">
        <is>
          <t>2026-09-23T14:27:28.356Z</t>
        </is>
      </c>
      <c r="Q70" s="4" t="inlineStr">
        <is>
          <t>Base → SOL</t>
        </is>
      </c>
      <c r="R70" s="4" t="inlineStr">
        <is>
          <t>Layerswap</t>
        </is>
      </c>
      <c r="S70" s="4">
        <f>COUNTIFS($A$5:$A$214,Q70,$C$5:$C$214,R70)</f>
        <v/>
      </c>
      <c r="T70" s="4">
        <f>COUNTIFS($A$5:$A$214,Q70,$C$5:$C$214,R70,$D$5:$D$214,"&gt;0")</f>
        <v/>
      </c>
      <c r="U70" s="17">
        <f>IFERROR(AVERAGEIFS($D$5:$D$214,$A$5:$A$214,Q70,$C$5:$C$214,R70),"—")</f>
        <v/>
      </c>
      <c r="V70" s="17">
        <f>IFERROR(AVERAGEIFS($H$5:$H$214,$A$5:$A$214,Q70,$C$5:$C$214,R70),"—")</f>
        <v/>
      </c>
      <c r="W70" s="16">
        <f>IFERROR(AVERAGEIFS($I$5:$I$214,$A$5:$A$214,Q70,$C$5:$C$214,R70),"—")</f>
        <v/>
      </c>
      <c r="X70" s="16">
        <f>IFERROR(AVERAGEIFS($K$5:$K$214,$A$5:$A$214,Q70,$C$5:$C$214,R70),"—")</f>
        <v/>
      </c>
      <c r="Y70" s="20" t="n">
        <v>2</v>
      </c>
      <c r="Z70" s="4">
        <f>IF(T70=0,"NOT LISTED on Bridg",IF(NOT(ISNUMBER(X70)),"No direct quote",IF(ABS(X70)&lt;=Y70,"Match (net of Bridg fee)",IF(ABS(W70)&lt;=Y70,"Match (Bridg fee not applied)",IF(X70&lt;0,"Bridg LOWER than venue","Bridg HIGHER than venue")))))</f>
        <v/>
      </c>
    </row>
    <row r="71">
      <c r="A71" s="4" t="inlineStr">
        <is>
          <t>ETH → SOL</t>
        </is>
      </c>
      <c r="B71" s="4" t="n">
        <v>1</v>
      </c>
      <c r="C71" s="4" t="inlineStr">
        <is>
          <t>Meson</t>
        </is>
      </c>
      <c r="D71" s="19" t="n">
        <v>99.45025</v>
      </c>
      <c r="E71" s="4" t="inlineStr"/>
      <c r="F71" s="19" t="n">
        <v>99.09999999999999</v>
      </c>
      <c r="G71" s="19" t="n"/>
      <c r="H71" s="17">
        <f>IF(ISNUMBER(F71),F71-N(G71),"")</f>
        <v/>
      </c>
      <c r="I71" s="16">
        <f>IF(AND(ISNUMBER(D71),ISNUMBER(H71)),(D71-H71)/100*10000,"")</f>
        <v/>
      </c>
      <c r="J71" s="19" t="n">
        <v>0.05</v>
      </c>
      <c r="K71" s="16">
        <f>IF(ISNUMBER(I71),I71+N(J71)/100*10000,"")</f>
        <v/>
      </c>
      <c r="L71" s="13" t="n">
        <v>0.001</v>
      </c>
      <c r="M71" s="4" t="inlineStr"/>
      <c r="N71" s="4" t="inlineStr">
        <is>
          <t>2026-09-23T14:19:28.697Z</t>
        </is>
      </c>
      <c r="O71" s="4" t="inlineStr">
        <is>
          <t>2026-09-23T14:19:28.696Z</t>
        </is>
      </c>
      <c r="Q71" s="4" t="inlineStr">
        <is>
          <t>Base → SOL</t>
        </is>
      </c>
      <c r="R71" s="4" t="inlineStr">
        <is>
          <t>Meson</t>
        </is>
      </c>
      <c r="S71" s="4">
        <f>COUNTIFS($A$5:$A$214,Q71,$C$5:$C$214,R71)</f>
        <v/>
      </c>
      <c r="T71" s="4">
        <f>COUNTIFS($A$5:$A$214,Q71,$C$5:$C$214,R71,$D$5:$D$214,"&gt;0")</f>
        <v/>
      </c>
      <c r="U71" s="17">
        <f>IFERROR(AVERAGEIFS($D$5:$D$214,$A$5:$A$214,Q71,$C$5:$C$214,R71),"—")</f>
        <v/>
      </c>
      <c r="V71" s="17">
        <f>IFERROR(AVERAGEIFS($H$5:$H$214,$A$5:$A$214,Q71,$C$5:$C$214,R71),"—")</f>
        <v/>
      </c>
      <c r="W71" s="16">
        <f>IFERROR(AVERAGEIFS($I$5:$I$214,$A$5:$A$214,Q71,$C$5:$C$214,R71),"—")</f>
        <v/>
      </c>
      <c r="X71" s="16">
        <f>IFERROR(AVERAGEIFS($K$5:$K$214,$A$5:$A$214,Q71,$C$5:$C$214,R71),"—")</f>
        <v/>
      </c>
      <c r="Y71" s="20" t="n">
        <v>2</v>
      </c>
      <c r="Z71" s="4">
        <f>IF(T71=0,"NOT LISTED on Bridg",IF(NOT(ISNUMBER(X71)),"No direct quote",IF(ABS(X71)&lt;=Y71,"Match (net of Bridg fee)",IF(ABS(W71)&lt;=Y71,"Match (Bridg fee not applied)",IF(X71&lt;0,"Bridg LOWER than venue","Bridg HIGHER than venue")))))</f>
        <v/>
      </c>
    </row>
    <row r="72">
      <c r="A72" s="4" t="inlineStr">
        <is>
          <t>ETH → SOL</t>
        </is>
      </c>
      <c r="B72" s="4" t="n">
        <v>2</v>
      </c>
      <c r="C72" s="4" t="inlineStr">
        <is>
          <t>Meson</t>
        </is>
      </c>
      <c r="D72" s="19" t="n">
        <v>99.45025</v>
      </c>
      <c r="E72" s="4" t="inlineStr"/>
      <c r="F72" s="19" t="n">
        <v>99.09999999999999</v>
      </c>
      <c r="G72" s="19" t="n"/>
      <c r="H72" s="17">
        <f>IF(ISNUMBER(F72),F72-N(G72),"")</f>
        <v/>
      </c>
      <c r="I72" s="16">
        <f>IF(AND(ISNUMBER(D72),ISNUMBER(H72)),(D72-H72)/100*10000,"")</f>
        <v/>
      </c>
      <c r="J72" s="19" t="n">
        <v>0.05</v>
      </c>
      <c r="K72" s="16">
        <f>IF(ISNUMBER(I72),I72+N(J72)/100*10000,"")</f>
        <v/>
      </c>
      <c r="L72" s="13" t="n">
        <v>0.007</v>
      </c>
      <c r="M72" s="4" t="inlineStr"/>
      <c r="N72" s="4" t="inlineStr">
        <is>
          <t>2026-09-23T14:23:47.144Z</t>
        </is>
      </c>
      <c r="O72" s="4" t="inlineStr">
        <is>
          <t>2026-09-23T14:23:47.137Z</t>
        </is>
      </c>
      <c r="Q72" s="4" t="inlineStr">
        <is>
          <t>Base → SOL</t>
        </is>
      </c>
      <c r="R72" s="4" t="inlineStr">
        <is>
          <t>SimpleSwap</t>
        </is>
      </c>
      <c r="S72" s="4">
        <f>COUNTIFS($A$5:$A$214,Q72,$C$5:$C$214,R72)</f>
        <v/>
      </c>
      <c r="T72" s="4">
        <f>COUNTIFS($A$5:$A$214,Q72,$C$5:$C$214,R72,$D$5:$D$214,"&gt;0")</f>
        <v/>
      </c>
      <c r="U72" s="17">
        <f>IFERROR(AVERAGEIFS($D$5:$D$214,$A$5:$A$214,Q72,$C$5:$C$214,R72),"—")</f>
        <v/>
      </c>
      <c r="V72" s="17">
        <f>IFERROR(AVERAGEIFS($H$5:$H$214,$A$5:$A$214,Q72,$C$5:$C$214,R72),"—")</f>
        <v/>
      </c>
      <c r="W72" s="16">
        <f>IFERROR(AVERAGEIFS($I$5:$I$214,$A$5:$A$214,Q72,$C$5:$C$214,R72),"—")</f>
        <v/>
      </c>
      <c r="X72" s="16">
        <f>IFERROR(AVERAGEIFS($K$5:$K$214,$A$5:$A$214,Q72,$C$5:$C$214,R72),"—")</f>
        <v/>
      </c>
      <c r="Y72" s="20" t="n">
        <v>2</v>
      </c>
      <c r="Z72" s="4">
        <f>IF(T72=0,"NOT LISTED on Bridg",IF(NOT(ISNUMBER(X72)),"No direct quote",IF(ABS(X72)&lt;=Y72,"Match (net of Bridg fee)",IF(ABS(W72)&lt;=Y72,"Match (Bridg fee not applied)",IF(X72&lt;0,"Bridg LOWER than venue","Bridg HIGHER than venue")))))</f>
        <v/>
      </c>
    </row>
    <row r="73">
      <c r="A73" s="4" t="inlineStr">
        <is>
          <t>ETH → SOL</t>
        </is>
      </c>
      <c r="B73" s="4" t="n">
        <v>3</v>
      </c>
      <c r="C73" s="4" t="inlineStr">
        <is>
          <t>Meson</t>
        </is>
      </c>
      <c r="D73" s="19" t="n">
        <v>99.45025</v>
      </c>
      <c r="E73" s="4" t="inlineStr"/>
      <c r="F73" s="19" t="n">
        <v>99.09999999999999</v>
      </c>
      <c r="G73" s="19" t="n"/>
      <c r="H73" s="17">
        <f>IF(ISNUMBER(F73),F73-N(G73),"")</f>
        <v/>
      </c>
      <c r="I73" s="16">
        <f>IF(AND(ISNUMBER(D73),ISNUMBER(H73)),(D73-H73)/100*10000,"")</f>
        <v/>
      </c>
      <c r="J73" s="19" t="n">
        <v>0.05</v>
      </c>
      <c r="K73" s="16">
        <f>IF(ISNUMBER(I73),I73+N(J73)/100*10000,"")</f>
        <v/>
      </c>
      <c r="L73" s="13" t="n">
        <v>0.002</v>
      </c>
      <c r="M73" s="4" t="inlineStr"/>
      <c r="N73" s="4" t="inlineStr">
        <is>
          <t>2026-09-23T14:27:28.356Z</t>
        </is>
      </c>
      <c r="O73" s="4" t="inlineStr">
        <is>
          <t>2026-09-23T14:27:28.354Z</t>
        </is>
      </c>
      <c r="Q73" s="4" t="inlineStr">
        <is>
          <t>Base → SOL</t>
        </is>
      </c>
      <c r="R73" s="4" t="inlineStr">
        <is>
          <t>Skip Go</t>
        </is>
      </c>
      <c r="S73" s="4">
        <f>COUNTIFS($A$5:$A$214,Q73,$C$5:$C$214,R73)</f>
        <v/>
      </c>
      <c r="T73" s="4">
        <f>COUNTIFS($A$5:$A$214,Q73,$C$5:$C$214,R73,$D$5:$D$214,"&gt;0")</f>
        <v/>
      </c>
      <c r="U73" s="17">
        <f>IFERROR(AVERAGEIFS($D$5:$D$214,$A$5:$A$214,Q73,$C$5:$C$214,R73),"—")</f>
        <v/>
      </c>
      <c r="V73" s="17">
        <f>IFERROR(AVERAGEIFS($H$5:$H$214,$A$5:$A$214,Q73,$C$5:$C$214,R73),"—")</f>
        <v/>
      </c>
      <c r="W73" s="16">
        <f>IFERROR(AVERAGEIFS($I$5:$I$214,$A$5:$A$214,Q73,$C$5:$C$214,R73),"—")</f>
        <v/>
      </c>
      <c r="X73" s="16">
        <f>IFERROR(AVERAGEIFS($K$5:$K$214,$A$5:$A$214,Q73,$C$5:$C$214,R73),"—")</f>
        <v/>
      </c>
      <c r="Y73" s="20" t="n">
        <v>2</v>
      </c>
      <c r="Z73" s="4">
        <f>IF(T73=0,"NOT LISTED on Bridg",IF(NOT(ISNUMBER(X73)),"No direct quote",IF(ABS(X73)&lt;=Y73,"Match (net of Bridg fee)",IF(ABS(W73)&lt;=Y73,"Match (Bridg fee not applied)",IF(X73&lt;0,"Bridg LOWER than venue","Bridg HIGHER than venue")))))</f>
        <v/>
      </c>
    </row>
    <row r="74">
      <c r="A74" s="4" t="inlineStr">
        <is>
          <t>ETH → SOL</t>
        </is>
      </c>
      <c r="B74" s="4" t="n">
        <v>1</v>
      </c>
      <c r="C74" s="4" t="inlineStr">
        <is>
          <t>SimpleSwap</t>
        </is>
      </c>
      <c r="D74" s="19" t="n">
        <v>95.715087</v>
      </c>
      <c r="E74" s="4" t="inlineStr"/>
      <c r="F74" s="19" t="n">
        <v>98.482157</v>
      </c>
      <c r="G74" s="19" t="n"/>
      <c r="H74" s="17">
        <f>IF(ISNUMBER(F74),F74-N(G74),"")</f>
        <v/>
      </c>
      <c r="I74" s="16">
        <f>IF(AND(ISNUMBER(D74),ISNUMBER(H74)),(D74-H74)/100*10000,"")</f>
        <v/>
      </c>
      <c r="J74" s="19" t="n">
        <v>0.05</v>
      </c>
      <c r="K74" s="16">
        <f>IF(ISNUMBER(I74),I74+N(J74)/100*10000,"")</f>
        <v/>
      </c>
      <c r="L74" s="13" t="n">
        <v>0.005</v>
      </c>
      <c r="M74" s="4" t="inlineStr">
        <is>
          <t>selected card: Best rate / Decentralized; best card 98.482157</t>
        </is>
      </c>
      <c r="N74" s="4" t="inlineStr">
        <is>
          <t>2026-09-23T14:19:28.697Z</t>
        </is>
      </c>
      <c r="O74" s="4" t="inlineStr">
        <is>
          <t>2026-09-23T14:19:28.702Z</t>
        </is>
      </c>
      <c r="Q74" s="4" t="inlineStr">
        <is>
          <t>Base → SOL</t>
        </is>
      </c>
      <c r="R74" s="4" t="inlineStr">
        <is>
          <t>Symbiosis</t>
        </is>
      </c>
      <c r="S74" s="4">
        <f>COUNTIFS($A$5:$A$214,Q74,$C$5:$C$214,R74)</f>
        <v/>
      </c>
      <c r="T74" s="4">
        <f>COUNTIFS($A$5:$A$214,Q74,$C$5:$C$214,R74,$D$5:$D$214,"&gt;0")</f>
        <v/>
      </c>
      <c r="U74" s="17">
        <f>IFERROR(AVERAGEIFS($D$5:$D$214,$A$5:$A$214,Q74,$C$5:$C$214,R74),"—")</f>
        <v/>
      </c>
      <c r="V74" s="17">
        <f>IFERROR(AVERAGEIFS($H$5:$H$214,$A$5:$A$214,Q74,$C$5:$C$214,R74),"—")</f>
        <v/>
      </c>
      <c r="W74" s="16">
        <f>IFERROR(AVERAGEIFS($I$5:$I$214,$A$5:$A$214,Q74,$C$5:$C$214,R74),"—")</f>
        <v/>
      </c>
      <c r="X74" s="16">
        <f>IFERROR(AVERAGEIFS($K$5:$K$214,$A$5:$A$214,Q74,$C$5:$C$214,R74),"—")</f>
        <v/>
      </c>
      <c r="Y74" s="20" t="n">
        <v>2</v>
      </c>
      <c r="Z74" s="4">
        <f>IF(T74=0,"NOT LISTED on Bridg",IF(NOT(ISNUMBER(X74)),"No direct quote",IF(ABS(X74)&lt;=Y74,"Match (net of Bridg fee)",IF(ABS(W74)&lt;=Y74,"Match (Bridg fee not applied)",IF(X74&lt;0,"Bridg LOWER than venue","Bridg HIGHER than venue")))))</f>
        <v/>
      </c>
    </row>
    <row r="75">
      <c r="A75" s="4" t="inlineStr">
        <is>
          <t>ETH → SOL</t>
        </is>
      </c>
      <c r="B75" s="4" t="n">
        <v>2</v>
      </c>
      <c r="C75" s="4" t="inlineStr">
        <is>
          <t>SimpleSwap</t>
        </is>
      </c>
      <c r="D75" s="19" t="n">
        <v>95.326357</v>
      </c>
      <c r="E75" s="4" t="inlineStr"/>
      <c r="F75" s="19" t="n"/>
      <c r="G75" s="19" t="n"/>
      <c r="H75" s="17">
        <f>IF(ISNUMBER(F75),F75-N(G75),"")</f>
        <v/>
      </c>
      <c r="I75" s="16">
        <f>IF(AND(ISNUMBER(D75),ISNUMBER(H75)),(D75-H75)/100*10000,"")</f>
        <v/>
      </c>
      <c r="J75" s="19" t="n">
        <v>0.05</v>
      </c>
      <c r="K75" s="16">
        <f>IF(ISNUMBER(I75),I75+N(J75)/100*10000,"")</f>
        <v/>
      </c>
      <c r="L75" s="13" t="n">
        <v>0.007</v>
      </c>
      <c r="M75" s="4" t="inlineStr">
        <is>
          <t>selected card: None; best card None</t>
        </is>
      </c>
      <c r="N75" s="4" t="inlineStr">
        <is>
          <t>2026-09-23T14:23:47.144Z</t>
        </is>
      </c>
      <c r="O75" s="4" t="inlineStr">
        <is>
          <t>2026-09-23T14:23:47.137Z</t>
        </is>
      </c>
    </row>
    <row r="76">
      <c r="A76" s="4" t="inlineStr">
        <is>
          <t>ETH → SOL</t>
        </is>
      </c>
      <c r="B76" s="4" t="n">
        <v>3</v>
      </c>
      <c r="C76" s="4" t="inlineStr">
        <is>
          <t>SimpleSwap</t>
        </is>
      </c>
      <c r="D76" s="19" t="n">
        <v>95.704517</v>
      </c>
      <c r="E76" s="4" t="inlineStr"/>
      <c r="F76" s="19" t="n">
        <v>98.479738</v>
      </c>
      <c r="G76" s="19" t="n"/>
      <c r="H76" s="17">
        <f>IF(ISNUMBER(F76),F76-N(G76),"")</f>
        <v/>
      </c>
      <c r="I76" s="16">
        <f>IF(AND(ISNUMBER(D76),ISNUMBER(H76)),(D76-H76)/100*10000,"")</f>
        <v/>
      </c>
      <c r="J76" s="19" t="n">
        <v>0.05</v>
      </c>
      <c r="K76" s="16">
        <f>IF(ISNUMBER(I76),I76+N(J76)/100*10000,"")</f>
        <v/>
      </c>
      <c r="L76" s="13" t="n">
        <v>0.001</v>
      </c>
      <c r="M76" s="4" t="inlineStr">
        <is>
          <t>selected card: Best rate / Decentralized; best card 98.479738</t>
        </is>
      </c>
      <c r="N76" s="4" t="inlineStr">
        <is>
          <t>2026-09-23T14:27:28.356Z</t>
        </is>
      </c>
      <c r="O76" s="4" t="inlineStr">
        <is>
          <t>2026-09-23T14:27:28.357Z</t>
        </is>
      </c>
      <c r="Q76" s="2" t="inlineStr">
        <is>
          <t>Tolerance: ±2 bps (±4 for Mayan: Dutch-auction pricing and 2–4 dp display). Assumption set by the analyst.</t>
        </is>
      </c>
    </row>
    <row r="77">
      <c r="A77" s="4" t="inlineStr">
        <is>
          <t>ETH → SOL</t>
        </is>
      </c>
      <c r="B77" s="4" t="n">
        <v>1</v>
      </c>
      <c r="C77" s="4" t="inlineStr">
        <is>
          <t>Skip Go</t>
        </is>
      </c>
      <c r="D77" s="19" t="n">
        <v>99.68794</v>
      </c>
      <c r="E77" s="4" t="inlineStr"/>
      <c r="F77" s="19" t="n">
        <v>99.72581</v>
      </c>
      <c r="G77" s="19" t="n"/>
      <c r="H77" s="17">
        <f>IF(ISNUMBER(F77),F77-N(G77),"")</f>
        <v/>
      </c>
      <c r="I77" s="16">
        <f>IF(AND(ISNUMBER(D77),ISNUMBER(H77)),(D77-H77)/100*10000,"")</f>
        <v/>
      </c>
      <c r="J77" s="19" t="n">
        <v>0.05</v>
      </c>
      <c r="K77" s="16">
        <f>IF(ISNUMBER(I77),I77+N(J77)/100*10000,"")</f>
        <v/>
      </c>
      <c r="L77" s="13" t="n">
        <v>0.002</v>
      </c>
      <c r="M77" s="4" t="inlineStr"/>
      <c r="N77" s="4" t="inlineStr">
        <is>
          <t>2026-09-23T14:19:28.697Z</t>
        </is>
      </c>
      <c r="O77" s="4" t="inlineStr">
        <is>
          <t>2026-09-23T14:19:28.699Z</t>
        </is>
      </c>
    </row>
    <row r="78">
      <c r="A78" s="4" t="inlineStr">
        <is>
          <t>ETH → SOL</t>
        </is>
      </c>
      <c r="B78" s="4" t="n">
        <v>2</v>
      </c>
      <c r="C78" s="4" t="inlineStr">
        <is>
          <t>Skip Go</t>
        </is>
      </c>
      <c r="D78" s="19" t="n">
        <v>99.68794</v>
      </c>
      <c r="E78" s="4" t="inlineStr"/>
      <c r="F78" s="19" t="n">
        <v>99.72581</v>
      </c>
      <c r="G78" s="19" t="n"/>
      <c r="H78" s="17">
        <f>IF(ISNUMBER(F78),F78-N(G78),"")</f>
        <v/>
      </c>
      <c r="I78" s="16">
        <f>IF(AND(ISNUMBER(D78),ISNUMBER(H78)),(D78-H78)/100*10000,"")</f>
        <v/>
      </c>
      <c r="J78" s="19" t="n">
        <v>0.05</v>
      </c>
      <c r="K78" s="16">
        <f>IF(ISNUMBER(I78),I78+N(J78)/100*10000,"")</f>
        <v/>
      </c>
      <c r="L78" s="13" t="n">
        <v>0.001</v>
      </c>
      <c r="M78" s="4" t="inlineStr"/>
      <c r="N78" s="4" t="inlineStr">
        <is>
          <t>2026-09-23T14:23:47.144Z</t>
        </is>
      </c>
      <c r="O78" s="4" t="inlineStr">
        <is>
          <t>2026-09-23T14:23:47.145Z</t>
        </is>
      </c>
    </row>
    <row r="79">
      <c r="A79" s="4" t="inlineStr">
        <is>
          <t>ETH → SOL</t>
        </is>
      </c>
      <c r="B79" s="4" t="n">
        <v>3</v>
      </c>
      <c r="C79" s="4" t="inlineStr">
        <is>
          <t>Skip Go</t>
        </is>
      </c>
      <c r="D79" s="19" t="n">
        <v>99.69</v>
      </c>
      <c r="E79" s="4" t="inlineStr"/>
      <c r="F79" s="19" t="n">
        <v>99.72787</v>
      </c>
      <c r="G79" s="19" t="n"/>
      <c r="H79" s="17">
        <f>IF(ISNUMBER(F79),F79-N(G79),"")</f>
        <v/>
      </c>
      <c r="I79" s="16">
        <f>IF(AND(ISNUMBER(D79),ISNUMBER(H79)),(D79-H79)/100*10000,"")</f>
        <v/>
      </c>
      <c r="J79" s="19" t="n">
        <v>0.05</v>
      </c>
      <c r="K79" s="16">
        <f>IF(ISNUMBER(I79),I79+N(J79)/100*10000,"")</f>
        <v/>
      </c>
      <c r="L79" s="13" t="n">
        <v>0.001</v>
      </c>
      <c r="M79" s="4" t="inlineStr"/>
      <c r="N79" s="4" t="inlineStr">
        <is>
          <t>2026-09-23T14:27:28.356Z</t>
        </is>
      </c>
      <c r="O79" s="4" t="inlineStr">
        <is>
          <t>2026-09-23T14:27:28.357Z</t>
        </is>
      </c>
    </row>
    <row r="80">
      <c r="A80" s="4" t="inlineStr">
        <is>
          <t>ETH → SOL</t>
        </is>
      </c>
      <c r="B80" s="4" t="n">
        <v>1</v>
      </c>
      <c r="C80" s="4" t="inlineStr">
        <is>
          <t>Symbiosis</t>
        </is>
      </c>
      <c r="D80" s="19" t="n">
        <v>98.950473</v>
      </c>
      <c r="E80" s="4" t="inlineStr"/>
      <c r="F80" s="19" t="n">
        <v>98.950473</v>
      </c>
      <c r="G80" s="19" t="n"/>
      <c r="H80" s="17">
        <f>IF(ISNUMBER(F80),F80-N(G80),"")</f>
        <v/>
      </c>
      <c r="I80" s="16">
        <f>IF(AND(ISNUMBER(D80),ISNUMBER(H80)),(D80-H80)/100*10000,"")</f>
        <v/>
      </c>
      <c r="J80" s="19" t="n">
        <v>0.05</v>
      </c>
      <c r="K80" s="16">
        <f>IF(ISNUMBER(I80),I80+N(J80)/100*10000,"")</f>
        <v/>
      </c>
      <c r="L80" s="13" t="n">
        <v>0.003</v>
      </c>
      <c r="M80" s="4" t="inlineStr"/>
      <c r="N80" s="4" t="inlineStr">
        <is>
          <t>2026-09-23T14:19:28.697Z</t>
        </is>
      </c>
      <c r="O80" s="4" t="inlineStr">
        <is>
          <t>2026-09-23T14:19:28.700Z</t>
        </is>
      </c>
    </row>
    <row r="81">
      <c r="A81" s="4" t="inlineStr">
        <is>
          <t>ETH → SOL</t>
        </is>
      </c>
      <c r="B81" s="4" t="n">
        <v>2</v>
      </c>
      <c r="C81" s="4" t="inlineStr">
        <is>
          <t>Symbiosis</t>
        </is>
      </c>
      <c r="D81" s="19" t="n">
        <v>98.951612</v>
      </c>
      <c r="E81" s="4" t="inlineStr"/>
      <c r="F81" s="19" t="n">
        <v>98.951612</v>
      </c>
      <c r="G81" s="19" t="n"/>
      <c r="H81" s="17">
        <f>IF(ISNUMBER(F81),F81-N(G81),"")</f>
        <v/>
      </c>
      <c r="I81" s="16">
        <f>IF(AND(ISNUMBER(D81),ISNUMBER(H81)),(D81-H81)/100*10000,"")</f>
        <v/>
      </c>
      <c r="J81" s="19" t="n">
        <v>0.05</v>
      </c>
      <c r="K81" s="16">
        <f>IF(ISNUMBER(I81),I81+N(J81)/100*10000,"")</f>
        <v/>
      </c>
      <c r="L81" s="13" t="n">
        <v>0</v>
      </c>
      <c r="M81" s="4" t="inlineStr"/>
      <c r="N81" s="4" t="inlineStr">
        <is>
          <t>2026-09-23T14:23:47.144Z</t>
        </is>
      </c>
      <c r="O81" s="4" t="inlineStr">
        <is>
          <t>2026-09-23T14:23:47.144Z</t>
        </is>
      </c>
    </row>
    <row r="82">
      <c r="A82" s="4" t="inlineStr">
        <is>
          <t>ETH → SOL</t>
        </is>
      </c>
      <c r="B82" s="4" t="n">
        <v>3</v>
      </c>
      <c r="C82" s="4" t="inlineStr">
        <is>
          <t>Symbiosis</t>
        </is>
      </c>
      <c r="D82" s="19" t="n">
        <v>98.95137</v>
      </c>
      <c r="E82" s="4" t="inlineStr"/>
      <c r="F82" s="19" t="n">
        <v>98.95137</v>
      </c>
      <c r="G82" s="19" t="n"/>
      <c r="H82" s="17">
        <f>IF(ISNUMBER(F82),F82-N(G82),"")</f>
        <v/>
      </c>
      <c r="I82" s="16">
        <f>IF(AND(ISNUMBER(D82),ISNUMBER(H82)),(D82-H82)/100*10000,"")</f>
        <v/>
      </c>
      <c r="J82" s="19" t="n">
        <v>0.05</v>
      </c>
      <c r="K82" s="16">
        <f>IF(ISNUMBER(I82),I82+N(J82)/100*10000,"")</f>
        <v/>
      </c>
      <c r="L82" s="13" t="n">
        <v>0.001</v>
      </c>
      <c r="M82" s="4" t="inlineStr"/>
      <c r="N82" s="4" t="inlineStr">
        <is>
          <t>2026-09-23T14:27:28.356Z</t>
        </is>
      </c>
      <c r="O82" s="4" t="inlineStr">
        <is>
          <t>2026-09-23T14:27:28.357Z</t>
        </is>
      </c>
    </row>
    <row r="83">
      <c r="A83" s="4" t="inlineStr">
        <is>
          <t>SOL → BSC</t>
        </is>
      </c>
      <c r="B83" s="4" t="n">
        <v>1</v>
      </c>
      <c r="C83" s="4" t="inlineStr">
        <is>
          <t>Relay</t>
        </is>
      </c>
      <c r="D83" s="19" t="n">
        <v>99.598071</v>
      </c>
      <c r="E83" s="4" t="inlineStr"/>
      <c r="F83" s="19" t="n">
        <v>99.651304</v>
      </c>
      <c r="G83" s="19" t="n"/>
      <c r="H83" s="17">
        <f>IF(ISNUMBER(F83),F83-N(G83),"")</f>
        <v/>
      </c>
      <c r="I83" s="16">
        <f>IF(AND(ISNUMBER(D83),ISNUMBER(H83)),(D83-H83)/100*10000,"")</f>
        <v/>
      </c>
      <c r="J83" s="19" t="n">
        <v>0.05</v>
      </c>
      <c r="K83" s="16">
        <f>IF(ISNUMBER(I83),I83+N(J83)/100*10000,"")</f>
        <v/>
      </c>
      <c r="L83" s="13" t="n">
        <v>0.001</v>
      </c>
      <c r="M83" s="4" t="inlineStr"/>
      <c r="N83" s="4" t="inlineStr">
        <is>
          <t>2026-09-23T14:19:58.625Z</t>
        </is>
      </c>
      <c r="O83" s="4" t="inlineStr">
        <is>
          <t>2026-09-23T14:19:58.626Z</t>
        </is>
      </c>
    </row>
    <row r="84">
      <c r="A84" s="4" t="inlineStr">
        <is>
          <t>SOL → BSC</t>
        </is>
      </c>
      <c r="B84" s="4" t="n">
        <v>2</v>
      </c>
      <c r="C84" s="4" t="inlineStr">
        <is>
          <t>Relay</t>
        </is>
      </c>
      <c r="D84" s="19" t="n">
        <v>99.58515</v>
      </c>
      <c r="E84" s="4" t="inlineStr"/>
      <c r="F84" s="19" t="n">
        <v>99.64081400000001</v>
      </c>
      <c r="G84" s="19" t="n"/>
      <c r="H84" s="17">
        <f>IF(ISNUMBER(F84),F84-N(G84),"")</f>
        <v/>
      </c>
      <c r="I84" s="16">
        <f>IF(AND(ISNUMBER(D84),ISNUMBER(H84)),(D84-H84)/100*10000,"")</f>
        <v/>
      </c>
      <c r="J84" s="19" t="n">
        <v>0.05</v>
      </c>
      <c r="K84" s="16">
        <f>IF(ISNUMBER(I84),I84+N(J84)/100*10000,"")</f>
        <v/>
      </c>
      <c r="L84" s="13" t="n">
        <v>0.001</v>
      </c>
      <c r="M84" s="4" t="inlineStr"/>
      <c r="N84" s="4" t="inlineStr">
        <is>
          <t>2026-09-23T14:24:42.081Z</t>
        </is>
      </c>
      <c r="O84" s="4" t="inlineStr">
        <is>
          <t>2026-09-23T14:24:42.080Z</t>
        </is>
      </c>
    </row>
    <row r="85">
      <c r="A85" s="4" t="inlineStr">
        <is>
          <t>SOL → BSC</t>
        </is>
      </c>
      <c r="B85" s="4" t="n">
        <v>3</v>
      </c>
      <c r="C85" s="4" t="inlineStr">
        <is>
          <t>Relay</t>
        </is>
      </c>
      <c r="D85" s="19" t="n">
        <v>99.589005</v>
      </c>
      <c r="E85" s="4" t="inlineStr"/>
      <c r="F85" s="19" t="n">
        <v>99.63692</v>
      </c>
      <c r="G85" s="19" t="n"/>
      <c r="H85" s="17">
        <f>IF(ISNUMBER(F85),F85-N(G85),"")</f>
        <v/>
      </c>
      <c r="I85" s="16">
        <f>IF(AND(ISNUMBER(D85),ISNUMBER(H85)),(D85-H85)/100*10000,"")</f>
        <v/>
      </c>
      <c r="J85" s="19" t="n">
        <v>0.05</v>
      </c>
      <c r="K85" s="16">
        <f>IF(ISNUMBER(I85),I85+N(J85)/100*10000,"")</f>
        <v/>
      </c>
      <c r="L85" s="13" t="n">
        <v>0.001</v>
      </c>
      <c r="M85" s="4" t="inlineStr"/>
      <c r="N85" s="4" t="inlineStr">
        <is>
          <t>2026-09-23T14:28:40.088Z</t>
        </is>
      </c>
      <c r="O85" s="4" t="inlineStr">
        <is>
          <t>2026-09-23T14:28:40.087Z</t>
        </is>
      </c>
    </row>
    <row r="86">
      <c r="A86" s="4" t="inlineStr">
        <is>
          <t>SOL → BSC</t>
        </is>
      </c>
      <c r="B86" s="4" t="n">
        <v>1</v>
      </c>
      <c r="C86" s="4" t="inlineStr">
        <is>
          <t>deBridge</t>
        </is>
      </c>
      <c r="D86" s="19" t="n">
        <v>98.67551899999999</v>
      </c>
      <c r="E86" s="4" t="inlineStr"/>
      <c r="F86" s="19" t="n">
        <v>99.92001500000001</v>
      </c>
      <c r="G86" s="19" t="n">
        <v>1.2455</v>
      </c>
      <c r="H86" s="17">
        <f>IF(ISNUMBER(F86),F86-N(G86),"")</f>
        <v/>
      </c>
      <c r="I86" s="16">
        <f>IF(AND(ISNUMBER(D86),ISNUMBER(H86)),(D86-H86)/100*10000,"")</f>
        <v/>
      </c>
      <c r="J86" s="19" t="n">
        <v>0.05</v>
      </c>
      <c r="K86" s="16">
        <f>IF(ISNUMBER(I86),I86+N(J86)/100*10000,"")</f>
        <v/>
      </c>
      <c r="L86" s="13" t="n">
        <v>0.001</v>
      </c>
      <c r="M86" s="4" t="inlineStr">
        <is>
          <t>+1.2455 USDC charged on top of 100 input (subtracted)</t>
        </is>
      </c>
      <c r="N86" s="4" t="inlineStr">
        <is>
          <t>2026-09-23T14:19:58.625Z</t>
        </is>
      </c>
      <c r="O86" s="4" t="inlineStr">
        <is>
          <t>2026-09-23T14:19:58.626Z</t>
        </is>
      </c>
    </row>
    <row r="87">
      <c r="A87" s="4" t="inlineStr">
        <is>
          <t>SOL → BSC</t>
        </is>
      </c>
      <c r="B87" s="4" t="n">
        <v>2</v>
      </c>
      <c r="C87" s="4" t="inlineStr">
        <is>
          <t>deBridge</t>
        </is>
      </c>
      <c r="D87" s="19" t="n">
        <v>98.685318</v>
      </c>
      <c r="E87" s="4" t="inlineStr"/>
      <c r="F87" s="19" t="n">
        <v>99.92001500000001</v>
      </c>
      <c r="G87" s="19" t="n">
        <v>1.2357</v>
      </c>
      <c r="H87" s="17">
        <f>IF(ISNUMBER(F87),F87-N(G87),"")</f>
        <v/>
      </c>
      <c r="I87" s="16">
        <f>IF(AND(ISNUMBER(D87),ISNUMBER(H87)),(D87-H87)/100*10000,"")</f>
        <v/>
      </c>
      <c r="J87" s="19" t="n">
        <v>0.05</v>
      </c>
      <c r="K87" s="16">
        <f>IF(ISNUMBER(I87),I87+N(J87)/100*10000,"")</f>
        <v/>
      </c>
      <c r="L87" s="13" t="n">
        <v>0.001</v>
      </c>
      <c r="M87" s="4" t="inlineStr">
        <is>
          <t>+1.2357 USDC charged on top of 100 input (subtracted)</t>
        </is>
      </c>
      <c r="N87" s="4" t="inlineStr">
        <is>
          <t>2026-09-23T14:24:42.081Z</t>
        </is>
      </c>
      <c r="O87" s="4" t="inlineStr">
        <is>
          <t>2026-09-23T14:24:42.080Z</t>
        </is>
      </c>
    </row>
    <row r="88">
      <c r="A88" s="4" t="inlineStr">
        <is>
          <t>SOL → BSC</t>
        </is>
      </c>
      <c r="B88" s="4" t="n">
        <v>3</v>
      </c>
      <c r="C88" s="4" t="inlineStr">
        <is>
          <t>deBridge</t>
        </is>
      </c>
      <c r="D88" s="19" t="n">
        <v>98.683938</v>
      </c>
      <c r="E88" s="4" t="inlineStr"/>
      <c r="F88" s="19" t="n">
        <v>99.920016</v>
      </c>
      <c r="G88" s="19" t="n">
        <v>1.2371</v>
      </c>
      <c r="H88" s="17">
        <f>IF(ISNUMBER(F88),F88-N(G88),"")</f>
        <v/>
      </c>
      <c r="I88" s="16">
        <f>IF(AND(ISNUMBER(D88),ISNUMBER(H88)),(D88-H88)/100*10000,"")</f>
        <v/>
      </c>
      <c r="J88" s="19" t="n">
        <v>0.05</v>
      </c>
      <c r="K88" s="16">
        <f>IF(ISNUMBER(I88),I88+N(J88)/100*10000,"")</f>
        <v/>
      </c>
      <c r="L88" s="13" t="n">
        <v>0.002</v>
      </c>
      <c r="M88" s="4" t="inlineStr">
        <is>
          <t>+1.2371 USDC charged on top of 100 input (subtracted)</t>
        </is>
      </c>
      <c r="N88" s="4" t="inlineStr">
        <is>
          <t>2026-09-23T14:28:40.088Z</t>
        </is>
      </c>
      <c r="O88" s="4" t="inlineStr">
        <is>
          <t>2026-09-23T14:28:40.086Z</t>
        </is>
      </c>
    </row>
    <row r="89">
      <c r="A89" s="4" t="inlineStr">
        <is>
          <t>SOL → BSC</t>
        </is>
      </c>
      <c r="B89" s="4" t="n">
        <v>1</v>
      </c>
      <c r="C89" s="4" t="inlineStr">
        <is>
          <t>LI.FI (Jumper)</t>
        </is>
      </c>
      <c r="D89" s="19" t="n">
        <v>99.178482</v>
      </c>
      <c r="E89" s="4" t="inlineStr"/>
      <c r="F89" s="19" t="n">
        <v>99.93159</v>
      </c>
      <c r="G89" s="19" t="n"/>
      <c r="H89" s="17">
        <f>IF(ISNUMBER(F89),F89-N(G89),"")</f>
        <v/>
      </c>
      <c r="I89" s="16">
        <f>IF(AND(ISNUMBER(D89),ISNUMBER(H89)),(D89-H89)/100*10000,"")</f>
        <v/>
      </c>
      <c r="J89" s="19" t="n">
        <v>0.05</v>
      </c>
      <c r="K89" s="16">
        <f>IF(ISNUMBER(I89),I89+N(J89)/100*10000,"")</f>
        <v/>
      </c>
      <c r="L89" s="13" t="n">
        <v>0.002</v>
      </c>
      <c r="M89" s="4" t="inlineStr">
        <is>
          <t>Jumper Best Return via Mayan (Swift); max route 99.93159</t>
        </is>
      </c>
      <c r="N89" s="4" t="inlineStr">
        <is>
          <t>2026-09-23T14:19:58.625Z</t>
        </is>
      </c>
      <c r="O89" s="4" t="inlineStr">
        <is>
          <t>2026-09-23T14:19:58.623Z</t>
        </is>
      </c>
    </row>
    <row r="90">
      <c r="A90" s="4" t="inlineStr">
        <is>
          <t>SOL → BSC</t>
        </is>
      </c>
      <c r="B90" s="4" t="n">
        <v>2</v>
      </c>
      <c r="C90" s="4" t="inlineStr">
        <is>
          <t>LI.FI (Jumper)</t>
        </is>
      </c>
      <c r="D90" s="19" t="n">
        <v>99.17850199999999</v>
      </c>
      <c r="E90" s="4" t="inlineStr"/>
      <c r="F90" s="19" t="n">
        <v>99.93159</v>
      </c>
      <c r="G90" s="19" t="n"/>
      <c r="H90" s="17">
        <f>IF(ISNUMBER(F90),F90-N(G90),"")</f>
        <v/>
      </c>
      <c r="I90" s="16">
        <f>IF(AND(ISNUMBER(D90),ISNUMBER(H90)),(D90-H90)/100*10000,"")</f>
        <v/>
      </c>
      <c r="J90" s="19" t="n">
        <v>0.05</v>
      </c>
      <c r="K90" s="16">
        <f>IF(ISNUMBER(I90),I90+N(J90)/100*10000,"")</f>
        <v/>
      </c>
      <c r="L90" s="13" t="n">
        <v>0.004</v>
      </c>
      <c r="M90" s="4" t="inlineStr">
        <is>
          <t>Jumper Best Return via Mayan (Swift); max route 99.93159</t>
        </is>
      </c>
      <c r="N90" s="4" t="inlineStr">
        <is>
          <t>2026-09-23T14:24:42.081Z</t>
        </is>
      </c>
      <c r="O90" s="4" t="inlineStr">
        <is>
          <t>2026-09-23T14:24:42.077Z</t>
        </is>
      </c>
    </row>
    <row r="91">
      <c r="A91" s="4" t="inlineStr">
        <is>
          <t>SOL → BSC</t>
        </is>
      </c>
      <c r="B91" s="4" t="n">
        <v>3</v>
      </c>
      <c r="C91" s="4" t="inlineStr">
        <is>
          <t>LI.FI (Jumper)</t>
        </is>
      </c>
      <c r="D91" s="19" t="n">
        <v>99.22812399999999</v>
      </c>
      <c r="E91" s="4" t="inlineStr"/>
      <c r="F91" s="19" t="n">
        <v>99.93159900000001</v>
      </c>
      <c r="G91" s="19" t="n"/>
      <c r="H91" s="17">
        <f>IF(ISNUMBER(F91),F91-N(G91),"")</f>
        <v/>
      </c>
      <c r="I91" s="16">
        <f>IF(AND(ISNUMBER(D91),ISNUMBER(H91)),(D91-H91)/100*10000,"")</f>
        <v/>
      </c>
      <c r="J91" s="19" t="n">
        <v>0.05</v>
      </c>
      <c r="K91" s="16">
        <f>IF(ISNUMBER(I91),I91+N(J91)/100*10000,"")</f>
        <v/>
      </c>
      <c r="L91" s="13" t="n">
        <v>0.003</v>
      </c>
      <c r="M91" s="4" t="inlineStr">
        <is>
          <t>Jumper Best Return via Mayan (Swift); max route 99.931599</t>
        </is>
      </c>
      <c r="N91" s="4" t="inlineStr">
        <is>
          <t>2026-09-23T14:28:40.088Z</t>
        </is>
      </c>
      <c r="O91" s="4" t="inlineStr">
        <is>
          <t>2026-09-23T14:28:40.091Z</t>
        </is>
      </c>
    </row>
    <row r="92">
      <c r="A92" s="4" t="inlineStr">
        <is>
          <t>SOL → BSC</t>
        </is>
      </c>
      <c r="B92" s="4" t="n">
        <v>1</v>
      </c>
      <c r="C92" s="4" t="inlineStr">
        <is>
          <t>Across</t>
        </is>
      </c>
      <c r="D92" s="19" t="inlineStr">
        <is>
          <t>not listed</t>
        </is>
      </c>
      <c r="E92" s="4" t="inlineStr"/>
      <c r="F92" s="19" t="n">
        <v>99.981745</v>
      </c>
      <c r="G92" s="19" t="n"/>
      <c r="H92" s="17">
        <f>IF(ISNUMBER(F92),F92-N(G92),"")</f>
        <v/>
      </c>
      <c r="I92" s="16">
        <f>IF(AND(ISNUMBER(D92),ISNUMBER(H92)),(D92-H92)/100*10000,"")</f>
        <v/>
      </c>
      <c r="J92" s="19" t="n">
        <v>0.05</v>
      </c>
      <c r="K92" s="16">
        <f>IF(ISNUMBER(I92),I92+N(J92)/100*10000,"")</f>
        <v/>
      </c>
      <c r="L92" s="13" t="n">
        <v>0.001</v>
      </c>
      <c r="M92" s="4" t="inlineStr"/>
      <c r="N92" s="4" t="inlineStr">
        <is>
          <t>2026-09-23T14:19:58.625Z</t>
        </is>
      </c>
      <c r="O92" s="4" t="inlineStr">
        <is>
          <t>2026-09-23T14:19:58.624Z</t>
        </is>
      </c>
    </row>
    <row r="93">
      <c r="A93" s="4" t="inlineStr">
        <is>
          <t>SOL → BSC</t>
        </is>
      </c>
      <c r="B93" s="4" t="n">
        <v>2</v>
      </c>
      <c r="C93" s="4" t="inlineStr">
        <is>
          <t>Across</t>
        </is>
      </c>
      <c r="D93" s="19" t="inlineStr">
        <is>
          <t>not listed</t>
        </is>
      </c>
      <c r="E93" s="4" t="inlineStr"/>
      <c r="F93" s="19" t="n">
        <v>99.982214</v>
      </c>
      <c r="G93" s="19" t="n"/>
      <c r="H93" s="17">
        <f>IF(ISNUMBER(F93),F93-N(G93),"")</f>
        <v/>
      </c>
      <c r="I93" s="16">
        <f>IF(AND(ISNUMBER(D93),ISNUMBER(H93)),(D93-H93)/100*10000,"")</f>
        <v/>
      </c>
      <c r="J93" s="19" t="n">
        <v>0.05</v>
      </c>
      <c r="K93" s="16">
        <f>IF(ISNUMBER(I93),I93+N(J93)/100*10000,"")</f>
        <v/>
      </c>
      <c r="L93" s="13" t="n">
        <v>0.002</v>
      </c>
      <c r="M93" s="4" t="inlineStr"/>
      <c r="N93" s="4" t="inlineStr">
        <is>
          <t>2026-09-23T14:24:42.081Z</t>
        </is>
      </c>
      <c r="O93" s="4" t="inlineStr">
        <is>
          <t>2026-09-23T14:24:42.079Z</t>
        </is>
      </c>
    </row>
    <row r="94">
      <c r="A94" s="4" t="inlineStr">
        <is>
          <t>SOL → BSC</t>
        </is>
      </c>
      <c r="B94" s="4" t="n">
        <v>3</v>
      </c>
      <c r="C94" s="4" t="inlineStr">
        <is>
          <t>Across</t>
        </is>
      </c>
      <c r="D94" s="19" t="inlineStr">
        <is>
          <t>not listed</t>
        </is>
      </c>
      <c r="E94" s="4" t="inlineStr"/>
      <c r="F94" s="19" t="n">
        <v>99.972498</v>
      </c>
      <c r="G94" s="19" t="n"/>
      <c r="H94" s="17">
        <f>IF(ISNUMBER(F94),F94-N(G94),"")</f>
        <v/>
      </c>
      <c r="I94" s="16">
        <f>IF(AND(ISNUMBER(D94),ISNUMBER(H94)),(D94-H94)/100*10000,"")</f>
        <v/>
      </c>
      <c r="J94" s="19" t="n">
        <v>0.05</v>
      </c>
      <c r="K94" s="16">
        <f>IF(ISNUMBER(I94),I94+N(J94)/100*10000,"")</f>
        <v/>
      </c>
      <c r="L94" s="13" t="n">
        <v>0.003</v>
      </c>
      <c r="M94" s="4" t="inlineStr"/>
      <c r="N94" s="4" t="inlineStr">
        <is>
          <t>2026-09-23T14:28:40.088Z</t>
        </is>
      </c>
      <c r="O94" s="4" t="inlineStr">
        <is>
          <t>2026-09-23T14:28:40.085Z</t>
        </is>
      </c>
    </row>
    <row r="95">
      <c r="A95" s="4" t="inlineStr">
        <is>
          <t>SOL → BSC</t>
        </is>
      </c>
      <c r="B95" s="4" t="n">
        <v>1</v>
      </c>
      <c r="C95" s="4" t="inlineStr">
        <is>
          <t>Mayan</t>
        </is>
      </c>
      <c r="D95" s="19" t="n">
        <v>99.881626</v>
      </c>
      <c r="E95" s="4" t="inlineStr">
        <is>
          <t>yes</t>
        </is>
      </c>
      <c r="F95" s="19" t="n">
        <v>99.931</v>
      </c>
      <c r="G95" s="19" t="n"/>
      <c r="H95" s="17">
        <f>IF(ISNUMBER(F95),F95-N(G95),"")</f>
        <v/>
      </c>
      <c r="I95" s="16">
        <f>IF(AND(ISNUMBER(D95),ISNUMBER(H95)),(D95-H95)/100*10000,"")</f>
        <v/>
      </c>
      <c r="J95" s="19" t="n">
        <v>0.05</v>
      </c>
      <c r="K95" s="16">
        <f>IF(ISNUMBER(I95),I95+N(J95)/100*10000,"")</f>
        <v/>
      </c>
      <c r="L95" s="13" t="n">
        <v>0.001</v>
      </c>
      <c r="M95" s="4" t="inlineStr">
        <is>
          <t>Swift v2; UI shows 3 dp</t>
        </is>
      </c>
      <c r="N95" s="4" t="inlineStr">
        <is>
          <t>2026-09-23T14:19:58.625Z</t>
        </is>
      </c>
      <c r="O95" s="4" t="inlineStr">
        <is>
          <t>2026-09-23T14:19:58.624Z</t>
        </is>
      </c>
    </row>
    <row r="96">
      <c r="A96" s="4" t="inlineStr">
        <is>
          <t>SOL → BSC</t>
        </is>
      </c>
      <c r="B96" s="4" t="n">
        <v>2</v>
      </c>
      <c r="C96" s="4" t="inlineStr">
        <is>
          <t>Mayan</t>
        </is>
      </c>
      <c r="D96" s="19" t="n">
        <v>99.881595</v>
      </c>
      <c r="E96" s="4" t="inlineStr">
        <is>
          <t>yes</t>
        </is>
      </c>
      <c r="F96" s="19" t="n">
        <v>99.931</v>
      </c>
      <c r="G96" s="19" t="n"/>
      <c r="H96" s="17">
        <f>IF(ISNUMBER(F96),F96-N(G96),"")</f>
        <v/>
      </c>
      <c r="I96" s="16">
        <f>IF(AND(ISNUMBER(D96),ISNUMBER(H96)),(D96-H96)/100*10000,"")</f>
        <v/>
      </c>
      <c r="J96" s="19" t="n">
        <v>0.05</v>
      </c>
      <c r="K96" s="16">
        <f>IF(ISNUMBER(I96),I96+N(J96)/100*10000,"")</f>
        <v/>
      </c>
      <c r="L96" s="13" t="n">
        <v>0.002</v>
      </c>
      <c r="M96" s="4" t="inlineStr">
        <is>
          <t>Swift v2; UI shows 3 dp</t>
        </is>
      </c>
      <c r="N96" s="4" t="inlineStr">
        <is>
          <t>2026-09-23T14:24:42.081Z</t>
        </is>
      </c>
      <c r="O96" s="4" t="inlineStr">
        <is>
          <t>2026-09-23T14:24:42.079Z</t>
        </is>
      </c>
    </row>
    <row r="97">
      <c r="A97" s="4" t="inlineStr">
        <is>
          <t>SOL → BSC</t>
        </is>
      </c>
      <c r="B97" s="4" t="n">
        <v>3</v>
      </c>
      <c r="C97" s="4" t="inlineStr">
        <is>
          <t>Mayan</t>
        </is>
      </c>
      <c r="D97" s="19" t="n">
        <v>99.881629</v>
      </c>
      <c r="E97" s="4" t="inlineStr">
        <is>
          <t>yes</t>
        </is>
      </c>
      <c r="F97" s="19" t="n">
        <v>99.931</v>
      </c>
      <c r="G97" s="19" t="n"/>
      <c r="H97" s="17">
        <f>IF(ISNUMBER(F97),F97-N(G97),"")</f>
        <v/>
      </c>
      <c r="I97" s="16">
        <f>IF(AND(ISNUMBER(D97),ISNUMBER(H97)),(D97-H97)/100*10000,"")</f>
        <v/>
      </c>
      <c r="J97" s="19" t="n">
        <v>0.05</v>
      </c>
      <c r="K97" s="16">
        <f>IF(ISNUMBER(I97),I97+N(J97)/100*10000,"")</f>
        <v/>
      </c>
      <c r="L97" s="13" t="n">
        <v>0.004</v>
      </c>
      <c r="M97" s="4" t="inlineStr">
        <is>
          <t>Swift v2; UI shows 3 dp</t>
        </is>
      </c>
      <c r="N97" s="4" t="inlineStr">
        <is>
          <t>2026-09-23T14:28:40.088Z</t>
        </is>
      </c>
      <c r="O97" s="4" t="inlineStr">
        <is>
          <t>2026-09-23T14:28:40.084Z</t>
        </is>
      </c>
    </row>
    <row r="98">
      <c r="A98" s="4" t="inlineStr">
        <is>
          <t>SOL → BSC</t>
        </is>
      </c>
      <c r="B98" s="4" t="n">
        <v>1</v>
      </c>
      <c r="C98" s="4" t="inlineStr">
        <is>
          <t>Husher</t>
        </is>
      </c>
      <c r="D98" s="19" t="n">
        <v>99.7501</v>
      </c>
      <c r="E98" s="4" t="inlineStr"/>
      <c r="F98" s="19" t="n">
        <v>99.65000000000001</v>
      </c>
      <c r="G98" s="19" t="n"/>
      <c r="H98" s="17">
        <f>IF(ISNUMBER(F98),F98-N(G98),"")</f>
        <v/>
      </c>
      <c r="I98" s="16">
        <f>IF(AND(ISNUMBER(D98),ISNUMBER(H98)),(D98-H98)/100*10000,"")</f>
        <v/>
      </c>
      <c r="J98" s="19" t="n">
        <v>0.05</v>
      </c>
      <c r="K98" s="16">
        <f>IF(ISNUMBER(I98),I98+N(J98)/100*10000,"")</f>
        <v/>
      </c>
      <c r="L98" s="13" t="n">
        <v>0.001</v>
      </c>
      <c r="M98" s="4" t="inlineStr"/>
      <c r="N98" s="4" t="inlineStr">
        <is>
          <t>2026-09-23T14:19:58.625Z</t>
        </is>
      </c>
      <c r="O98" s="4" t="inlineStr">
        <is>
          <t>2026-09-23T14:19:58.624Z</t>
        </is>
      </c>
    </row>
    <row r="99">
      <c r="A99" s="4" t="inlineStr">
        <is>
          <t>SOL → BSC</t>
        </is>
      </c>
      <c r="B99" s="4" t="n">
        <v>2</v>
      </c>
      <c r="C99" s="4" t="inlineStr">
        <is>
          <t>Husher</t>
        </is>
      </c>
      <c r="D99" s="19" t="n">
        <v>99.7501</v>
      </c>
      <c r="E99" s="4" t="inlineStr"/>
      <c r="F99" s="19" t="n">
        <v>99.65000000000001</v>
      </c>
      <c r="G99" s="19" t="n"/>
      <c r="H99" s="17">
        <f>IF(ISNUMBER(F99),F99-N(G99),"")</f>
        <v/>
      </c>
      <c r="I99" s="16">
        <f>IF(AND(ISNUMBER(D99),ISNUMBER(H99)),(D99-H99)/100*10000,"")</f>
        <v/>
      </c>
      <c r="J99" s="19" t="n">
        <v>0.05</v>
      </c>
      <c r="K99" s="16">
        <f>IF(ISNUMBER(I99),I99+N(J99)/100*10000,"")</f>
        <v/>
      </c>
      <c r="L99" s="13" t="n">
        <v>0.003</v>
      </c>
      <c r="M99" s="4" t="inlineStr"/>
      <c r="N99" s="4" t="inlineStr">
        <is>
          <t>2026-09-23T14:24:42.081Z</t>
        </is>
      </c>
      <c r="O99" s="4" t="inlineStr">
        <is>
          <t>2026-09-23T14:24:42.078Z</t>
        </is>
      </c>
    </row>
    <row r="100">
      <c r="A100" s="4" t="inlineStr">
        <is>
          <t>SOL → BSC</t>
        </is>
      </c>
      <c r="B100" s="4" t="n">
        <v>3</v>
      </c>
      <c r="C100" s="4" t="inlineStr">
        <is>
          <t>Husher</t>
        </is>
      </c>
      <c r="D100" s="19" t="n">
        <v>99.7501</v>
      </c>
      <c r="E100" s="4" t="inlineStr"/>
      <c r="F100" s="19" t="n">
        <v>99.65000000000001</v>
      </c>
      <c r="G100" s="19" t="n"/>
      <c r="H100" s="17">
        <f>IF(ISNUMBER(F100),F100-N(G100),"")</f>
        <v/>
      </c>
      <c r="I100" s="16">
        <f>IF(AND(ISNUMBER(D100),ISNUMBER(H100)),(D100-H100)/100*10000,"")</f>
        <v/>
      </c>
      <c r="J100" s="19" t="n">
        <v>0.05</v>
      </c>
      <c r="K100" s="16">
        <f>IF(ISNUMBER(I100),I100+N(J100)/100*10000,"")</f>
        <v/>
      </c>
      <c r="L100" s="13" t="n">
        <v>0.004</v>
      </c>
      <c r="M100" s="4" t="inlineStr"/>
      <c r="N100" s="4" t="inlineStr">
        <is>
          <t>2026-09-23T14:28:40.088Z</t>
        </is>
      </c>
      <c r="O100" s="4" t="inlineStr">
        <is>
          <t>2026-09-23T14:28:40.084Z</t>
        </is>
      </c>
    </row>
    <row r="101">
      <c r="A101" s="4" t="inlineStr">
        <is>
          <t>SOL → BSC</t>
        </is>
      </c>
      <c r="B101" s="4" t="n">
        <v>1</v>
      </c>
      <c r="C101" s="4" t="inlineStr">
        <is>
          <t>Layerswap</t>
        </is>
      </c>
      <c r="D101" s="19" t="n">
        <v>99.678465</v>
      </c>
      <c r="E101" s="4" t="inlineStr"/>
      <c r="F101" s="19" t="n">
        <v>99.863113</v>
      </c>
      <c r="G101" s="19" t="n"/>
      <c r="H101" s="17">
        <f>IF(ISNUMBER(F101),F101-N(G101),"")</f>
        <v/>
      </c>
      <c r="I101" s="16">
        <f>IF(AND(ISNUMBER(D101),ISNUMBER(H101)),(D101-H101)/100*10000,"")</f>
        <v/>
      </c>
      <c r="J101" s="19" t="n">
        <v>0.05</v>
      </c>
      <c r="K101" s="16">
        <f>IF(ISNUMBER(I101),I101+N(J101)/100*10000,"")</f>
        <v/>
      </c>
      <c r="L101" s="13" t="n">
        <v>0.001</v>
      </c>
      <c r="M101" s="4" t="inlineStr"/>
      <c r="N101" s="4" t="inlineStr">
        <is>
          <t>2026-09-23T14:19:58.625Z</t>
        </is>
      </c>
      <c r="O101" s="4" t="inlineStr">
        <is>
          <t>2026-09-23T14:19:58.626Z</t>
        </is>
      </c>
    </row>
    <row r="102">
      <c r="A102" s="4" t="inlineStr">
        <is>
          <t>SOL → BSC</t>
        </is>
      </c>
      <c r="B102" s="4" t="n">
        <v>2</v>
      </c>
      <c r="C102" s="4" t="inlineStr">
        <is>
          <t>Layerswap</t>
        </is>
      </c>
      <c r="D102" s="19" t="n">
        <v>99.67847399999999</v>
      </c>
      <c r="E102" s="4" t="inlineStr"/>
      <c r="F102" s="19" t="n">
        <v>99.863123</v>
      </c>
      <c r="G102" s="19" t="n"/>
      <c r="H102" s="17">
        <f>IF(ISNUMBER(F102),F102-N(G102),"")</f>
        <v/>
      </c>
      <c r="I102" s="16">
        <f>IF(AND(ISNUMBER(D102),ISNUMBER(H102)),(D102-H102)/100*10000,"")</f>
        <v/>
      </c>
      <c r="J102" s="19" t="n">
        <v>0.05</v>
      </c>
      <c r="K102" s="16">
        <f>IF(ISNUMBER(I102),I102+N(J102)/100*10000,"")</f>
        <v/>
      </c>
      <c r="L102" s="13" t="n">
        <v>0</v>
      </c>
      <c r="M102" s="4" t="inlineStr"/>
      <c r="N102" s="4" t="inlineStr">
        <is>
          <t>2026-09-23T14:24:42.081Z</t>
        </is>
      </c>
      <c r="O102" s="4" t="inlineStr">
        <is>
          <t>2026-09-23T14:24:42.081Z</t>
        </is>
      </c>
    </row>
    <row r="103">
      <c r="A103" s="4" t="inlineStr">
        <is>
          <t>SOL → BSC</t>
        </is>
      </c>
      <c r="B103" s="4" t="n">
        <v>3</v>
      </c>
      <c r="C103" s="4" t="inlineStr">
        <is>
          <t>Layerswap</t>
        </is>
      </c>
      <c r="D103" s="19" t="n">
        <v>99.678481</v>
      </c>
      <c r="E103" s="4" t="inlineStr"/>
      <c r="F103" s="19" t="n">
        <v>99.86312700000001</v>
      </c>
      <c r="G103" s="19" t="n"/>
      <c r="H103" s="17">
        <f>IF(ISNUMBER(F103),F103-N(G103),"")</f>
        <v/>
      </c>
      <c r="I103" s="16">
        <f>IF(AND(ISNUMBER(D103),ISNUMBER(H103)),(D103-H103)/100*10000,"")</f>
        <v/>
      </c>
      <c r="J103" s="19" t="n">
        <v>0.05</v>
      </c>
      <c r="K103" s="16">
        <f>IF(ISNUMBER(I103),I103+N(J103)/100*10000,"")</f>
        <v/>
      </c>
      <c r="L103" s="13" t="n">
        <v>0.002</v>
      </c>
      <c r="M103" s="4" t="inlineStr"/>
      <c r="N103" s="4" t="inlineStr">
        <is>
          <t>2026-09-23T14:28:40.088Z</t>
        </is>
      </c>
      <c r="O103" s="4" t="inlineStr">
        <is>
          <t>2026-09-23T14:28:40.090Z</t>
        </is>
      </c>
    </row>
    <row r="104">
      <c r="A104" s="4" t="inlineStr">
        <is>
          <t>SOL → BSC</t>
        </is>
      </c>
      <c r="B104" s="4" t="n">
        <v>1</v>
      </c>
      <c r="C104" s="4" t="inlineStr">
        <is>
          <t>Meson</t>
        </is>
      </c>
      <c r="D104" s="19" t="n">
        <v>99.85005</v>
      </c>
      <c r="E104" s="4" t="inlineStr">
        <is>
          <t>yes</t>
        </is>
      </c>
      <c r="F104" s="19" t="n">
        <v>99.88</v>
      </c>
      <c r="G104" s="19" t="n"/>
      <c r="H104" s="17">
        <f>IF(ISNUMBER(F104),F104-N(G104),"")</f>
        <v/>
      </c>
      <c r="I104" s="16">
        <f>IF(AND(ISNUMBER(D104),ISNUMBER(H104)),(D104-H104)/100*10000,"")</f>
        <v/>
      </c>
      <c r="J104" s="19" t="n">
        <v>0.05</v>
      </c>
      <c r="K104" s="16">
        <f>IF(ISNUMBER(I104),I104+N(J104)/100*10000,"")</f>
        <v/>
      </c>
      <c r="L104" s="13" t="n">
        <v>0.002</v>
      </c>
      <c r="M104" s="4" t="inlineStr"/>
      <c r="N104" s="4" t="inlineStr">
        <is>
          <t>2026-09-23T14:19:58.625Z</t>
        </is>
      </c>
      <c r="O104" s="4" t="inlineStr">
        <is>
          <t>2026-09-23T14:19:58.623Z</t>
        </is>
      </c>
    </row>
    <row r="105">
      <c r="A105" s="4" t="inlineStr">
        <is>
          <t>SOL → BSC</t>
        </is>
      </c>
      <c r="B105" s="4" t="n">
        <v>2</v>
      </c>
      <c r="C105" s="4" t="inlineStr">
        <is>
          <t>Meson</t>
        </is>
      </c>
      <c r="D105" s="19" t="n">
        <v>99.85005</v>
      </c>
      <c r="E105" s="4" t="inlineStr">
        <is>
          <t>yes</t>
        </is>
      </c>
      <c r="F105" s="19" t="n">
        <v>99.88</v>
      </c>
      <c r="G105" s="19" t="n"/>
      <c r="H105" s="17">
        <f>IF(ISNUMBER(F105),F105-N(G105),"")</f>
        <v/>
      </c>
      <c r="I105" s="16">
        <f>IF(AND(ISNUMBER(D105),ISNUMBER(H105)),(D105-H105)/100*10000,"")</f>
        <v/>
      </c>
      <c r="J105" s="19" t="n">
        <v>0.05</v>
      </c>
      <c r="K105" s="16">
        <f>IF(ISNUMBER(I105),I105+N(J105)/100*10000,"")</f>
        <v/>
      </c>
      <c r="L105" s="13" t="n">
        <v>0.003</v>
      </c>
      <c r="M105" s="4" t="inlineStr"/>
      <c r="N105" s="4" t="inlineStr">
        <is>
          <t>2026-09-23T14:24:42.081Z</t>
        </is>
      </c>
      <c r="O105" s="4" t="inlineStr">
        <is>
          <t>2026-09-23T14:24:42.078Z</t>
        </is>
      </c>
    </row>
    <row r="106">
      <c r="A106" s="4" t="inlineStr">
        <is>
          <t>SOL → BSC</t>
        </is>
      </c>
      <c r="B106" s="4" t="n">
        <v>3</v>
      </c>
      <c r="C106" s="4" t="inlineStr">
        <is>
          <t>Meson</t>
        </is>
      </c>
      <c r="D106" s="19" t="n">
        <v>99.85005</v>
      </c>
      <c r="E106" s="4" t="inlineStr">
        <is>
          <t>yes</t>
        </is>
      </c>
      <c r="F106" s="19" t="n">
        <v>99.88</v>
      </c>
      <c r="G106" s="19" t="n"/>
      <c r="H106" s="17">
        <f>IF(ISNUMBER(F106),F106-N(G106),"")</f>
        <v/>
      </c>
      <c r="I106" s="16">
        <f>IF(AND(ISNUMBER(D106),ISNUMBER(H106)),(D106-H106)/100*10000,"")</f>
        <v/>
      </c>
      <c r="J106" s="19" t="n">
        <v>0.05</v>
      </c>
      <c r="K106" s="16">
        <f>IF(ISNUMBER(I106),I106+N(J106)/100*10000,"")</f>
        <v/>
      </c>
      <c r="L106" s="13" t="n">
        <v>0.005</v>
      </c>
      <c r="M106" s="4" t="inlineStr"/>
      <c r="N106" s="4" t="inlineStr">
        <is>
          <t>2026-09-23T14:28:40.088Z</t>
        </is>
      </c>
      <c r="O106" s="4" t="inlineStr">
        <is>
          <t>2026-09-23T14:28:40.083Z</t>
        </is>
      </c>
    </row>
    <row r="107">
      <c r="A107" s="4" t="inlineStr">
        <is>
          <t>SOL → BSC</t>
        </is>
      </c>
      <c r="B107" s="4" t="n">
        <v>1</v>
      </c>
      <c r="C107" s="4" t="inlineStr">
        <is>
          <t>SimpleSwap</t>
        </is>
      </c>
      <c r="D107" s="19" t="n">
        <v>97.60941200000001</v>
      </c>
      <c r="E107" s="4" t="inlineStr"/>
      <c r="F107" s="19" t="n">
        <v>98.139</v>
      </c>
      <c r="G107" s="19" t="n"/>
      <c r="H107" s="17">
        <f>IF(ISNUMBER(F107),F107-N(G107),"")</f>
        <v/>
      </c>
      <c r="I107" s="16">
        <f>IF(AND(ISNUMBER(D107),ISNUMBER(H107)),(D107-H107)/100*10000,"")</f>
        <v/>
      </c>
      <c r="J107" s="19" t="n">
        <v>0.05</v>
      </c>
      <c r="K107" s="16">
        <f>IF(ISNUMBER(I107),I107+N(J107)/100*10000,"")</f>
        <v/>
      </c>
      <c r="L107" s="13" t="n">
        <v>0.002</v>
      </c>
      <c r="M107" s="4" t="inlineStr">
        <is>
          <t>selected card: Best rate; best card 98.139</t>
        </is>
      </c>
      <c r="N107" s="4" t="inlineStr">
        <is>
          <t>2026-09-23T14:19:58.625Z</t>
        </is>
      </c>
      <c r="O107" s="4" t="inlineStr">
        <is>
          <t>2026-09-23T14:19:58.627Z</t>
        </is>
      </c>
    </row>
    <row r="108">
      <c r="A108" s="4" t="inlineStr">
        <is>
          <t>SOL → BSC</t>
        </is>
      </c>
      <c r="B108" s="4" t="n">
        <v>2</v>
      </c>
      <c r="C108" s="4" t="inlineStr">
        <is>
          <t>SimpleSwap</t>
        </is>
      </c>
      <c r="D108" s="19" t="n">
        <v>97.61204600000001</v>
      </c>
      <c r="E108" s="4" t="inlineStr"/>
      <c r="F108" s="19" t="n">
        <v>98.139</v>
      </c>
      <c r="G108" s="19" t="n"/>
      <c r="H108" s="17">
        <f>IF(ISNUMBER(F108),F108-N(G108),"")</f>
        <v/>
      </c>
      <c r="I108" s="16">
        <f>IF(AND(ISNUMBER(D108),ISNUMBER(H108)),(D108-H108)/100*10000,"")</f>
        <v/>
      </c>
      <c r="J108" s="19" t="n">
        <v>0.05</v>
      </c>
      <c r="K108" s="16">
        <f>IF(ISNUMBER(I108),I108+N(J108)/100*10000,"")</f>
        <v/>
      </c>
      <c r="L108" s="13" t="n">
        <v>0.001</v>
      </c>
      <c r="M108" s="4" t="inlineStr">
        <is>
          <t>selected card: Best rate; best card 98.139</t>
        </is>
      </c>
      <c r="N108" s="4" t="inlineStr">
        <is>
          <t>2026-09-23T14:24:42.081Z</t>
        </is>
      </c>
      <c r="O108" s="4" t="inlineStr">
        <is>
          <t>2026-09-23T14:24:42.082Z</t>
        </is>
      </c>
    </row>
    <row r="109">
      <c r="A109" s="4" t="inlineStr">
        <is>
          <t>SOL → BSC</t>
        </is>
      </c>
      <c r="B109" s="4" t="n">
        <v>3</v>
      </c>
      <c r="C109" s="4" t="inlineStr">
        <is>
          <t>SimpleSwap</t>
        </is>
      </c>
      <c r="D109" s="19" t="n">
        <v>97.61133</v>
      </c>
      <c r="E109" s="4" t="inlineStr"/>
      <c r="F109" s="19" t="n"/>
      <c r="G109" s="19" t="n"/>
      <c r="H109" s="17">
        <f>IF(ISNUMBER(F109),F109-N(G109),"")</f>
        <v/>
      </c>
      <c r="I109" s="16">
        <f>IF(AND(ISNUMBER(D109),ISNUMBER(H109)),(D109-H109)/100*10000,"")</f>
        <v/>
      </c>
      <c r="J109" s="19" t="n">
        <v>0.05</v>
      </c>
      <c r="K109" s="16">
        <f>IF(ISNUMBER(I109),I109+N(J109)/100*10000,"")</f>
        <v/>
      </c>
      <c r="L109" s="13" t="n">
        <v>0.006</v>
      </c>
      <c r="M109" s="4" t="inlineStr">
        <is>
          <t>selected card: None; best card None</t>
        </is>
      </c>
      <c r="N109" s="4" t="inlineStr">
        <is>
          <t>2026-09-23T14:28:40.088Z</t>
        </is>
      </c>
      <c r="O109" s="4" t="inlineStr">
        <is>
          <t>2026-09-23T14:28:40.082Z</t>
        </is>
      </c>
    </row>
    <row r="110">
      <c r="A110" s="4" t="inlineStr">
        <is>
          <t>BSC → SOL</t>
        </is>
      </c>
      <c r="B110" s="4" t="n">
        <v>1</v>
      </c>
      <c r="C110" s="4" t="inlineStr">
        <is>
          <t>Relay</t>
        </is>
      </c>
      <c r="D110" s="19" t="n">
        <v>99.636746</v>
      </c>
      <c r="E110" s="4" t="inlineStr"/>
      <c r="F110" s="19" t="n">
        <v>99.885705</v>
      </c>
      <c r="G110" s="19" t="n"/>
      <c r="H110" s="17">
        <f>IF(ISNUMBER(F110),F110-N(G110),"")</f>
        <v/>
      </c>
      <c r="I110" s="16">
        <f>IF(AND(ISNUMBER(D110),ISNUMBER(H110)),(D110-H110)/100*10000,"")</f>
        <v/>
      </c>
      <c r="J110" s="19" t="n">
        <v>0.05</v>
      </c>
      <c r="K110" s="16">
        <f>IF(ISNUMBER(I110),I110+N(J110)/100*10000,"")</f>
        <v/>
      </c>
      <c r="L110" s="13" t="n">
        <v>0.002</v>
      </c>
      <c r="M110" s="4" t="inlineStr"/>
      <c r="N110" s="4" t="inlineStr">
        <is>
          <t>2026-09-23T14:20:29.480Z</t>
        </is>
      </c>
      <c r="O110" s="4" t="inlineStr">
        <is>
          <t>2026-09-23T14:20:29.482Z</t>
        </is>
      </c>
    </row>
    <row r="111">
      <c r="A111" s="4" t="inlineStr">
        <is>
          <t>BSC → SOL</t>
        </is>
      </c>
      <c r="B111" s="4" t="n">
        <v>2</v>
      </c>
      <c r="C111" s="4" t="inlineStr">
        <is>
          <t>Relay</t>
        </is>
      </c>
      <c r="D111" s="19" t="n">
        <v>99.635366</v>
      </c>
      <c r="E111" s="4" t="inlineStr"/>
      <c r="F111" s="19" t="n">
        <v>99.88570900000001</v>
      </c>
      <c r="G111" s="19" t="n"/>
      <c r="H111" s="17">
        <f>IF(ISNUMBER(F111),F111-N(G111),"")</f>
        <v/>
      </c>
      <c r="I111" s="16">
        <f>IF(AND(ISNUMBER(D111),ISNUMBER(H111)),(D111-H111)/100*10000,"")</f>
        <v/>
      </c>
      <c r="J111" s="19" t="n">
        <v>0.05</v>
      </c>
      <c r="K111" s="16">
        <f>IF(ISNUMBER(I111),I111+N(J111)/100*10000,"")</f>
        <v/>
      </c>
      <c r="L111" s="13" t="n">
        <v>0.001</v>
      </c>
      <c r="M111" s="4" t="inlineStr"/>
      <c r="N111" s="4" t="inlineStr">
        <is>
          <t>2026-09-23T14:25:12.872Z</t>
        </is>
      </c>
      <c r="O111" s="4" t="inlineStr">
        <is>
          <t>2026-09-23T14:25:12.871Z</t>
        </is>
      </c>
    </row>
    <row r="112">
      <c r="A112" s="4" t="inlineStr">
        <is>
          <t>BSC → SOL</t>
        </is>
      </c>
      <c r="B112" s="4" t="n">
        <v>3</v>
      </c>
      <c r="C112" s="4" t="inlineStr">
        <is>
          <t>Relay</t>
        </is>
      </c>
      <c r="D112" s="19" t="n">
        <v>99.637163</v>
      </c>
      <c r="E112" s="4" t="inlineStr"/>
      <c r="F112" s="19" t="n">
        <v>99.885718</v>
      </c>
      <c r="G112" s="19" t="n"/>
      <c r="H112" s="17">
        <f>IF(ISNUMBER(F112),F112-N(G112),"")</f>
        <v/>
      </c>
      <c r="I112" s="16">
        <f>IF(AND(ISNUMBER(D112),ISNUMBER(H112)),(D112-H112)/100*10000,"")</f>
        <v/>
      </c>
      <c r="J112" s="19" t="n">
        <v>0.05</v>
      </c>
      <c r="K112" s="16">
        <f>IF(ISNUMBER(I112),I112+N(J112)/100*10000,"")</f>
        <v/>
      </c>
      <c r="L112" s="13" t="n">
        <v>0</v>
      </c>
      <c r="M112" s="4" t="inlineStr"/>
      <c r="N112" s="4" t="inlineStr">
        <is>
          <t>2026-09-23T14:29:48.304Z</t>
        </is>
      </c>
      <c r="O112" s="4" t="inlineStr">
        <is>
          <t>2026-09-23T14:29:48.304Z</t>
        </is>
      </c>
    </row>
    <row r="113">
      <c r="A113" s="4" t="inlineStr">
        <is>
          <t>BSC → SOL</t>
        </is>
      </c>
      <c r="B113" s="4" t="n">
        <v>1</v>
      </c>
      <c r="C113" s="4" t="inlineStr">
        <is>
          <t>deBridge</t>
        </is>
      </c>
      <c r="D113" s="19" t="n">
        <v>98.903498</v>
      </c>
      <c r="E113" s="4" t="inlineStr"/>
      <c r="F113" s="19" t="n">
        <v>99.920017</v>
      </c>
      <c r="G113" s="19" t="n">
        <v>1.0173</v>
      </c>
      <c r="H113" s="17">
        <f>IF(ISNUMBER(F113),F113-N(G113),"")</f>
        <v/>
      </c>
      <c r="I113" s="16">
        <f>IF(AND(ISNUMBER(D113),ISNUMBER(H113)),(D113-H113)/100*10000,"")</f>
        <v/>
      </c>
      <c r="J113" s="19" t="n">
        <v>0.05</v>
      </c>
      <c r="K113" s="16">
        <f>IF(ISNUMBER(I113),I113+N(J113)/100*10000,"")</f>
        <v/>
      </c>
      <c r="L113" s="13" t="n">
        <v>0.002</v>
      </c>
      <c r="M113" s="4" t="inlineStr">
        <is>
          <t>+1.0173 USDC charged on top of 100 input (subtracted)</t>
        </is>
      </c>
      <c r="N113" s="4" t="inlineStr">
        <is>
          <t>2026-09-23T14:20:29.480Z</t>
        </is>
      </c>
      <c r="O113" s="4" t="inlineStr">
        <is>
          <t>2026-09-23T14:20:29.482Z</t>
        </is>
      </c>
    </row>
    <row r="114">
      <c r="A114" s="4" t="inlineStr">
        <is>
          <t>BSC → SOL</t>
        </is>
      </c>
      <c r="B114" s="4" t="n">
        <v>2</v>
      </c>
      <c r="C114" s="4" t="inlineStr">
        <is>
          <t>deBridge</t>
        </is>
      </c>
      <c r="D114" s="19" t="n">
        <v>98.91233200000001</v>
      </c>
      <c r="E114" s="4" t="inlineStr"/>
      <c r="F114" s="19" t="n">
        <v>99.920017</v>
      </c>
      <c r="G114" s="19" t="n">
        <v>1.0085</v>
      </c>
      <c r="H114" s="17">
        <f>IF(ISNUMBER(F114),F114-N(G114),"")</f>
        <v/>
      </c>
      <c r="I114" s="16">
        <f>IF(AND(ISNUMBER(D114),ISNUMBER(H114)),(D114-H114)/100*10000,"")</f>
        <v/>
      </c>
      <c r="J114" s="19" t="n">
        <v>0.05</v>
      </c>
      <c r="K114" s="16">
        <f>IF(ISNUMBER(I114),I114+N(J114)/100*10000,"")</f>
        <v/>
      </c>
      <c r="L114" s="13" t="n">
        <v>0.002</v>
      </c>
      <c r="M114" s="4" t="inlineStr">
        <is>
          <t>+1.0085 USDC charged on top of 100 input (subtracted)</t>
        </is>
      </c>
      <c r="N114" s="4" t="inlineStr">
        <is>
          <t>2026-09-23T14:25:12.872Z</t>
        </is>
      </c>
      <c r="O114" s="4" t="inlineStr">
        <is>
          <t>2026-09-23T14:25:12.870Z</t>
        </is>
      </c>
    </row>
    <row r="115">
      <c r="A115" s="4" t="inlineStr">
        <is>
          <t>BSC → SOL</t>
        </is>
      </c>
      <c r="B115" s="4" t="n">
        <v>3</v>
      </c>
      <c r="C115" s="4" t="inlineStr">
        <is>
          <t>deBridge</t>
        </is>
      </c>
      <c r="D115" s="19" t="n">
        <v>98.910062</v>
      </c>
      <c r="E115" s="4" t="inlineStr"/>
      <c r="F115" s="19" t="n">
        <v>99.880032</v>
      </c>
      <c r="G115" s="19" t="n">
        <v>1.0384</v>
      </c>
      <c r="H115" s="17">
        <f>IF(ISNUMBER(F115),F115-N(G115),"")</f>
        <v/>
      </c>
      <c r="I115" s="16">
        <f>IF(AND(ISNUMBER(D115),ISNUMBER(H115)),(D115-H115)/100*10000,"")</f>
        <v/>
      </c>
      <c r="J115" s="19" t="n">
        <v>0.05</v>
      </c>
      <c r="K115" s="16">
        <f>IF(ISNUMBER(I115),I115+N(J115)/100*10000,"")</f>
        <v/>
      </c>
      <c r="L115" s="13" t="n">
        <v>0.001</v>
      </c>
      <c r="M115" s="4" t="inlineStr">
        <is>
          <t>+1.0384 USDC charged on top of 100 input (subtracted)</t>
        </is>
      </c>
      <c r="N115" s="4" t="inlineStr">
        <is>
          <t>2026-09-23T14:29:48.304Z</t>
        </is>
      </c>
      <c r="O115" s="4" t="inlineStr">
        <is>
          <t>2026-09-23T14:29:48.303Z</t>
        </is>
      </c>
    </row>
    <row r="116">
      <c r="A116" s="4" t="inlineStr">
        <is>
          <t>BSC → SOL</t>
        </is>
      </c>
      <c r="B116" s="4" t="n">
        <v>1</v>
      </c>
      <c r="C116" s="4" t="inlineStr">
        <is>
          <t>LI.FI (Jumper)</t>
        </is>
      </c>
      <c r="D116" s="19" t="n">
        <v>99.09909399999999</v>
      </c>
      <c r="E116" s="4" t="inlineStr"/>
      <c r="F116" s="19" t="n">
        <v>99.885705</v>
      </c>
      <c r="G116" s="19" t="n"/>
      <c r="H116" s="17">
        <f>IF(ISNUMBER(F116),F116-N(G116),"")</f>
        <v/>
      </c>
      <c r="I116" s="16">
        <f>IF(AND(ISNUMBER(D116),ISNUMBER(H116)),(D116-H116)/100*10000,"")</f>
        <v/>
      </c>
      <c r="J116" s="19" t="n">
        <v>0.05</v>
      </c>
      <c r="K116" s="16">
        <f>IF(ISNUMBER(I116),I116+N(J116)/100*10000,"")</f>
        <v/>
      </c>
      <c r="L116" s="13" t="n">
        <v>0.004</v>
      </c>
      <c r="M116" s="4" t="inlineStr">
        <is>
          <t>Jumper Best Return via Relay; max route 99.885705</t>
        </is>
      </c>
      <c r="N116" s="4" t="inlineStr">
        <is>
          <t>2026-09-23T14:20:29.480Z</t>
        </is>
      </c>
      <c r="O116" s="4" t="inlineStr">
        <is>
          <t>2026-09-23T14:20:29.484Z</t>
        </is>
      </c>
    </row>
    <row r="117">
      <c r="A117" s="4" t="inlineStr">
        <is>
          <t>BSC → SOL</t>
        </is>
      </c>
      <c r="B117" s="4" t="n">
        <v>2</v>
      </c>
      <c r="C117" s="4" t="inlineStr">
        <is>
          <t>LI.FI (Jumper)</t>
        </is>
      </c>
      <c r="D117" s="19" t="n">
        <v>99.169579</v>
      </c>
      <c r="E117" s="4" t="inlineStr"/>
      <c r="F117" s="19" t="n">
        <v>99.88570900000001</v>
      </c>
      <c r="G117" s="19" t="n"/>
      <c r="H117" s="17">
        <f>IF(ISNUMBER(F117),F117-N(G117),"")</f>
        <v/>
      </c>
      <c r="I117" s="16">
        <f>IF(AND(ISNUMBER(D117),ISNUMBER(H117)),(D117-H117)/100*10000,"")</f>
        <v/>
      </c>
      <c r="J117" s="19" t="n">
        <v>0.05</v>
      </c>
      <c r="K117" s="16">
        <f>IF(ISNUMBER(I117),I117+N(J117)/100*10000,"")</f>
        <v/>
      </c>
      <c r="L117" s="13" t="n">
        <v>0.001</v>
      </c>
      <c r="M117" s="4" t="inlineStr">
        <is>
          <t>Jumper Best Return via Relay; max route 99.885709</t>
        </is>
      </c>
      <c r="N117" s="4" t="inlineStr">
        <is>
          <t>2026-09-23T14:25:12.872Z</t>
        </is>
      </c>
      <c r="O117" s="4" t="inlineStr">
        <is>
          <t>2026-09-23T14:25:12.871Z</t>
        </is>
      </c>
    </row>
    <row r="118">
      <c r="A118" s="4" t="inlineStr">
        <is>
          <t>BSC → SOL</t>
        </is>
      </c>
      <c r="B118" s="4" t="n">
        <v>3</v>
      </c>
      <c r="C118" s="4" t="inlineStr">
        <is>
          <t>LI.FI (Jumper)</t>
        </is>
      </c>
      <c r="D118" s="19" t="n">
        <v>98.87763</v>
      </c>
      <c r="E118" s="4" t="inlineStr"/>
      <c r="F118" s="19" t="n">
        <v>99.885718</v>
      </c>
      <c r="G118" s="19" t="n"/>
      <c r="H118" s="17">
        <f>IF(ISNUMBER(F118),F118-N(G118),"")</f>
        <v/>
      </c>
      <c r="I118" s="16">
        <f>IF(AND(ISNUMBER(D118),ISNUMBER(H118)),(D118-H118)/100*10000,"")</f>
        <v/>
      </c>
      <c r="J118" s="19" t="n">
        <v>0.05</v>
      </c>
      <c r="K118" s="16">
        <f>IF(ISNUMBER(I118),I118+N(J118)/100*10000,"")</f>
        <v/>
      </c>
      <c r="L118" s="13" t="n">
        <v>0.003</v>
      </c>
      <c r="M118" s="4" t="inlineStr">
        <is>
          <t>Jumper Best Return via Relay; max route 99.885718</t>
        </is>
      </c>
      <c r="N118" s="4" t="inlineStr">
        <is>
          <t>2026-09-23T14:29:48.304Z</t>
        </is>
      </c>
      <c r="O118" s="4" t="inlineStr">
        <is>
          <t>2026-09-23T14:29:48.301Z</t>
        </is>
      </c>
    </row>
    <row r="119">
      <c r="A119" s="4" t="inlineStr">
        <is>
          <t>BSC → SOL</t>
        </is>
      </c>
      <c r="B119" s="4" t="n">
        <v>1</v>
      </c>
      <c r="C119" s="4" t="inlineStr">
        <is>
          <t>Across</t>
        </is>
      </c>
      <c r="D119" s="19" t="inlineStr">
        <is>
          <t>not listed</t>
        </is>
      </c>
      <c r="E119" s="4" t="inlineStr"/>
      <c r="F119" s="19" t="n">
        <v>99.981745</v>
      </c>
      <c r="G119" s="19" t="n"/>
      <c r="H119" s="17">
        <f>IF(ISNUMBER(F119),F119-N(G119),"")</f>
        <v/>
      </c>
      <c r="I119" s="16">
        <f>IF(AND(ISNUMBER(D119),ISNUMBER(H119)),(D119-H119)/100*10000,"")</f>
        <v/>
      </c>
      <c r="J119" s="19" t="n">
        <v>0.05</v>
      </c>
      <c r="K119" s="16">
        <f>IF(ISNUMBER(I119),I119+N(J119)/100*10000,"")</f>
        <v/>
      </c>
      <c r="L119" s="13" t="n">
        <v>0.001</v>
      </c>
      <c r="M119" s="4" t="inlineStr"/>
      <c r="N119" s="4" t="inlineStr">
        <is>
          <t>2026-09-23T14:20:29.480Z</t>
        </is>
      </c>
      <c r="O119" s="4" t="inlineStr">
        <is>
          <t>2026-09-23T14:20:29.481Z</t>
        </is>
      </c>
    </row>
    <row r="120">
      <c r="A120" s="4" t="inlineStr">
        <is>
          <t>BSC → SOL</t>
        </is>
      </c>
      <c r="B120" s="4" t="n">
        <v>2</v>
      </c>
      <c r="C120" s="4" t="inlineStr">
        <is>
          <t>Across</t>
        </is>
      </c>
      <c r="D120" s="19" t="inlineStr">
        <is>
          <t>not listed</t>
        </is>
      </c>
      <c r="E120" s="4" t="inlineStr"/>
      <c r="F120" s="19" t="n">
        <v>99.98218799999999</v>
      </c>
      <c r="G120" s="19" t="n"/>
      <c r="H120" s="17">
        <f>IF(ISNUMBER(F120),F120-N(G120),"")</f>
        <v/>
      </c>
      <c r="I120" s="16">
        <f>IF(AND(ISNUMBER(D120),ISNUMBER(H120)),(D120-H120)/100*10000,"")</f>
        <v/>
      </c>
      <c r="J120" s="19" t="n">
        <v>0.05</v>
      </c>
      <c r="K120" s="16">
        <f>IF(ISNUMBER(I120),I120+N(J120)/100*10000,"")</f>
        <v/>
      </c>
      <c r="L120" s="13" t="n">
        <v>0.003</v>
      </c>
      <c r="M120" s="4" t="inlineStr"/>
      <c r="N120" s="4" t="inlineStr">
        <is>
          <t>2026-09-23T14:25:12.872Z</t>
        </is>
      </c>
      <c r="O120" s="4" t="inlineStr">
        <is>
          <t>2026-09-23T14:25:12.869Z</t>
        </is>
      </c>
    </row>
    <row r="121">
      <c r="A121" s="4" t="inlineStr">
        <is>
          <t>BSC → SOL</t>
        </is>
      </c>
      <c r="B121" s="4" t="n">
        <v>3</v>
      </c>
      <c r="C121" s="4" t="inlineStr">
        <is>
          <t>Across</t>
        </is>
      </c>
      <c r="D121" s="19" t="inlineStr">
        <is>
          <t>not listed</t>
        </is>
      </c>
      <c r="E121" s="4" t="inlineStr"/>
      <c r="F121" s="19" t="n">
        <v>99.972442</v>
      </c>
      <c r="G121" s="19" t="n"/>
      <c r="H121" s="17">
        <f>IF(ISNUMBER(F121),F121-N(G121),"")</f>
        <v/>
      </c>
      <c r="I121" s="16">
        <f>IF(AND(ISNUMBER(D121),ISNUMBER(H121)),(D121-H121)/100*10000,"")</f>
        <v/>
      </c>
      <c r="J121" s="19" t="n">
        <v>0.05</v>
      </c>
      <c r="K121" s="16">
        <f>IF(ISNUMBER(I121),I121+N(J121)/100*10000,"")</f>
        <v/>
      </c>
      <c r="L121" s="13" t="n">
        <v>0.002</v>
      </c>
      <c r="M121" s="4" t="inlineStr"/>
      <c r="N121" s="4" t="inlineStr">
        <is>
          <t>2026-09-23T14:29:48.304Z</t>
        </is>
      </c>
      <c r="O121" s="4" t="inlineStr">
        <is>
          <t>2026-09-23T14:29:48.302Z</t>
        </is>
      </c>
    </row>
    <row r="122">
      <c r="A122" s="4" t="inlineStr">
        <is>
          <t>BSC → SOL</t>
        </is>
      </c>
      <c r="B122" s="4" t="n">
        <v>1</v>
      </c>
      <c r="C122" s="4" t="inlineStr">
        <is>
          <t>Mayan</t>
        </is>
      </c>
      <c r="D122" s="19" t="n">
        <v>99.64047100000001</v>
      </c>
      <c r="E122" s="4" t="inlineStr"/>
      <c r="F122" s="19" t="n">
        <v>99.69</v>
      </c>
      <c r="G122" s="19" t="n"/>
      <c r="H122" s="17">
        <f>IF(ISNUMBER(F122),F122-N(G122),"")</f>
        <v/>
      </c>
      <c r="I122" s="16">
        <f>IF(AND(ISNUMBER(D122),ISNUMBER(H122)),(D122-H122)/100*10000,"")</f>
        <v/>
      </c>
      <c r="J122" s="19" t="n">
        <v>0.05</v>
      </c>
      <c r="K122" s="16">
        <f>IF(ISNUMBER(I122),I122+N(J122)/100*10000,"")</f>
        <v/>
      </c>
      <c r="L122" s="13" t="n">
        <v>0.001</v>
      </c>
      <c r="M122" s="4" t="inlineStr">
        <is>
          <t>Swift v2; UI shows 2 dp</t>
        </is>
      </c>
      <c r="N122" s="4" t="inlineStr">
        <is>
          <t>2026-09-23T14:20:29.480Z</t>
        </is>
      </c>
      <c r="O122" s="4" t="inlineStr">
        <is>
          <t>2026-09-23T14:20:29.481Z</t>
        </is>
      </c>
    </row>
    <row r="123">
      <c r="A123" s="4" t="inlineStr">
        <is>
          <t>BSC → SOL</t>
        </is>
      </c>
      <c r="B123" s="4" t="n">
        <v>2</v>
      </c>
      <c r="C123" s="4" t="inlineStr">
        <is>
          <t>Mayan</t>
        </is>
      </c>
      <c r="D123" s="19" t="n">
        <v>99.639692</v>
      </c>
      <c r="E123" s="4" t="inlineStr"/>
      <c r="F123" s="19" t="n">
        <v>99.68899999999999</v>
      </c>
      <c r="G123" s="19" t="n"/>
      <c r="H123" s="17">
        <f>IF(ISNUMBER(F123),F123-N(G123),"")</f>
        <v/>
      </c>
      <c r="I123" s="16">
        <f>IF(AND(ISNUMBER(D123),ISNUMBER(H123)),(D123-H123)/100*10000,"")</f>
        <v/>
      </c>
      <c r="J123" s="19" t="n">
        <v>0.05</v>
      </c>
      <c r="K123" s="16">
        <f>IF(ISNUMBER(I123),I123+N(J123)/100*10000,"")</f>
        <v/>
      </c>
      <c r="L123" s="13" t="n">
        <v>0.002</v>
      </c>
      <c r="M123" s="4" t="inlineStr">
        <is>
          <t>Swift v2; UI shows 3 dp</t>
        </is>
      </c>
      <c r="N123" s="4" t="inlineStr">
        <is>
          <t>2026-09-23T14:25:12.872Z</t>
        </is>
      </c>
      <c r="O123" s="4" t="inlineStr">
        <is>
          <t>2026-09-23T14:25:12.870Z</t>
        </is>
      </c>
    </row>
    <row r="124">
      <c r="A124" s="4" t="inlineStr">
        <is>
          <t>BSC → SOL</t>
        </is>
      </c>
      <c r="B124" s="4" t="n">
        <v>3</v>
      </c>
      <c r="C124" s="4" t="inlineStr">
        <is>
          <t>Mayan</t>
        </is>
      </c>
      <c r="D124" s="19" t="n">
        <v>99.640843</v>
      </c>
      <c r="E124" s="4" t="inlineStr"/>
      <c r="F124" s="19" t="n">
        <v>99.69</v>
      </c>
      <c r="G124" s="19" t="n"/>
      <c r="H124" s="17">
        <f>IF(ISNUMBER(F124),F124-N(G124),"")</f>
        <v/>
      </c>
      <c r="I124" s="16">
        <f>IF(AND(ISNUMBER(D124),ISNUMBER(H124)),(D124-H124)/100*10000,"")</f>
        <v/>
      </c>
      <c r="J124" s="19" t="n">
        <v>0.05</v>
      </c>
      <c r="K124" s="16">
        <f>IF(ISNUMBER(I124),I124+N(J124)/100*10000,"")</f>
        <v/>
      </c>
      <c r="L124" s="13" t="n">
        <v>0.002</v>
      </c>
      <c r="M124" s="4" t="inlineStr">
        <is>
          <t>Swift v2; UI shows 2 dp</t>
        </is>
      </c>
      <c r="N124" s="4" t="inlineStr">
        <is>
          <t>2026-09-23T14:29:48.304Z</t>
        </is>
      </c>
      <c r="O124" s="4" t="inlineStr">
        <is>
          <t>2026-09-23T14:29:48.302Z</t>
        </is>
      </c>
    </row>
    <row r="125">
      <c r="A125" s="4" t="inlineStr">
        <is>
          <t>BSC → SOL</t>
        </is>
      </c>
      <c r="B125" s="4" t="n">
        <v>1</v>
      </c>
      <c r="C125" s="4" t="inlineStr">
        <is>
          <t>Husher</t>
        </is>
      </c>
      <c r="D125" s="19" t="n">
        <v>99.45025</v>
      </c>
      <c r="E125" s="4" t="inlineStr"/>
      <c r="F125" s="19" t="n">
        <v>99.34999999999999</v>
      </c>
      <c r="G125" s="19" t="n"/>
      <c r="H125" s="17">
        <f>IF(ISNUMBER(F125),F125-N(G125),"")</f>
        <v/>
      </c>
      <c r="I125" s="16">
        <f>IF(AND(ISNUMBER(D125),ISNUMBER(H125)),(D125-H125)/100*10000,"")</f>
        <v/>
      </c>
      <c r="J125" s="19" t="n">
        <v>0.05</v>
      </c>
      <c r="K125" s="16">
        <f>IF(ISNUMBER(I125),I125+N(J125)/100*10000,"")</f>
        <v/>
      </c>
      <c r="L125" s="13" t="n">
        <v>0.001</v>
      </c>
      <c r="M125" s="4" t="inlineStr"/>
      <c r="N125" s="4" t="inlineStr">
        <is>
          <t>2026-09-23T14:20:29.480Z</t>
        </is>
      </c>
      <c r="O125" s="4" t="inlineStr">
        <is>
          <t>2026-09-23T14:20:29.481Z</t>
        </is>
      </c>
    </row>
    <row r="126">
      <c r="A126" s="4" t="inlineStr">
        <is>
          <t>BSC → SOL</t>
        </is>
      </c>
      <c r="B126" s="4" t="n">
        <v>2</v>
      </c>
      <c r="C126" s="4" t="inlineStr">
        <is>
          <t>Husher</t>
        </is>
      </c>
      <c r="D126" s="19" t="n">
        <v>99.45025</v>
      </c>
      <c r="E126" s="4" t="inlineStr"/>
      <c r="F126" s="19" t="n">
        <v>99.34999999999999</v>
      </c>
      <c r="G126" s="19" t="n"/>
      <c r="H126" s="17">
        <f>IF(ISNUMBER(F126),F126-N(G126),"")</f>
        <v/>
      </c>
      <c r="I126" s="16">
        <f>IF(AND(ISNUMBER(D126),ISNUMBER(H126)),(D126-H126)/100*10000,"")</f>
        <v/>
      </c>
      <c r="J126" s="19" t="n">
        <v>0.05</v>
      </c>
      <c r="K126" s="16">
        <f>IF(ISNUMBER(I126),I126+N(J126)/100*10000,"")</f>
        <v/>
      </c>
      <c r="L126" s="13" t="n">
        <v>0.002</v>
      </c>
      <c r="M126" s="4" t="inlineStr"/>
      <c r="N126" s="4" t="inlineStr">
        <is>
          <t>2026-09-23T14:25:12.872Z</t>
        </is>
      </c>
      <c r="O126" s="4" t="inlineStr">
        <is>
          <t>2026-09-23T14:25:12.870Z</t>
        </is>
      </c>
    </row>
    <row r="127">
      <c r="A127" s="4" t="inlineStr">
        <is>
          <t>BSC → SOL</t>
        </is>
      </c>
      <c r="B127" s="4" t="n">
        <v>3</v>
      </c>
      <c r="C127" s="4" t="inlineStr">
        <is>
          <t>Husher</t>
        </is>
      </c>
      <c r="D127" s="19" t="n">
        <v>99.45025</v>
      </c>
      <c r="E127" s="4" t="inlineStr"/>
      <c r="F127" s="19" t="n">
        <v>99.34999999999999</v>
      </c>
      <c r="G127" s="19" t="n"/>
      <c r="H127" s="17">
        <f>IF(ISNUMBER(F127),F127-N(G127),"")</f>
        <v/>
      </c>
      <c r="I127" s="16">
        <f>IF(AND(ISNUMBER(D127),ISNUMBER(H127)),(D127-H127)/100*10000,"")</f>
        <v/>
      </c>
      <c r="J127" s="19" t="n">
        <v>0.05</v>
      </c>
      <c r="K127" s="16">
        <f>IF(ISNUMBER(I127),I127+N(J127)/100*10000,"")</f>
        <v/>
      </c>
      <c r="L127" s="13" t="n">
        <v>0.002</v>
      </c>
      <c r="M127" s="4" t="inlineStr"/>
      <c r="N127" s="4" t="inlineStr">
        <is>
          <t>2026-09-23T14:29:48.304Z</t>
        </is>
      </c>
      <c r="O127" s="4" t="inlineStr">
        <is>
          <t>2026-09-23T14:29:48.302Z</t>
        </is>
      </c>
    </row>
    <row r="128">
      <c r="A128" s="4" t="inlineStr">
        <is>
          <t>BSC → SOL</t>
        </is>
      </c>
      <c r="B128" s="4" t="n">
        <v>1</v>
      </c>
      <c r="C128" s="4" t="inlineStr">
        <is>
          <t>Layerswap</t>
        </is>
      </c>
      <c r="D128" s="19" t="n">
        <v>99.504542</v>
      </c>
      <c r="E128" s="4" t="inlineStr"/>
      <c r="F128" s="19" t="n">
        <v>99.633822</v>
      </c>
      <c r="G128" s="19" t="n"/>
      <c r="H128" s="17">
        <f>IF(ISNUMBER(F128),F128-N(G128),"")</f>
        <v/>
      </c>
      <c r="I128" s="16">
        <f>IF(AND(ISNUMBER(D128),ISNUMBER(H128)),(D128-H128)/100*10000,"")</f>
        <v/>
      </c>
      <c r="J128" s="19" t="n">
        <v>0.05</v>
      </c>
      <c r="K128" s="16">
        <f>IF(ISNUMBER(I128),I128+N(J128)/100*10000,"")</f>
        <v/>
      </c>
      <c r="L128" s="13" t="n">
        <v>0.004</v>
      </c>
      <c r="M128" s="4" t="inlineStr"/>
      <c r="N128" s="4" t="inlineStr">
        <is>
          <t>2026-09-23T14:20:29.480Z</t>
        </is>
      </c>
      <c r="O128" s="4" t="inlineStr">
        <is>
          <t>2026-09-23T14:20:29.484Z</t>
        </is>
      </c>
    </row>
    <row r="129">
      <c r="A129" s="4" t="inlineStr">
        <is>
          <t>BSC → SOL</t>
        </is>
      </c>
      <c r="B129" s="4" t="n">
        <v>2</v>
      </c>
      <c r="C129" s="4" t="inlineStr">
        <is>
          <t>Layerswap</t>
        </is>
      </c>
      <c r="D129" s="19" t="n">
        <v>99.50580600000001</v>
      </c>
      <c r="E129" s="4" t="inlineStr"/>
      <c r="F129" s="19" t="n">
        <v>99.63508899999999</v>
      </c>
      <c r="G129" s="19" t="n"/>
      <c r="H129" s="17">
        <f>IF(ISNUMBER(F129),F129-N(G129),"")</f>
        <v/>
      </c>
      <c r="I129" s="16">
        <f>IF(AND(ISNUMBER(D129),ISNUMBER(H129)),(D129-H129)/100*10000,"")</f>
        <v/>
      </c>
      <c r="J129" s="19" t="n">
        <v>0.05</v>
      </c>
      <c r="K129" s="16">
        <f>IF(ISNUMBER(I129),I129+N(J129)/100*10000,"")</f>
        <v/>
      </c>
      <c r="L129" s="13" t="n">
        <v>0.001</v>
      </c>
      <c r="M129" s="4" t="inlineStr"/>
      <c r="N129" s="4" t="inlineStr">
        <is>
          <t>2026-09-23T14:25:12.872Z</t>
        </is>
      </c>
      <c r="O129" s="4" t="inlineStr">
        <is>
          <t>2026-09-23T14:25:12.871Z</t>
        </is>
      </c>
    </row>
    <row r="130">
      <c r="A130" s="4" t="inlineStr">
        <is>
          <t>BSC → SOL</t>
        </is>
      </c>
      <c r="B130" s="4" t="n">
        <v>3</v>
      </c>
      <c r="C130" s="4" t="inlineStr">
        <is>
          <t>Layerswap</t>
        </is>
      </c>
      <c r="D130" s="19" t="n">
        <v>99.505617</v>
      </c>
      <c r="E130" s="4" t="inlineStr"/>
      <c r="F130" s="19" t="n">
        <v>99.634899</v>
      </c>
      <c r="G130" s="19" t="n"/>
      <c r="H130" s="17">
        <f>IF(ISNUMBER(F130),F130-N(G130),"")</f>
        <v/>
      </c>
      <c r="I130" s="16">
        <f>IF(AND(ISNUMBER(D130),ISNUMBER(H130)),(D130-H130)/100*10000,"")</f>
        <v/>
      </c>
      <c r="J130" s="19" t="n">
        <v>0.05</v>
      </c>
      <c r="K130" s="16">
        <f>IF(ISNUMBER(I130),I130+N(J130)/100*10000,"")</f>
        <v/>
      </c>
      <c r="L130" s="13" t="n">
        <v>0.001</v>
      </c>
      <c r="M130" s="4" t="inlineStr"/>
      <c r="N130" s="4" t="inlineStr">
        <is>
          <t>2026-09-23T14:29:48.304Z</t>
        </is>
      </c>
      <c r="O130" s="4" t="inlineStr">
        <is>
          <t>2026-09-23T14:29:48.303Z</t>
        </is>
      </c>
    </row>
    <row r="131">
      <c r="A131" s="4" t="inlineStr">
        <is>
          <t>BSC → SOL</t>
        </is>
      </c>
      <c r="B131" s="4" t="n">
        <v>1</v>
      </c>
      <c r="C131" s="4" t="inlineStr">
        <is>
          <t>Meson</t>
        </is>
      </c>
      <c r="D131" s="19" t="n">
        <v>99.45025</v>
      </c>
      <c r="E131" s="4" t="inlineStr"/>
      <c r="F131" s="19" t="n">
        <v>99.59999999999999</v>
      </c>
      <c r="G131" s="19" t="n"/>
      <c r="H131" s="17">
        <f>IF(ISNUMBER(F131),F131-N(G131),"")</f>
        <v/>
      </c>
      <c r="I131" s="16">
        <f>IF(AND(ISNUMBER(D131),ISNUMBER(H131)),(D131-H131)/100*10000,"")</f>
        <v/>
      </c>
      <c r="J131" s="19" t="n">
        <v>0.05</v>
      </c>
      <c r="K131" s="16">
        <f>IF(ISNUMBER(I131),I131+N(J131)/100*10000,"")</f>
        <v/>
      </c>
      <c r="L131" s="13" t="n">
        <v>0</v>
      </c>
      <c r="M131" s="4" t="inlineStr"/>
      <c r="N131" s="4" t="inlineStr">
        <is>
          <t>2026-09-23T14:20:29.480Z</t>
        </is>
      </c>
      <c r="O131" s="4" t="inlineStr">
        <is>
          <t>2026-09-23T14:20:29.480Z</t>
        </is>
      </c>
    </row>
    <row r="132">
      <c r="A132" s="4" t="inlineStr">
        <is>
          <t>BSC → SOL</t>
        </is>
      </c>
      <c r="B132" s="4" t="n">
        <v>2</v>
      </c>
      <c r="C132" s="4" t="inlineStr">
        <is>
          <t>Meson</t>
        </is>
      </c>
      <c r="D132" s="19" t="n">
        <v>99.45025</v>
      </c>
      <c r="E132" s="4" t="inlineStr"/>
      <c r="F132" s="19" t="n">
        <v>99.59999999999999</v>
      </c>
      <c r="G132" s="19" t="n"/>
      <c r="H132" s="17">
        <f>IF(ISNUMBER(F132),F132-N(G132),"")</f>
        <v/>
      </c>
      <c r="I132" s="16">
        <f>IF(AND(ISNUMBER(D132),ISNUMBER(H132)),(D132-H132)/100*10000,"")</f>
        <v/>
      </c>
      <c r="J132" s="19" t="n">
        <v>0.05</v>
      </c>
      <c r="K132" s="16">
        <f>IF(ISNUMBER(I132),I132+N(J132)/100*10000,"")</f>
        <v/>
      </c>
      <c r="L132" s="13" t="n">
        <v>0.003</v>
      </c>
      <c r="M132" s="4" t="inlineStr"/>
      <c r="N132" s="4" t="inlineStr">
        <is>
          <t>2026-09-23T14:25:12.872Z</t>
        </is>
      </c>
      <c r="O132" s="4" t="inlineStr">
        <is>
          <t>2026-09-23T14:25:12.869Z</t>
        </is>
      </c>
    </row>
    <row r="133">
      <c r="A133" s="4" t="inlineStr">
        <is>
          <t>BSC → SOL</t>
        </is>
      </c>
      <c r="B133" s="4" t="n">
        <v>3</v>
      </c>
      <c r="C133" s="4" t="inlineStr">
        <is>
          <t>Meson</t>
        </is>
      </c>
      <c r="D133" s="19" t="n">
        <v>99.45025</v>
      </c>
      <c r="E133" s="4" t="inlineStr"/>
      <c r="F133" s="19" t="n">
        <v>99.59999999999999</v>
      </c>
      <c r="G133" s="19" t="n"/>
      <c r="H133" s="17">
        <f>IF(ISNUMBER(F133),F133-N(G133),"")</f>
        <v/>
      </c>
      <c r="I133" s="16">
        <f>IF(AND(ISNUMBER(D133),ISNUMBER(H133)),(D133-H133)/100*10000,"")</f>
        <v/>
      </c>
      <c r="J133" s="19" t="n">
        <v>0.05</v>
      </c>
      <c r="K133" s="16">
        <f>IF(ISNUMBER(I133),I133+N(J133)/100*10000,"")</f>
        <v/>
      </c>
      <c r="L133" s="13" t="n">
        <v>0.002</v>
      </c>
      <c r="M133" s="4" t="inlineStr"/>
      <c r="N133" s="4" t="inlineStr">
        <is>
          <t>2026-09-23T14:29:48.304Z</t>
        </is>
      </c>
      <c r="O133" s="4" t="inlineStr">
        <is>
          <t>2026-09-23T14:29:48.302Z</t>
        </is>
      </c>
    </row>
    <row r="134">
      <c r="A134" s="4" t="inlineStr">
        <is>
          <t>BSC → SOL</t>
        </is>
      </c>
      <c r="B134" s="4" t="n">
        <v>1</v>
      </c>
      <c r="C134" s="4" t="inlineStr">
        <is>
          <t>SimpleSwap</t>
        </is>
      </c>
      <c r="D134" s="19" t="n">
        <v>97.562856</v>
      </c>
      <c r="E134" s="4" t="inlineStr"/>
      <c r="F134" s="19" t="n">
        <v>98.180302</v>
      </c>
      <c r="G134" s="19" t="n"/>
      <c r="H134" s="17">
        <f>IF(ISNUMBER(F134),F134-N(G134),"")</f>
        <v/>
      </c>
      <c r="I134" s="16">
        <f>IF(AND(ISNUMBER(D134),ISNUMBER(H134)),(D134-H134)/100*10000,"")</f>
        <v/>
      </c>
      <c r="J134" s="19" t="n">
        <v>0.05</v>
      </c>
      <c r="K134" s="16">
        <f>IF(ISNUMBER(I134),I134+N(J134)/100*10000,"")</f>
        <v/>
      </c>
      <c r="L134" s="13" t="n">
        <v>0.004</v>
      </c>
      <c r="M134" s="4" t="inlineStr">
        <is>
          <t>selected card: Best rate; best card 98.180302</t>
        </is>
      </c>
      <c r="N134" s="4" t="inlineStr">
        <is>
          <t>2026-09-23T14:20:29.480Z</t>
        </is>
      </c>
      <c r="O134" s="4" t="inlineStr">
        <is>
          <t>2026-09-23T14:20:29.484Z</t>
        </is>
      </c>
    </row>
    <row r="135">
      <c r="A135" s="4" t="inlineStr">
        <is>
          <t>BSC → SOL</t>
        </is>
      </c>
      <c r="B135" s="4" t="n">
        <v>2</v>
      </c>
      <c r="C135" s="4" t="inlineStr">
        <is>
          <t>SimpleSwap</t>
        </is>
      </c>
      <c r="D135" s="19" t="n">
        <v>97.565873</v>
      </c>
      <c r="E135" s="4" t="inlineStr"/>
      <c r="F135" s="19" t="n">
        <v>98.180302</v>
      </c>
      <c r="G135" s="19" t="n"/>
      <c r="H135" s="17">
        <f>IF(ISNUMBER(F135),F135-N(G135),"")</f>
        <v/>
      </c>
      <c r="I135" s="16">
        <f>IF(AND(ISNUMBER(D135),ISNUMBER(H135)),(D135-H135)/100*10000,"")</f>
        <v/>
      </c>
      <c r="J135" s="19" t="n">
        <v>0.05</v>
      </c>
      <c r="K135" s="16">
        <f>IF(ISNUMBER(I135),I135+N(J135)/100*10000,"")</f>
        <v/>
      </c>
      <c r="L135" s="13" t="n">
        <v>0</v>
      </c>
      <c r="M135" s="4" t="inlineStr">
        <is>
          <t>selected card: Best rate; best card 98.180302</t>
        </is>
      </c>
      <c r="N135" s="4" t="inlineStr">
        <is>
          <t>2026-09-23T14:25:12.872Z</t>
        </is>
      </c>
      <c r="O135" s="4" t="inlineStr">
        <is>
          <t>2026-09-23T14:25:12.872Z</t>
        </is>
      </c>
    </row>
    <row r="136">
      <c r="A136" s="4" t="inlineStr">
        <is>
          <t>BSC → SOL</t>
        </is>
      </c>
      <c r="B136" s="4" t="n">
        <v>3</v>
      </c>
      <c r="C136" s="4" t="inlineStr">
        <is>
          <t>SimpleSwap</t>
        </is>
      </c>
      <c r="D136" s="19" t="n">
        <v>97.567459</v>
      </c>
      <c r="E136" s="4" t="inlineStr"/>
      <c r="F136" s="19" t="n">
        <v>98.180302</v>
      </c>
      <c r="G136" s="19" t="n"/>
      <c r="H136" s="17">
        <f>IF(ISNUMBER(F136),F136-N(G136),"")</f>
        <v/>
      </c>
      <c r="I136" s="16">
        <f>IF(AND(ISNUMBER(D136),ISNUMBER(H136)),(D136-H136)/100*10000,"")</f>
        <v/>
      </c>
      <c r="J136" s="19" t="n">
        <v>0.05</v>
      </c>
      <c r="K136" s="16">
        <f>IF(ISNUMBER(I136),I136+N(J136)/100*10000,"")</f>
        <v/>
      </c>
      <c r="L136" s="13" t="n">
        <v>0</v>
      </c>
      <c r="M136" s="4" t="inlineStr">
        <is>
          <t>selected card: Best rate; best card 98.180302</t>
        </is>
      </c>
      <c r="N136" s="4" t="inlineStr">
        <is>
          <t>2026-09-23T14:29:48.304Z</t>
        </is>
      </c>
      <c r="O136" s="4" t="inlineStr">
        <is>
          <t>2026-09-23T14:29:48.304Z</t>
        </is>
      </c>
    </row>
    <row r="137">
      <c r="A137" s="4" t="inlineStr">
        <is>
          <t>BSC → SOL</t>
        </is>
      </c>
      <c r="B137" s="4" t="n">
        <v>1</v>
      </c>
      <c r="C137" s="4" t="inlineStr">
        <is>
          <t>Symbiosis</t>
        </is>
      </c>
      <c r="D137" s="19" t="n">
        <v>98.365493</v>
      </c>
      <c r="E137" s="4" t="inlineStr"/>
      <c r="F137" s="19" t="n">
        <v>98.355626</v>
      </c>
      <c r="G137" s="19" t="n"/>
      <c r="H137" s="17">
        <f>IF(ISNUMBER(F137),F137-N(G137),"")</f>
        <v/>
      </c>
      <c r="I137" s="16">
        <f>IF(AND(ISNUMBER(D137),ISNUMBER(H137)),(D137-H137)/100*10000,"")</f>
        <v/>
      </c>
      <c r="J137" s="19" t="n">
        <v>0.05</v>
      </c>
      <c r="K137" s="16">
        <f>IF(ISNUMBER(I137),I137+N(J137)/100*10000,"")</f>
        <v/>
      </c>
      <c r="L137" s="13" t="n">
        <v>0</v>
      </c>
      <c r="M137" s="4" t="inlineStr"/>
      <c r="N137" s="4" t="inlineStr">
        <is>
          <t>2026-09-23T14:20:29.480Z</t>
        </is>
      </c>
      <c r="O137" s="4" t="inlineStr">
        <is>
          <t>2026-09-23T14:20:29.480Z</t>
        </is>
      </c>
    </row>
    <row r="138">
      <c r="A138" s="4" t="inlineStr">
        <is>
          <t>BSC → SOL</t>
        </is>
      </c>
      <c r="B138" s="4" t="n">
        <v>2</v>
      </c>
      <c r="C138" s="4" t="inlineStr">
        <is>
          <t>Symbiosis</t>
        </is>
      </c>
      <c r="D138" s="19" t="n">
        <v>98.360523</v>
      </c>
      <c r="E138" s="4" t="inlineStr"/>
      <c r="F138" s="19" t="n">
        <v>98.360523</v>
      </c>
      <c r="G138" s="19" t="n"/>
      <c r="H138" s="17">
        <f>IF(ISNUMBER(F138),F138-N(G138),"")</f>
        <v/>
      </c>
      <c r="I138" s="16">
        <f>IF(AND(ISNUMBER(D138),ISNUMBER(H138)),(D138-H138)/100*10000,"")</f>
        <v/>
      </c>
      <c r="J138" s="19" t="n">
        <v>0.05</v>
      </c>
      <c r="K138" s="16">
        <f>IF(ISNUMBER(I138),I138+N(J138)/100*10000,"")</f>
        <v/>
      </c>
      <c r="L138" s="13" t="n">
        <v>0.003</v>
      </c>
      <c r="M138" s="4" t="inlineStr"/>
      <c r="N138" s="4" t="inlineStr">
        <is>
          <t>2026-09-23T14:25:12.872Z</t>
        </is>
      </c>
      <c r="O138" s="4" t="inlineStr">
        <is>
          <t>2026-09-23T14:25:12.869Z</t>
        </is>
      </c>
    </row>
    <row r="139">
      <c r="A139" s="4" t="inlineStr">
        <is>
          <t>BSC → SOL</t>
        </is>
      </c>
      <c r="B139" s="4" t="n">
        <v>3</v>
      </c>
      <c r="C139" s="4" t="inlineStr">
        <is>
          <t>Symbiosis</t>
        </is>
      </c>
      <c r="D139" s="19" t="n">
        <v>98.357827</v>
      </c>
      <c r="E139" s="4" t="inlineStr"/>
      <c r="F139" s="19" t="n">
        <v>98.357827</v>
      </c>
      <c r="G139" s="19" t="n"/>
      <c r="H139" s="17">
        <f>IF(ISNUMBER(F139),F139-N(G139),"")</f>
        <v/>
      </c>
      <c r="I139" s="16">
        <f>IF(AND(ISNUMBER(D139),ISNUMBER(H139)),(D139-H139)/100*10000,"")</f>
        <v/>
      </c>
      <c r="J139" s="19" t="n">
        <v>0.05</v>
      </c>
      <c r="K139" s="16">
        <f>IF(ISNUMBER(I139),I139+N(J139)/100*10000,"")</f>
        <v/>
      </c>
      <c r="L139" s="13" t="n">
        <v>0.001</v>
      </c>
      <c r="M139" s="4" t="inlineStr"/>
      <c r="N139" s="4" t="inlineStr">
        <is>
          <t>2026-09-23T14:29:48.304Z</t>
        </is>
      </c>
      <c r="O139" s="4" t="inlineStr">
        <is>
          <t>2026-09-23T14:29:48.305Z</t>
        </is>
      </c>
    </row>
    <row r="140">
      <c r="A140" s="4" t="inlineStr">
        <is>
          <t>SOL → Base</t>
        </is>
      </c>
      <c r="B140" s="4" t="n">
        <v>1</v>
      </c>
      <c r="C140" s="4" t="inlineStr">
        <is>
          <t>Relay</t>
        </is>
      </c>
      <c r="D140" s="19" t="n">
        <v>99.881322</v>
      </c>
      <c r="E140" s="4" t="inlineStr"/>
      <c r="F140" s="19" t="n">
        <v>99.937898</v>
      </c>
      <c r="G140" s="19" t="n"/>
      <c r="H140" s="17">
        <f>IF(ISNUMBER(F140),F140-N(G140),"")</f>
        <v/>
      </c>
      <c r="I140" s="16">
        <f>IF(AND(ISNUMBER(D140),ISNUMBER(H140)),(D140-H140)/100*10000,"")</f>
        <v/>
      </c>
      <c r="J140" s="19" t="n">
        <v>0.05</v>
      </c>
      <c r="K140" s="16">
        <f>IF(ISNUMBER(I140),I140+N(J140)/100*10000,"")</f>
        <v/>
      </c>
      <c r="L140" s="13" t="n">
        <v>0.003</v>
      </c>
      <c r="M140" s="4" t="inlineStr"/>
      <c r="N140" s="4" t="inlineStr">
        <is>
          <t>2026-09-23T14:21:09.321Z</t>
        </is>
      </c>
      <c r="O140" s="4" t="inlineStr">
        <is>
          <t>2026-09-23T14:21:09.318Z</t>
        </is>
      </c>
    </row>
    <row r="141">
      <c r="A141" s="4" t="inlineStr">
        <is>
          <t>SOL → Base</t>
        </is>
      </c>
      <c r="B141" s="4" t="n">
        <v>2</v>
      </c>
      <c r="C141" s="4" t="inlineStr">
        <is>
          <t>Relay</t>
        </is>
      </c>
      <c r="D141" s="19" t="n">
        <v>99.85768299999999</v>
      </c>
      <c r="E141" s="4" t="inlineStr"/>
      <c r="F141" s="19" t="n">
        <v>99.93352899999999</v>
      </c>
      <c r="G141" s="19" t="n"/>
      <c r="H141" s="17">
        <f>IF(ISNUMBER(F141),F141-N(G141),"")</f>
        <v/>
      </c>
      <c r="I141" s="16">
        <f>IF(AND(ISNUMBER(D141),ISNUMBER(H141)),(D141-H141)/100*10000,"")</f>
        <v/>
      </c>
      <c r="J141" s="19" t="n">
        <v>0.05</v>
      </c>
      <c r="K141" s="16">
        <f>IF(ISNUMBER(I141),I141+N(J141)/100*10000,"")</f>
        <v/>
      </c>
      <c r="L141" s="13" t="n">
        <v>0</v>
      </c>
      <c r="M141" s="4" t="inlineStr"/>
      <c r="N141" s="4" t="inlineStr">
        <is>
          <t>2026-09-23T14:25:46.682Z</t>
        </is>
      </c>
      <c r="O141" s="4" t="inlineStr">
        <is>
          <t>2026-09-23T14:25:46.682Z</t>
        </is>
      </c>
    </row>
    <row r="142">
      <c r="A142" s="4" t="inlineStr">
        <is>
          <t>SOL → Base</t>
        </is>
      </c>
      <c r="B142" s="4" t="n">
        <v>3</v>
      </c>
      <c r="C142" s="4" t="inlineStr">
        <is>
          <t>Relay</t>
        </is>
      </c>
      <c r="D142" s="19" t="n">
        <v>99.88767199999999</v>
      </c>
      <c r="E142" s="4" t="inlineStr"/>
      <c r="F142" s="19" t="n">
        <v>99.93512</v>
      </c>
      <c r="G142" s="19" t="n"/>
      <c r="H142" s="17">
        <f>IF(ISNUMBER(F142),F142-N(G142),"")</f>
        <v/>
      </c>
      <c r="I142" s="16">
        <f>IF(AND(ISNUMBER(D142),ISNUMBER(H142)),(D142-H142)/100*10000,"")</f>
        <v/>
      </c>
      <c r="J142" s="19" t="n">
        <v>0.05</v>
      </c>
      <c r="K142" s="16">
        <f>IF(ISNUMBER(I142),I142+N(J142)/100*10000,"")</f>
        <v/>
      </c>
      <c r="L142" s="13" t="n">
        <v>0.002</v>
      </c>
      <c r="M142" s="4" t="inlineStr"/>
      <c r="N142" s="4" t="inlineStr">
        <is>
          <t>2026-09-23T14:30:23.906Z</t>
        </is>
      </c>
      <c r="O142" s="4" t="inlineStr">
        <is>
          <t>2026-09-23T14:30:23.904Z</t>
        </is>
      </c>
    </row>
    <row r="143">
      <c r="A143" s="4" t="inlineStr">
        <is>
          <t>SOL → Base</t>
        </is>
      </c>
      <c r="B143" s="4" t="n">
        <v>1</v>
      </c>
      <c r="C143" s="4" t="inlineStr">
        <is>
          <t>deBridge</t>
        </is>
      </c>
      <c r="D143" s="19" t="n">
        <v>98.878905</v>
      </c>
      <c r="E143" s="4" t="inlineStr"/>
      <c r="F143" s="19" t="n">
        <v>99.880033</v>
      </c>
      <c r="G143" s="19" t="n">
        <v>1.5278</v>
      </c>
      <c r="H143" s="17">
        <f>IF(ISNUMBER(F143),F143-N(G143),"")</f>
        <v/>
      </c>
      <c r="I143" s="16">
        <f>IF(AND(ISNUMBER(D143),ISNUMBER(H143)),(D143-H143)/100*10000,"")</f>
        <v/>
      </c>
      <c r="J143" s="19" t="n">
        <v>0.05</v>
      </c>
      <c r="K143" s="16">
        <f>IF(ISNUMBER(I143),I143+N(J143)/100*10000,"")</f>
        <v/>
      </c>
      <c r="L143" s="13" t="n">
        <v>0.001</v>
      </c>
      <c r="M143" s="4" t="inlineStr">
        <is>
          <t>+1.5278 USDC charged on top of 100 input (subtracted)</t>
        </is>
      </c>
      <c r="N143" s="4" t="inlineStr">
        <is>
          <t>2026-09-23T14:21:09.321Z</t>
        </is>
      </c>
      <c r="O143" s="4" t="inlineStr">
        <is>
          <t>2026-09-23T14:21:09.320Z</t>
        </is>
      </c>
    </row>
    <row r="144">
      <c r="A144" s="4" t="inlineStr">
        <is>
          <t>SOL → Base</t>
        </is>
      </c>
      <c r="B144" s="4" t="n">
        <v>2</v>
      </c>
      <c r="C144" s="4" t="inlineStr">
        <is>
          <t>deBridge</t>
        </is>
      </c>
      <c r="D144" s="19" t="n">
        <v>98.882688</v>
      </c>
      <c r="E144" s="4" t="inlineStr"/>
      <c r="F144" s="19" t="n">
        <v>99.920018</v>
      </c>
      <c r="G144" s="19" t="n">
        <v>1.0382</v>
      </c>
      <c r="H144" s="17">
        <f>IF(ISNUMBER(F144),F144-N(G144),"")</f>
        <v/>
      </c>
      <c r="I144" s="16">
        <f>IF(AND(ISNUMBER(D144),ISNUMBER(H144)),(D144-H144)/100*10000,"")</f>
        <v/>
      </c>
      <c r="J144" s="19" t="n">
        <v>0.05</v>
      </c>
      <c r="K144" s="16">
        <f>IF(ISNUMBER(I144),I144+N(J144)/100*10000,"")</f>
        <v/>
      </c>
      <c r="L144" s="13" t="n">
        <v>0.001</v>
      </c>
      <c r="M144" s="4" t="inlineStr">
        <is>
          <t>+1.0382 USDC charged on top of 100 input (subtracted)</t>
        </is>
      </c>
      <c r="N144" s="4" t="inlineStr">
        <is>
          <t>2026-09-23T14:25:46.682Z</t>
        </is>
      </c>
      <c r="O144" s="4" t="inlineStr">
        <is>
          <t>2026-09-23T14:25:46.681Z</t>
        </is>
      </c>
    </row>
    <row r="145">
      <c r="A145" s="4" t="inlineStr">
        <is>
          <t>SOL → Base</t>
        </is>
      </c>
      <c r="B145" s="4" t="n">
        <v>3</v>
      </c>
      <c r="C145" s="4" t="inlineStr">
        <is>
          <t>deBridge</t>
        </is>
      </c>
      <c r="D145" s="19" t="n">
        <v>98.884023</v>
      </c>
      <c r="E145" s="4" t="inlineStr"/>
      <c r="F145" s="19" t="n">
        <v>99.880032</v>
      </c>
      <c r="G145" s="19" t="n">
        <v>1.5222</v>
      </c>
      <c r="H145" s="17">
        <f>IF(ISNUMBER(F145),F145-N(G145),"")</f>
        <v/>
      </c>
      <c r="I145" s="16">
        <f>IF(AND(ISNUMBER(D145),ISNUMBER(H145)),(D145-H145)/100*10000,"")</f>
        <v/>
      </c>
      <c r="J145" s="19" t="n">
        <v>0.05</v>
      </c>
      <c r="K145" s="16">
        <f>IF(ISNUMBER(I145),I145+N(J145)/100*10000,"")</f>
        <v/>
      </c>
      <c r="L145" s="13" t="n">
        <v>0.001</v>
      </c>
      <c r="M145" s="4" t="inlineStr">
        <is>
          <t>+1.5222 USDC charged on top of 100 input (subtracted)</t>
        </is>
      </c>
      <c r="N145" s="4" t="inlineStr">
        <is>
          <t>2026-09-23T14:30:23.906Z</t>
        </is>
      </c>
      <c r="O145" s="4" t="inlineStr">
        <is>
          <t>2026-09-23T14:30:23.905Z</t>
        </is>
      </c>
    </row>
    <row r="146">
      <c r="A146" s="4" t="inlineStr">
        <is>
          <t>SOL → Base</t>
        </is>
      </c>
      <c r="B146" s="4" t="n">
        <v>1</v>
      </c>
      <c r="C146" s="4" t="inlineStr">
        <is>
          <t>LI.FI (Jumper)</t>
        </is>
      </c>
      <c r="D146" s="19" t="n">
        <v>99.500625</v>
      </c>
      <c r="E146" s="4" t="inlineStr"/>
      <c r="F146" s="19" t="n">
        <v>100</v>
      </c>
      <c r="G146" s="19" t="n"/>
      <c r="H146" s="17">
        <f>IF(ISNUMBER(F146),F146-N(G146),"")</f>
        <v/>
      </c>
      <c r="I146" s="16">
        <f>IF(AND(ISNUMBER(D146),ISNUMBER(H146)),(D146-H146)/100*10000,"")</f>
        <v/>
      </c>
      <c r="J146" s="19" t="n">
        <v>0.05</v>
      </c>
      <c r="K146" s="16">
        <f>IF(ISNUMBER(I146),I146+N(J146)/100*10000,"")</f>
        <v/>
      </c>
      <c r="L146" s="13" t="n">
        <v>0.005</v>
      </c>
      <c r="M146" s="4" t="inlineStr">
        <is>
          <t>Jumper Best Return via Eco; max route 100.0</t>
        </is>
      </c>
      <c r="N146" s="4" t="inlineStr">
        <is>
          <t>2026-09-23T14:21:09.321Z</t>
        </is>
      </c>
      <c r="O146" s="4" t="inlineStr">
        <is>
          <t>2026-09-23T14:21:09.316Z</t>
        </is>
      </c>
    </row>
    <row r="147">
      <c r="A147" s="4" t="inlineStr">
        <is>
          <t>SOL → Base</t>
        </is>
      </c>
      <c r="B147" s="4" t="n">
        <v>2</v>
      </c>
      <c r="C147" s="4" t="inlineStr">
        <is>
          <t>LI.FI (Jumper)</t>
        </is>
      </c>
      <c r="D147" s="19" t="n">
        <v>99.500625</v>
      </c>
      <c r="E147" s="4" t="inlineStr"/>
      <c r="F147" s="19" t="n">
        <v>100</v>
      </c>
      <c r="G147" s="19" t="n"/>
      <c r="H147" s="17">
        <f>IF(ISNUMBER(F147),F147-N(G147),"")</f>
        <v/>
      </c>
      <c r="I147" s="16">
        <f>IF(AND(ISNUMBER(D147),ISNUMBER(H147)),(D147-H147)/100*10000,"")</f>
        <v/>
      </c>
      <c r="J147" s="19" t="n">
        <v>0.05</v>
      </c>
      <c r="K147" s="16">
        <f>IF(ISNUMBER(I147),I147+N(J147)/100*10000,"")</f>
        <v/>
      </c>
      <c r="L147" s="13" t="n">
        <v>0.002</v>
      </c>
      <c r="M147" s="4" t="inlineStr">
        <is>
          <t>Jumper Best Return via Eco; max route 100.0</t>
        </is>
      </c>
      <c r="N147" s="4" t="inlineStr">
        <is>
          <t>2026-09-23T14:25:46.682Z</t>
        </is>
      </c>
      <c r="O147" s="4" t="inlineStr">
        <is>
          <t>2026-09-23T14:25:46.680Z</t>
        </is>
      </c>
    </row>
    <row r="148">
      <c r="A148" s="4" t="inlineStr">
        <is>
          <t>SOL → Base</t>
        </is>
      </c>
      <c r="B148" s="4" t="n">
        <v>3</v>
      </c>
      <c r="C148" s="4" t="inlineStr">
        <is>
          <t>LI.FI (Jumper)</t>
        </is>
      </c>
      <c r="D148" s="19" t="n">
        <v>99.500625</v>
      </c>
      <c r="E148" s="4" t="inlineStr"/>
      <c r="F148" s="19" t="n">
        <v>100</v>
      </c>
      <c r="G148" s="19" t="n"/>
      <c r="H148" s="17">
        <f>IF(ISNUMBER(F148),F148-N(G148),"")</f>
        <v/>
      </c>
      <c r="I148" s="16">
        <f>IF(AND(ISNUMBER(D148),ISNUMBER(H148)),(D148-H148)/100*10000,"")</f>
        <v/>
      </c>
      <c r="J148" s="19" t="n">
        <v>0.05</v>
      </c>
      <c r="K148" s="16">
        <f>IF(ISNUMBER(I148),I148+N(J148)/100*10000,"")</f>
        <v/>
      </c>
      <c r="L148" s="13" t="n">
        <v>0.003</v>
      </c>
      <c r="M148" s="4" t="inlineStr">
        <is>
          <t>Jumper Best Return via Eco; max route 100.0</t>
        </is>
      </c>
      <c r="N148" s="4" t="inlineStr">
        <is>
          <t>2026-09-23T14:30:23.906Z</t>
        </is>
      </c>
      <c r="O148" s="4" t="inlineStr">
        <is>
          <t>2026-09-23T14:30:23.903Z</t>
        </is>
      </c>
    </row>
    <row r="149">
      <c r="A149" s="4" t="inlineStr">
        <is>
          <t>SOL → Base</t>
        </is>
      </c>
      <c r="B149" s="4" t="n">
        <v>1</v>
      </c>
      <c r="C149" s="4" t="inlineStr">
        <is>
          <t>Across</t>
        </is>
      </c>
      <c r="D149" s="19" t="n">
        <v>99.940005</v>
      </c>
      <c r="E149" s="4" t="inlineStr"/>
      <c r="F149" s="19" t="n">
        <v>99.98999999999999</v>
      </c>
      <c r="G149" s="19" t="n"/>
      <c r="H149" s="17">
        <f>IF(ISNUMBER(F149),F149-N(G149),"")</f>
        <v/>
      </c>
      <c r="I149" s="16">
        <f>IF(AND(ISNUMBER(D149),ISNUMBER(H149)),(D149-H149)/100*10000,"")</f>
        <v/>
      </c>
      <c r="J149" s="19" t="n">
        <v>0.05</v>
      </c>
      <c r="K149" s="16">
        <f>IF(ISNUMBER(I149),I149+N(J149)/100*10000,"")</f>
        <v/>
      </c>
      <c r="L149" s="13" t="n">
        <v>0.004</v>
      </c>
      <c r="M149" s="4" t="inlineStr"/>
      <c r="N149" s="4" t="inlineStr">
        <is>
          <t>2026-09-23T14:21:09.321Z</t>
        </is>
      </c>
      <c r="O149" s="4" t="inlineStr">
        <is>
          <t>2026-09-23T14:21:09.317Z</t>
        </is>
      </c>
    </row>
    <row r="150">
      <c r="A150" s="4" t="inlineStr">
        <is>
          <t>SOL → Base</t>
        </is>
      </c>
      <c r="B150" s="4" t="n">
        <v>2</v>
      </c>
      <c r="C150" s="4" t="inlineStr">
        <is>
          <t>Across</t>
        </is>
      </c>
      <c r="D150" s="19" t="n">
        <v>99.940005</v>
      </c>
      <c r="E150" s="4" t="inlineStr"/>
      <c r="F150" s="19" t="n">
        <v>99.98999999999999</v>
      </c>
      <c r="G150" s="19" t="n"/>
      <c r="H150" s="17">
        <f>IF(ISNUMBER(F150),F150-N(G150),"")</f>
        <v/>
      </c>
      <c r="I150" s="16">
        <f>IF(AND(ISNUMBER(D150),ISNUMBER(H150)),(D150-H150)/100*10000,"")</f>
        <v/>
      </c>
      <c r="J150" s="19" t="n">
        <v>0.05</v>
      </c>
      <c r="K150" s="16">
        <f>IF(ISNUMBER(I150),I150+N(J150)/100*10000,"")</f>
        <v/>
      </c>
      <c r="L150" s="13" t="n">
        <v>0.001</v>
      </c>
      <c r="M150" s="4" t="inlineStr"/>
      <c r="N150" s="4" t="inlineStr">
        <is>
          <t>2026-09-23T14:25:46.682Z</t>
        </is>
      </c>
      <c r="O150" s="4" t="inlineStr">
        <is>
          <t>2026-09-23T14:25:46.681Z</t>
        </is>
      </c>
    </row>
    <row r="151">
      <c r="A151" s="4" t="inlineStr">
        <is>
          <t>SOL → Base</t>
        </is>
      </c>
      <c r="B151" s="4" t="n">
        <v>3</v>
      </c>
      <c r="C151" s="4" t="inlineStr">
        <is>
          <t>Across</t>
        </is>
      </c>
      <c r="D151" s="19" t="n">
        <v>99.940005</v>
      </c>
      <c r="E151" s="4" t="inlineStr"/>
      <c r="F151" s="19" t="n">
        <v>99.98999999999999</v>
      </c>
      <c r="G151" s="19" t="n"/>
      <c r="H151" s="17">
        <f>IF(ISNUMBER(F151),F151-N(G151),"")</f>
        <v/>
      </c>
      <c r="I151" s="16">
        <f>IF(AND(ISNUMBER(D151),ISNUMBER(H151)),(D151-H151)/100*10000,"")</f>
        <v/>
      </c>
      <c r="J151" s="19" t="n">
        <v>0.05</v>
      </c>
      <c r="K151" s="16">
        <f>IF(ISNUMBER(I151),I151+N(J151)/100*10000,"")</f>
        <v/>
      </c>
      <c r="L151" s="13" t="n">
        <v>0.002</v>
      </c>
      <c r="M151" s="4" t="inlineStr"/>
      <c r="N151" s="4" t="inlineStr">
        <is>
          <t>2026-09-23T14:30:23.906Z</t>
        </is>
      </c>
      <c r="O151" s="4" t="inlineStr">
        <is>
          <t>2026-09-23T14:30:23.904Z</t>
        </is>
      </c>
    </row>
    <row r="152">
      <c r="A152" s="4" t="inlineStr">
        <is>
          <t>SOL → Base</t>
        </is>
      </c>
      <c r="B152" s="4" t="n">
        <v>1</v>
      </c>
      <c r="C152" s="4" t="inlineStr">
        <is>
          <t>Mayan</t>
        </is>
      </c>
      <c r="D152" s="19" t="n">
        <v>99.883275</v>
      </c>
      <c r="E152" s="4" t="inlineStr">
        <is>
          <t>yes</t>
        </is>
      </c>
      <c r="F152" s="19" t="n">
        <v>99.93300000000001</v>
      </c>
      <c r="G152" s="19" t="n"/>
      <c r="H152" s="17">
        <f>IF(ISNUMBER(F152),F152-N(G152),"")</f>
        <v/>
      </c>
      <c r="I152" s="16">
        <f>IF(AND(ISNUMBER(D152),ISNUMBER(H152)),(D152-H152)/100*10000,"")</f>
        <v/>
      </c>
      <c r="J152" s="19" t="n">
        <v>0.05</v>
      </c>
      <c r="K152" s="16">
        <f>IF(ISNUMBER(I152),I152+N(J152)/100*10000,"")</f>
        <v/>
      </c>
      <c r="L152" s="13" t="n">
        <v>0.005</v>
      </c>
      <c r="M152" s="4" t="inlineStr">
        <is>
          <t>Swift v2; UI shows 3 dp</t>
        </is>
      </c>
      <c r="N152" s="4" t="inlineStr">
        <is>
          <t>2026-09-23T14:21:09.321Z</t>
        </is>
      </c>
      <c r="O152" s="4" t="inlineStr">
        <is>
          <t>2026-09-23T14:21:09.316Z</t>
        </is>
      </c>
    </row>
    <row r="153">
      <c r="A153" s="4" t="inlineStr">
        <is>
          <t>SOL → Base</t>
        </is>
      </c>
      <c r="B153" s="4" t="n">
        <v>2</v>
      </c>
      <c r="C153" s="4" t="inlineStr">
        <is>
          <t>Mayan</t>
        </is>
      </c>
      <c r="D153" s="19" t="n">
        <v>99.883275</v>
      </c>
      <c r="E153" s="4" t="inlineStr">
        <is>
          <t>yes</t>
        </is>
      </c>
      <c r="F153" s="19" t="n">
        <v>99.93300000000001</v>
      </c>
      <c r="G153" s="19" t="n"/>
      <c r="H153" s="17">
        <f>IF(ISNUMBER(F153),F153-N(G153),"")</f>
        <v/>
      </c>
      <c r="I153" s="16">
        <f>IF(AND(ISNUMBER(D153),ISNUMBER(H153)),(D153-H153)/100*10000,"")</f>
        <v/>
      </c>
      <c r="J153" s="19" t="n">
        <v>0.05</v>
      </c>
      <c r="K153" s="16">
        <f>IF(ISNUMBER(I153),I153+N(J153)/100*10000,"")</f>
        <v/>
      </c>
      <c r="L153" s="13" t="n">
        <v>0.001</v>
      </c>
      <c r="M153" s="4" t="inlineStr">
        <is>
          <t>Swift v2; UI shows 3 dp</t>
        </is>
      </c>
      <c r="N153" s="4" t="inlineStr">
        <is>
          <t>2026-09-23T14:25:46.682Z</t>
        </is>
      </c>
      <c r="O153" s="4" t="inlineStr">
        <is>
          <t>2026-09-23T14:25:46.681Z</t>
        </is>
      </c>
    </row>
    <row r="154">
      <c r="A154" s="4" t="inlineStr">
        <is>
          <t>SOL → Base</t>
        </is>
      </c>
      <c r="B154" s="4" t="n">
        <v>3</v>
      </c>
      <c r="C154" s="4" t="inlineStr">
        <is>
          <t>Mayan</t>
        </is>
      </c>
      <c r="D154" s="19" t="n">
        <v>99.89100500000001</v>
      </c>
      <c r="E154" s="4" t="inlineStr">
        <is>
          <t>yes</t>
        </is>
      </c>
      <c r="F154" s="19" t="n">
        <v>99.94</v>
      </c>
      <c r="G154" s="19" t="n"/>
      <c r="H154" s="17">
        <f>IF(ISNUMBER(F154),F154-N(G154),"")</f>
        <v/>
      </c>
      <c r="I154" s="16">
        <f>IF(AND(ISNUMBER(D154),ISNUMBER(H154)),(D154-H154)/100*10000,"")</f>
        <v/>
      </c>
      <c r="J154" s="19" t="n">
        <v>0.05</v>
      </c>
      <c r="K154" s="16">
        <f>IF(ISNUMBER(I154),I154+N(J154)/100*10000,"")</f>
        <v/>
      </c>
      <c r="L154" s="13" t="n">
        <v>0.002</v>
      </c>
      <c r="M154" s="4" t="inlineStr">
        <is>
          <t>Swift v2; UI shows 2 dp</t>
        </is>
      </c>
      <c r="N154" s="4" t="inlineStr">
        <is>
          <t>2026-09-23T14:30:23.906Z</t>
        </is>
      </c>
      <c r="O154" s="4" t="inlineStr">
        <is>
          <t>2026-09-23T14:30:23.904Z</t>
        </is>
      </c>
    </row>
    <row r="155">
      <c r="A155" s="4" t="inlineStr">
        <is>
          <t>SOL → Base</t>
        </is>
      </c>
      <c r="B155" s="4" t="n">
        <v>1</v>
      </c>
      <c r="C155" s="4" t="inlineStr">
        <is>
          <t>Allbridge Core</t>
        </is>
      </c>
      <c r="D155" s="19" t="n">
        <v>99.85005</v>
      </c>
      <c r="E155" s="4" t="inlineStr">
        <is>
          <t>yes</t>
        </is>
      </c>
      <c r="F155" s="19" t="n">
        <v>99.90000000000001</v>
      </c>
      <c r="G155" s="19" t="n"/>
      <c r="H155" s="17">
        <f>IF(ISNUMBER(F155),F155-N(G155),"")</f>
        <v/>
      </c>
      <c r="I155" s="16">
        <f>IF(AND(ISNUMBER(D155),ISNUMBER(H155)),(D155-H155)/100*10000,"")</f>
        <v/>
      </c>
      <c r="J155" s="19" t="n">
        <v>0.05</v>
      </c>
      <c r="K155" s="16">
        <f>IF(ISNUMBER(I155),I155+N(J155)/100*10000,"")</f>
        <v/>
      </c>
      <c r="L155" s="13" t="n">
        <v>0.004</v>
      </c>
      <c r="M155" s="4" t="inlineStr">
        <is>
          <t>+0.002418 SOL (relayer fee, fee=native) charged on top of 100 input (not converted)</t>
        </is>
      </c>
      <c r="N155" s="4" t="inlineStr">
        <is>
          <t>2026-09-23T14:21:09.321Z</t>
        </is>
      </c>
      <c r="O155" s="4" t="inlineStr">
        <is>
          <t>2026-09-23T14:21:09.317Z</t>
        </is>
      </c>
    </row>
    <row r="156">
      <c r="A156" s="4" t="inlineStr">
        <is>
          <t>SOL → Base</t>
        </is>
      </c>
      <c r="B156" s="4" t="n">
        <v>2</v>
      </c>
      <c r="C156" s="4" t="inlineStr">
        <is>
          <t>Allbridge Core</t>
        </is>
      </c>
      <c r="D156" s="19" t="n">
        <v>99.85005</v>
      </c>
      <c r="E156" s="4" t="inlineStr">
        <is>
          <t>yes</t>
        </is>
      </c>
      <c r="F156" s="19" t="n">
        <v>99.90000000000001</v>
      </c>
      <c r="G156" s="19" t="n"/>
      <c r="H156" s="17">
        <f>IF(ISNUMBER(F156),F156-N(G156),"")</f>
        <v/>
      </c>
      <c r="I156" s="16">
        <f>IF(AND(ISNUMBER(D156),ISNUMBER(H156)),(D156-H156)/100*10000,"")</f>
        <v/>
      </c>
      <c r="J156" s="19" t="n">
        <v>0.05</v>
      </c>
      <c r="K156" s="16">
        <f>IF(ISNUMBER(I156),I156+N(J156)/100*10000,"")</f>
        <v/>
      </c>
      <c r="L156" s="13" t="n">
        <v>0</v>
      </c>
      <c r="M156" s="4" t="inlineStr">
        <is>
          <t>+0.002418 SOL (relayer fee, fee=native) charged on top of 100 input (not converted)</t>
        </is>
      </c>
      <c r="N156" s="4" t="inlineStr">
        <is>
          <t>2026-09-23T14:25:46.682Z</t>
        </is>
      </c>
      <c r="O156" s="4" t="inlineStr">
        <is>
          <t>2026-09-23T14:25:46.682Z</t>
        </is>
      </c>
    </row>
    <row r="157">
      <c r="A157" s="4" t="inlineStr">
        <is>
          <t>SOL → Base</t>
        </is>
      </c>
      <c r="B157" s="4" t="n">
        <v>3</v>
      </c>
      <c r="C157" s="4" t="inlineStr">
        <is>
          <t>Allbridge Core</t>
        </is>
      </c>
      <c r="D157" s="19" t="n">
        <v>99.85005</v>
      </c>
      <c r="E157" s="4" t="inlineStr">
        <is>
          <t>yes</t>
        </is>
      </c>
      <c r="F157" s="19" t="n">
        <v>99.90000000000001</v>
      </c>
      <c r="G157" s="19" t="n"/>
      <c r="H157" s="17">
        <f>IF(ISNUMBER(F157),F157-N(G157),"")</f>
        <v/>
      </c>
      <c r="I157" s="16">
        <f>IF(AND(ISNUMBER(D157),ISNUMBER(H157)),(D157-H157)/100*10000,"")</f>
        <v/>
      </c>
      <c r="J157" s="19" t="n">
        <v>0.05</v>
      </c>
      <c r="K157" s="16">
        <f>IF(ISNUMBER(I157),I157+N(J157)/100*10000,"")</f>
        <v/>
      </c>
      <c r="L157" s="13" t="n">
        <v>0.002</v>
      </c>
      <c r="M157" s="4" t="inlineStr">
        <is>
          <t>+0.002418 SOL (relayer fee, fee=native) charged on top of 100 input (not converted)</t>
        </is>
      </c>
      <c r="N157" s="4" t="inlineStr">
        <is>
          <t>2026-09-23T14:30:23.906Z</t>
        </is>
      </c>
      <c r="O157" s="4" t="inlineStr">
        <is>
          <t>2026-09-23T14:30:23.904Z</t>
        </is>
      </c>
    </row>
    <row r="158">
      <c r="A158" s="4" t="inlineStr">
        <is>
          <t>SOL → Base</t>
        </is>
      </c>
      <c r="B158" s="4" t="n">
        <v>1</v>
      </c>
      <c r="C158" s="4" t="inlineStr">
        <is>
          <t>CCTP (via Portal)</t>
        </is>
      </c>
      <c r="D158" s="19" t="n">
        <v>99.87913500000001</v>
      </c>
      <c r="E158" s="4" t="inlineStr">
        <is>
          <t>yes</t>
        </is>
      </c>
      <c r="F158" s="19" t="n">
        <v>99.98999999999999</v>
      </c>
      <c r="G158" s="19" t="n"/>
      <c r="H158" s="17">
        <f>IF(ISNUMBER(F158),F158-N(G158),"")</f>
        <v/>
      </c>
      <c r="I158" s="16">
        <f>IF(AND(ISNUMBER(D158),ISNUMBER(H158)),(D158-H158)/100*10000,"")</f>
        <v/>
      </c>
      <c r="J158" s="19" t="n">
        <v>0.05</v>
      </c>
      <c r="K158" s="16">
        <f>IF(ISNUMBER(I158),I158+N(J158)/100*10000,"")</f>
        <v/>
      </c>
      <c r="L158" s="13" t="n">
        <v>0.001</v>
      </c>
      <c r="M158" s="4" t="inlineStr">
        <is>
          <t>via Portal (CCTPv2StandardExecutorRoute); executor fee hidden until wallet connect</t>
        </is>
      </c>
      <c r="N158" s="4" t="inlineStr">
        <is>
          <t>2026-09-23T14:21:09.321Z</t>
        </is>
      </c>
      <c r="O158" s="4" t="inlineStr">
        <is>
          <t>2026-09-23T14:21:09.322Z</t>
        </is>
      </c>
    </row>
    <row r="159">
      <c r="A159" s="4" t="inlineStr">
        <is>
          <t>SOL → Base</t>
        </is>
      </c>
      <c r="B159" s="4" t="n">
        <v>2</v>
      </c>
      <c r="C159" s="4" t="inlineStr">
        <is>
          <t>CCTP (via Portal)</t>
        </is>
      </c>
      <c r="D159" s="19" t="n">
        <v>99.87913500000001</v>
      </c>
      <c r="E159" s="4" t="inlineStr">
        <is>
          <t>yes</t>
        </is>
      </c>
      <c r="F159" s="19" t="n">
        <v>99.98999999999999</v>
      </c>
      <c r="G159" s="19" t="n"/>
      <c r="H159" s="17">
        <f>IF(ISNUMBER(F159),F159-N(G159),"")</f>
        <v/>
      </c>
      <c r="I159" s="16">
        <f>IF(AND(ISNUMBER(D159),ISNUMBER(H159)),(D159-H159)/100*10000,"")</f>
        <v/>
      </c>
      <c r="J159" s="19" t="n">
        <v>0.05</v>
      </c>
      <c r="K159" s="16">
        <f>IF(ISNUMBER(I159),I159+N(J159)/100*10000,"")</f>
        <v/>
      </c>
      <c r="L159" s="13" t="n">
        <v>0.002</v>
      </c>
      <c r="M159" s="4" t="inlineStr">
        <is>
          <t>via Portal (CCTPv2StandardExecutorRoute); executor fee hidden until wallet connect</t>
        </is>
      </c>
      <c r="N159" s="4" t="inlineStr">
        <is>
          <t>2026-09-23T14:25:46.682Z</t>
        </is>
      </c>
      <c r="O159" s="4" t="inlineStr">
        <is>
          <t>2026-09-23T14:25:46.684Z</t>
        </is>
      </c>
    </row>
    <row r="160">
      <c r="A160" s="4" t="inlineStr">
        <is>
          <t>SOL → Base</t>
        </is>
      </c>
      <c r="B160" s="4" t="n">
        <v>3</v>
      </c>
      <c r="C160" s="4" t="inlineStr">
        <is>
          <t>CCTP (via Portal)</t>
        </is>
      </c>
      <c r="D160" s="19" t="n">
        <v>99.879429</v>
      </c>
      <c r="E160" s="4" t="inlineStr">
        <is>
          <t>yes</t>
        </is>
      </c>
      <c r="F160" s="19" t="n">
        <v>99.98999999999999</v>
      </c>
      <c r="G160" s="19" t="n"/>
      <c r="H160" s="17">
        <f>IF(ISNUMBER(F160),F160-N(G160),"")</f>
        <v/>
      </c>
      <c r="I160" s="16">
        <f>IF(AND(ISNUMBER(D160),ISNUMBER(H160)),(D160-H160)/100*10000,"")</f>
        <v/>
      </c>
      <c r="J160" s="19" t="n">
        <v>0.05</v>
      </c>
      <c r="K160" s="16">
        <f>IF(ISNUMBER(I160),I160+N(J160)/100*10000,"")</f>
        <v/>
      </c>
      <c r="L160" s="13" t="n">
        <v>0.001</v>
      </c>
      <c r="M160" s="4" t="inlineStr">
        <is>
          <t>via Portal (CCTPv2StandardExecutorRoute); executor fee hidden until wallet connect</t>
        </is>
      </c>
      <c r="N160" s="4" t="inlineStr">
        <is>
          <t>2026-09-23T14:30:23.906Z</t>
        </is>
      </c>
      <c r="O160" s="4" t="inlineStr">
        <is>
          <t>2026-09-23T14:30:23.907Z</t>
        </is>
      </c>
    </row>
    <row r="161">
      <c r="A161" s="4" t="inlineStr">
        <is>
          <t>SOL → Base</t>
        </is>
      </c>
      <c r="B161" s="4" t="n">
        <v>1</v>
      </c>
      <c r="C161" s="4" t="inlineStr">
        <is>
          <t>Husher</t>
        </is>
      </c>
      <c r="D161" s="19" t="n">
        <v>99.59999999999999</v>
      </c>
      <c r="E161" s="4" t="inlineStr"/>
      <c r="F161" s="19" t="n">
        <v>99.45</v>
      </c>
      <c r="G161" s="19" t="n"/>
      <c r="H161" s="17">
        <f>IF(ISNUMBER(F161),F161-N(G161),"")</f>
        <v/>
      </c>
      <c r="I161" s="16">
        <f>IF(AND(ISNUMBER(D161),ISNUMBER(H161)),(D161-H161)/100*10000,"")</f>
        <v/>
      </c>
      <c r="J161" s="19" t="n">
        <v>0.05</v>
      </c>
      <c r="K161" s="16">
        <f>IF(ISNUMBER(I161),I161+N(J161)/100*10000,"")</f>
        <v/>
      </c>
      <c r="L161" s="13" t="n">
        <v>0.004</v>
      </c>
      <c r="M161" s="4" t="inlineStr"/>
      <c r="N161" s="4" t="inlineStr">
        <is>
          <t>2026-09-23T14:21:09.321Z</t>
        </is>
      </c>
      <c r="O161" s="4" t="inlineStr">
        <is>
          <t>2026-09-23T14:21:09.317Z</t>
        </is>
      </c>
    </row>
    <row r="162">
      <c r="A162" s="4" t="inlineStr">
        <is>
          <t>SOL → Base</t>
        </is>
      </c>
      <c r="B162" s="4" t="n">
        <v>2</v>
      </c>
      <c r="C162" s="4" t="inlineStr">
        <is>
          <t>Husher</t>
        </is>
      </c>
      <c r="D162" s="19" t="n">
        <v>99.5502</v>
      </c>
      <c r="E162" s="4" t="inlineStr"/>
      <c r="F162" s="19" t="n">
        <v>99.45</v>
      </c>
      <c r="G162" s="19" t="n"/>
      <c r="H162" s="17">
        <f>IF(ISNUMBER(F162),F162-N(G162),"")</f>
        <v/>
      </c>
      <c r="I162" s="16">
        <f>IF(AND(ISNUMBER(D162),ISNUMBER(H162)),(D162-H162)/100*10000,"")</f>
        <v/>
      </c>
      <c r="J162" s="19" t="n">
        <v>0.05</v>
      </c>
      <c r="K162" s="16">
        <f>IF(ISNUMBER(I162),I162+N(J162)/100*10000,"")</f>
        <v/>
      </c>
      <c r="L162" s="13" t="n">
        <v>0</v>
      </c>
      <c r="M162" s="4" t="inlineStr"/>
      <c r="N162" s="4" t="inlineStr">
        <is>
          <t>2026-09-23T14:25:46.682Z</t>
        </is>
      </c>
      <c r="O162" s="4" t="inlineStr">
        <is>
          <t>2026-09-23T14:25:46.682Z</t>
        </is>
      </c>
    </row>
    <row r="163">
      <c r="A163" s="4" t="inlineStr">
        <is>
          <t>SOL → Base</t>
        </is>
      </c>
      <c r="B163" s="4" t="n">
        <v>3</v>
      </c>
      <c r="C163" s="4" t="inlineStr">
        <is>
          <t>Husher</t>
        </is>
      </c>
      <c r="D163" s="19" t="n">
        <v>99.5502</v>
      </c>
      <c r="E163" s="4" t="inlineStr"/>
      <c r="F163" s="19" t="n">
        <v>99.45</v>
      </c>
      <c r="G163" s="19" t="n"/>
      <c r="H163" s="17">
        <f>IF(ISNUMBER(F163),F163-N(G163),"")</f>
        <v/>
      </c>
      <c r="I163" s="16">
        <f>IF(AND(ISNUMBER(D163),ISNUMBER(H163)),(D163-H163)/100*10000,"")</f>
        <v/>
      </c>
      <c r="J163" s="19" t="n">
        <v>0.05</v>
      </c>
      <c r="K163" s="16">
        <f>IF(ISNUMBER(I163),I163+N(J163)/100*10000,"")</f>
        <v/>
      </c>
      <c r="L163" s="13" t="n">
        <v>0.001</v>
      </c>
      <c r="M163" s="4" t="inlineStr"/>
      <c r="N163" s="4" t="inlineStr">
        <is>
          <t>2026-09-23T14:30:23.906Z</t>
        </is>
      </c>
      <c r="O163" s="4" t="inlineStr">
        <is>
          <t>2026-09-23T14:30:23.905Z</t>
        </is>
      </c>
    </row>
    <row r="164">
      <c r="A164" s="4" t="inlineStr">
        <is>
          <t>SOL → Base</t>
        </is>
      </c>
      <c r="B164" s="4" t="n">
        <v>1</v>
      </c>
      <c r="C164" s="4" t="inlineStr">
        <is>
          <t>Layerswap</t>
        </is>
      </c>
      <c r="D164" s="19" t="n">
        <v>99.679395</v>
      </c>
      <c r="E164" s="4" t="inlineStr"/>
      <c r="F164" s="19" t="n">
        <v>99.864045</v>
      </c>
      <c r="G164" s="19" t="n"/>
      <c r="H164" s="17">
        <f>IF(ISNUMBER(F164),F164-N(G164),"")</f>
        <v/>
      </c>
      <c r="I164" s="16">
        <f>IF(AND(ISNUMBER(D164),ISNUMBER(H164)),(D164-H164)/100*10000,"")</f>
        <v/>
      </c>
      <c r="J164" s="19" t="n">
        <v>0.05</v>
      </c>
      <c r="K164" s="16">
        <f>IF(ISNUMBER(I164),I164+N(J164)/100*10000,"")</f>
        <v/>
      </c>
      <c r="L164" s="13" t="n">
        <v>0</v>
      </c>
      <c r="M164" s="4" t="inlineStr"/>
      <c r="N164" s="4" t="inlineStr">
        <is>
          <t>2026-09-23T14:21:09.321Z</t>
        </is>
      </c>
      <c r="O164" s="4" t="inlineStr">
        <is>
          <t>2026-09-23T14:21:09.321Z</t>
        </is>
      </c>
    </row>
    <row r="165">
      <c r="A165" s="4" t="inlineStr">
        <is>
          <t>SOL → Base</t>
        </is>
      </c>
      <c r="B165" s="4" t="n">
        <v>2</v>
      </c>
      <c r="C165" s="4" t="inlineStr">
        <is>
          <t>Layerswap</t>
        </is>
      </c>
      <c r="D165" s="19" t="n">
        <v>99.679394</v>
      </c>
      <c r="E165" s="4" t="inlineStr"/>
      <c r="F165" s="19" t="n">
        <v>99.864047</v>
      </c>
      <c r="G165" s="19" t="n"/>
      <c r="H165" s="17">
        <f>IF(ISNUMBER(F165),F165-N(G165),"")</f>
        <v/>
      </c>
      <c r="I165" s="16">
        <f>IF(AND(ISNUMBER(D165),ISNUMBER(H165)),(D165-H165)/100*10000,"")</f>
        <v/>
      </c>
      <c r="J165" s="19" t="n">
        <v>0.05</v>
      </c>
      <c r="K165" s="16">
        <f>IF(ISNUMBER(I165),I165+N(J165)/100*10000,"")</f>
        <v/>
      </c>
      <c r="L165" s="13" t="n">
        <v>0</v>
      </c>
      <c r="M165" s="4" t="inlineStr"/>
      <c r="N165" s="4" t="inlineStr">
        <is>
          <t>2026-09-23T14:25:46.682Z</t>
        </is>
      </c>
      <c r="O165" s="4" t="inlineStr">
        <is>
          <t>2026-09-23T14:25:46.682Z</t>
        </is>
      </c>
    </row>
    <row r="166">
      <c r="A166" s="4" t="inlineStr">
        <is>
          <t>SOL → Base</t>
        </is>
      </c>
      <c r="B166" s="4" t="n">
        <v>3</v>
      </c>
      <c r="C166" s="4" t="inlineStr">
        <is>
          <t>Layerswap</t>
        </is>
      </c>
      <c r="D166" s="19" t="n">
        <v>99.679401</v>
      </c>
      <c r="E166" s="4" t="inlineStr"/>
      <c r="F166" s="19" t="n">
        <v>99.864051</v>
      </c>
      <c r="G166" s="19" t="n"/>
      <c r="H166" s="17">
        <f>IF(ISNUMBER(F166),F166-N(G166),"")</f>
        <v/>
      </c>
      <c r="I166" s="16">
        <f>IF(AND(ISNUMBER(D166),ISNUMBER(H166)),(D166-H166)/100*10000,"")</f>
        <v/>
      </c>
      <c r="J166" s="19" t="n">
        <v>0.05</v>
      </c>
      <c r="K166" s="16">
        <f>IF(ISNUMBER(I166),I166+N(J166)/100*10000,"")</f>
        <v/>
      </c>
      <c r="L166" s="13" t="n">
        <v>0.001</v>
      </c>
      <c r="M166" s="4" t="inlineStr"/>
      <c r="N166" s="4" t="inlineStr">
        <is>
          <t>2026-09-23T14:30:23.906Z</t>
        </is>
      </c>
      <c r="O166" s="4" t="inlineStr">
        <is>
          <t>2026-09-23T14:30:23.905Z</t>
        </is>
      </c>
    </row>
    <row r="167">
      <c r="A167" s="4" t="inlineStr">
        <is>
          <t>SOL → Base</t>
        </is>
      </c>
      <c r="B167" s="4" t="n">
        <v>1</v>
      </c>
      <c r="C167" s="4" t="inlineStr">
        <is>
          <t>Meson</t>
        </is>
      </c>
      <c r="D167" s="19" t="n">
        <v>99.85005</v>
      </c>
      <c r="E167" s="4" t="inlineStr">
        <is>
          <t>yes</t>
        </is>
      </c>
      <c r="F167" s="19" t="n">
        <v>99.84</v>
      </c>
      <c r="G167" s="19" t="n"/>
      <c r="H167" s="17">
        <f>IF(ISNUMBER(F167),F167-N(G167),"")</f>
        <v/>
      </c>
      <c r="I167" s="16">
        <f>IF(AND(ISNUMBER(D167),ISNUMBER(H167)),(D167-H167)/100*10000,"")</f>
        <v/>
      </c>
      <c r="J167" s="19" t="n">
        <v>0.05</v>
      </c>
      <c r="K167" s="16">
        <f>IF(ISNUMBER(I167),I167+N(J167)/100*10000,"")</f>
        <v/>
      </c>
      <c r="L167" s="13" t="n">
        <v>0.005</v>
      </c>
      <c r="M167" s="4" t="inlineStr"/>
      <c r="N167" s="4" t="inlineStr">
        <is>
          <t>2026-09-23T14:21:09.321Z</t>
        </is>
      </c>
      <c r="O167" s="4" t="inlineStr">
        <is>
          <t>2026-09-23T14:21:09.316Z</t>
        </is>
      </c>
    </row>
    <row r="168">
      <c r="A168" s="4" t="inlineStr">
        <is>
          <t>SOL → Base</t>
        </is>
      </c>
      <c r="B168" s="4" t="n">
        <v>2</v>
      </c>
      <c r="C168" s="4" t="inlineStr">
        <is>
          <t>Meson</t>
        </is>
      </c>
      <c r="D168" s="19" t="n">
        <v>99.85005</v>
      </c>
      <c r="E168" s="4" t="inlineStr">
        <is>
          <t>yes</t>
        </is>
      </c>
      <c r="F168" s="19" t="n">
        <v>99.84</v>
      </c>
      <c r="G168" s="19" t="n"/>
      <c r="H168" s="17">
        <f>IF(ISNUMBER(F168),F168-N(G168),"")</f>
        <v/>
      </c>
      <c r="I168" s="16">
        <f>IF(AND(ISNUMBER(D168),ISNUMBER(H168)),(D168-H168)/100*10000,"")</f>
        <v/>
      </c>
      <c r="J168" s="19" t="n">
        <v>0.05</v>
      </c>
      <c r="K168" s="16">
        <f>IF(ISNUMBER(I168),I168+N(J168)/100*10000,"")</f>
        <v/>
      </c>
      <c r="L168" s="13" t="n">
        <v>0.001</v>
      </c>
      <c r="M168" s="4" t="inlineStr"/>
      <c r="N168" s="4" t="inlineStr">
        <is>
          <t>2026-09-23T14:25:46.682Z</t>
        </is>
      </c>
      <c r="O168" s="4" t="inlineStr">
        <is>
          <t>2026-09-23T14:25:46.681Z</t>
        </is>
      </c>
    </row>
    <row r="169">
      <c r="A169" s="4" t="inlineStr">
        <is>
          <t>SOL → Base</t>
        </is>
      </c>
      <c r="B169" s="4" t="n">
        <v>3</v>
      </c>
      <c r="C169" s="4" t="inlineStr">
        <is>
          <t>Meson</t>
        </is>
      </c>
      <c r="D169" s="19" t="n">
        <v>99.85005</v>
      </c>
      <c r="E169" s="4" t="inlineStr">
        <is>
          <t>yes</t>
        </is>
      </c>
      <c r="F169" s="19" t="n">
        <v>99.84</v>
      </c>
      <c r="G169" s="19" t="n"/>
      <c r="H169" s="17">
        <f>IF(ISNUMBER(F169),F169-N(G169),"")</f>
        <v/>
      </c>
      <c r="I169" s="16">
        <f>IF(AND(ISNUMBER(D169),ISNUMBER(H169)),(D169-H169)/100*10000,"")</f>
        <v/>
      </c>
      <c r="J169" s="19" t="n">
        <v>0.05</v>
      </c>
      <c r="K169" s="16">
        <f>IF(ISNUMBER(I169),I169+N(J169)/100*10000,"")</f>
        <v/>
      </c>
      <c r="L169" s="13" t="n">
        <v>0.003</v>
      </c>
      <c r="M169" s="4" t="inlineStr"/>
      <c r="N169" s="4" t="inlineStr">
        <is>
          <t>2026-09-23T14:30:23.906Z</t>
        </is>
      </c>
      <c r="O169" s="4" t="inlineStr">
        <is>
          <t>2026-09-23T14:30:23.903Z</t>
        </is>
      </c>
    </row>
    <row r="170">
      <c r="A170" s="4" t="inlineStr">
        <is>
          <t>SOL → Base</t>
        </is>
      </c>
      <c r="B170" s="4" t="n">
        <v>1</v>
      </c>
      <c r="C170" s="4" t="inlineStr">
        <is>
          <t>SimpleSwap</t>
        </is>
      </c>
      <c r="D170" s="19" t="n">
        <v>97.604305</v>
      </c>
      <c r="E170" s="4" t="inlineStr"/>
      <c r="F170" s="19" t="n">
        <v>98.49149199999999</v>
      </c>
      <c r="G170" s="19" t="n"/>
      <c r="H170" s="17">
        <f>IF(ISNUMBER(F170),F170-N(G170),"")</f>
        <v/>
      </c>
      <c r="I170" s="16">
        <f>IF(AND(ISNUMBER(D170),ISNUMBER(H170)),(D170-H170)/100*10000,"")</f>
        <v/>
      </c>
      <c r="J170" s="19" t="n">
        <v>0.05</v>
      </c>
      <c r="K170" s="16">
        <f>IF(ISNUMBER(I170),I170+N(J170)/100*10000,"")</f>
        <v/>
      </c>
      <c r="L170" s="13" t="n">
        <v>0.001</v>
      </c>
      <c r="M170" s="4" t="inlineStr">
        <is>
          <t>selected card: Best rate / Decentralized; best card 98.491492</t>
        </is>
      </c>
      <c r="N170" s="4" t="inlineStr">
        <is>
          <t>2026-09-23T14:21:09.321Z</t>
        </is>
      </c>
      <c r="O170" s="4" t="inlineStr">
        <is>
          <t>2026-09-23T14:21:09.322Z</t>
        </is>
      </c>
    </row>
    <row r="171">
      <c r="A171" s="4" t="inlineStr">
        <is>
          <t>SOL → Base</t>
        </is>
      </c>
      <c r="B171" s="4" t="n">
        <v>2</v>
      </c>
      <c r="C171" s="4" t="inlineStr">
        <is>
          <t>SimpleSwap</t>
        </is>
      </c>
      <c r="D171" s="19" t="n">
        <v>97.544185</v>
      </c>
      <c r="E171" s="4" t="inlineStr"/>
      <c r="F171" s="19" t="n">
        <v>98.49247699999999</v>
      </c>
      <c r="G171" s="19" t="n"/>
      <c r="H171" s="17">
        <f>IF(ISNUMBER(F171),F171-N(G171),"")</f>
        <v/>
      </c>
      <c r="I171" s="16">
        <f>IF(AND(ISNUMBER(D171),ISNUMBER(H171)),(D171-H171)/100*10000,"")</f>
        <v/>
      </c>
      <c r="J171" s="19" t="n">
        <v>0.05</v>
      </c>
      <c r="K171" s="16">
        <f>IF(ISNUMBER(I171),I171+N(J171)/100*10000,"")</f>
        <v/>
      </c>
      <c r="L171" s="13" t="n">
        <v>0.002</v>
      </c>
      <c r="M171" s="4" t="inlineStr">
        <is>
          <t>selected card: Best rate / Decentralized; best card 98.492477</t>
        </is>
      </c>
      <c r="N171" s="4" t="inlineStr">
        <is>
          <t>2026-09-23T14:25:46.682Z</t>
        </is>
      </c>
      <c r="O171" s="4" t="inlineStr">
        <is>
          <t>2026-09-23T14:25:46.684Z</t>
        </is>
      </c>
    </row>
    <row r="172">
      <c r="A172" s="4" t="inlineStr">
        <is>
          <t>SOL → Base</t>
        </is>
      </c>
      <c r="B172" s="4" t="n">
        <v>3</v>
      </c>
      <c r="C172" s="4" t="inlineStr">
        <is>
          <t>SimpleSwap</t>
        </is>
      </c>
      <c r="D172" s="19" t="n">
        <v>97.511244</v>
      </c>
      <c r="E172" s="4" t="inlineStr"/>
      <c r="F172" s="19" t="n">
        <v>98.49159</v>
      </c>
      <c r="G172" s="19" t="n"/>
      <c r="H172" s="17">
        <f>IF(ISNUMBER(F172),F172-N(G172),"")</f>
        <v/>
      </c>
      <c r="I172" s="16">
        <f>IF(AND(ISNUMBER(D172),ISNUMBER(H172)),(D172-H172)/100*10000,"")</f>
        <v/>
      </c>
      <c r="J172" s="19" t="n">
        <v>0.05</v>
      </c>
      <c r="K172" s="16">
        <f>IF(ISNUMBER(I172),I172+N(J172)/100*10000,"")</f>
        <v/>
      </c>
      <c r="L172" s="13" t="n">
        <v>0</v>
      </c>
      <c r="M172" s="4" t="inlineStr">
        <is>
          <t>selected card: Best rate / Decentralized; best card 98.49159</t>
        </is>
      </c>
      <c r="N172" s="4" t="inlineStr">
        <is>
          <t>2026-09-23T14:30:23.906Z</t>
        </is>
      </c>
      <c r="O172" s="4" t="inlineStr">
        <is>
          <t>2026-09-23T14:30:23.906Z</t>
        </is>
      </c>
    </row>
    <row r="173">
      <c r="A173" s="4" t="inlineStr">
        <is>
          <t>SOL → Base</t>
        </is>
      </c>
      <c r="B173" s="4" t="n">
        <v>1</v>
      </c>
      <c r="C173" s="4" t="inlineStr">
        <is>
          <t>Skip Go</t>
        </is>
      </c>
      <c r="D173" s="19" t="n">
        <v>99.943099</v>
      </c>
      <c r="E173" s="4" t="inlineStr"/>
      <c r="F173" s="19" t="n">
        <v>99.9811</v>
      </c>
      <c r="G173" s="19" t="n"/>
      <c r="H173" s="17">
        <f>IF(ISNUMBER(F173),F173-N(G173),"")</f>
        <v/>
      </c>
      <c r="I173" s="16">
        <f>IF(AND(ISNUMBER(D173),ISNUMBER(H173)),(D173-H173)/100*10000,"")</f>
        <v/>
      </c>
      <c r="J173" s="19" t="n">
        <v>0.05</v>
      </c>
      <c r="K173" s="16">
        <f>IF(ISNUMBER(I173),I173+N(J173)/100*10000,"")</f>
        <v/>
      </c>
      <c r="L173" s="13" t="n">
        <v>0.002</v>
      </c>
      <c r="M173" s="4" t="inlineStr"/>
      <c r="N173" s="4" t="inlineStr">
        <is>
          <t>2026-09-23T14:21:09.321Z</t>
        </is>
      </c>
      <c r="O173" s="4" t="inlineStr">
        <is>
          <t>2026-09-23T14:21:09.319Z</t>
        </is>
      </c>
    </row>
    <row r="174">
      <c r="A174" s="4" t="inlineStr">
        <is>
          <t>SOL → Base</t>
        </is>
      </c>
      <c r="B174" s="4" t="n">
        <v>2</v>
      </c>
      <c r="C174" s="4" t="inlineStr">
        <is>
          <t>Skip Go</t>
        </is>
      </c>
      <c r="D174" s="19" t="n">
        <v>99.943099</v>
      </c>
      <c r="E174" s="4" t="inlineStr"/>
      <c r="F174" s="19" t="n">
        <v>99.9811</v>
      </c>
      <c r="G174" s="19" t="n"/>
      <c r="H174" s="17">
        <f>IF(ISNUMBER(F174),F174-N(G174),"")</f>
        <v/>
      </c>
      <c r="I174" s="16">
        <f>IF(AND(ISNUMBER(D174),ISNUMBER(H174)),(D174-H174)/100*10000,"")</f>
        <v/>
      </c>
      <c r="J174" s="19" t="n">
        <v>0.05</v>
      </c>
      <c r="K174" s="16">
        <f>IF(ISNUMBER(I174),I174+N(J174)/100*10000,"")</f>
        <v/>
      </c>
      <c r="L174" s="13" t="n">
        <v>0.001</v>
      </c>
      <c r="M174" s="4" t="inlineStr"/>
      <c r="N174" s="4" t="inlineStr">
        <is>
          <t>2026-09-23T14:25:46.682Z</t>
        </is>
      </c>
      <c r="O174" s="4" t="inlineStr">
        <is>
          <t>2026-09-23T14:25:46.683Z</t>
        </is>
      </c>
    </row>
    <row r="175">
      <c r="A175" s="4" t="inlineStr">
        <is>
          <t>SOL → Base</t>
        </is>
      </c>
      <c r="B175" s="4" t="n">
        <v>3</v>
      </c>
      <c r="C175" s="4" t="inlineStr">
        <is>
          <t>Skip Go</t>
        </is>
      </c>
      <c r="D175" s="19" t="n">
        <v>99.943883</v>
      </c>
      <c r="E175" s="4" t="inlineStr"/>
      <c r="F175" s="19" t="n">
        <v>99.98308</v>
      </c>
      <c r="G175" s="19" t="n"/>
      <c r="H175" s="17">
        <f>IF(ISNUMBER(F175),F175-N(G175),"")</f>
        <v/>
      </c>
      <c r="I175" s="16">
        <f>IF(AND(ISNUMBER(D175),ISNUMBER(H175)),(D175-H175)/100*10000,"")</f>
        <v/>
      </c>
      <c r="J175" s="19" t="n">
        <v>0.05</v>
      </c>
      <c r="K175" s="16">
        <f>IF(ISNUMBER(I175),I175+N(J175)/100*10000,"")</f>
        <v/>
      </c>
      <c r="L175" s="13" t="n">
        <v>0.001</v>
      </c>
      <c r="M175" s="4" t="inlineStr"/>
      <c r="N175" s="4" t="inlineStr">
        <is>
          <t>2026-09-23T14:30:23.906Z</t>
        </is>
      </c>
      <c r="O175" s="4" t="inlineStr">
        <is>
          <t>2026-09-23T14:30:23.905Z</t>
        </is>
      </c>
    </row>
    <row r="176">
      <c r="A176" s="4" t="inlineStr">
        <is>
          <t>Base → SOL</t>
        </is>
      </c>
      <c r="B176" s="4" t="n">
        <v>1</v>
      </c>
      <c r="C176" s="4" t="inlineStr">
        <is>
          <t>Relay</t>
        </is>
      </c>
      <c r="D176" s="19" t="n">
        <v>99.695894</v>
      </c>
      <c r="E176" s="4" t="inlineStr"/>
      <c r="F176" s="19" t="n">
        <v>99.945701</v>
      </c>
      <c r="G176" s="19" t="n"/>
      <c r="H176" s="17">
        <f>IF(ISNUMBER(F176),F176-N(G176),"")</f>
        <v/>
      </c>
      <c r="I176" s="16">
        <f>IF(AND(ISNUMBER(D176),ISNUMBER(H176)),(D176-H176)/100*10000,"")</f>
        <v/>
      </c>
      <c r="J176" s="19" t="n">
        <v>0.05</v>
      </c>
      <c r="K176" s="16">
        <f>IF(ISNUMBER(I176),I176+N(J176)/100*10000,"")</f>
        <v/>
      </c>
      <c r="L176" s="13" t="n">
        <v>0.003</v>
      </c>
      <c r="M176" s="4" t="inlineStr"/>
      <c r="N176" s="4" t="inlineStr">
        <is>
          <t>2026-09-23T14:21:44.562Z</t>
        </is>
      </c>
      <c r="O176" s="4" t="inlineStr">
        <is>
          <t>2026-09-23T14:21:44.559Z</t>
        </is>
      </c>
    </row>
    <row r="177">
      <c r="A177" s="4" t="inlineStr">
        <is>
          <t>Base → SOL</t>
        </is>
      </c>
      <c r="B177" s="4" t="n">
        <v>2</v>
      </c>
      <c r="C177" s="4" t="inlineStr">
        <is>
          <t>Relay</t>
        </is>
      </c>
      <c r="D177" s="19" t="n">
        <v>99.69546200000001</v>
      </c>
      <c r="E177" s="4" t="inlineStr"/>
      <c r="F177" s="19" t="n">
        <v>99.945697</v>
      </c>
      <c r="G177" s="19" t="n"/>
      <c r="H177" s="17">
        <f>IF(ISNUMBER(F177),F177-N(G177),"")</f>
        <v/>
      </c>
      <c r="I177" s="16">
        <f>IF(AND(ISNUMBER(D177),ISNUMBER(H177)),(D177-H177)/100*10000,"")</f>
        <v/>
      </c>
      <c r="J177" s="19" t="n">
        <v>0.05</v>
      </c>
      <c r="K177" s="16">
        <f>IF(ISNUMBER(I177),I177+N(J177)/100*10000,"")</f>
        <v/>
      </c>
      <c r="L177" s="13" t="n">
        <v>0.002</v>
      </c>
      <c r="M177" s="4" t="inlineStr"/>
      <c r="N177" s="4" t="inlineStr">
        <is>
          <t>2026-09-23T14:26:20.602Z</t>
        </is>
      </c>
      <c r="O177" s="4" t="inlineStr">
        <is>
          <t>2026-09-23T14:26:20.600Z</t>
        </is>
      </c>
    </row>
    <row r="178">
      <c r="A178" s="4" t="inlineStr">
        <is>
          <t>Base → SOL</t>
        </is>
      </c>
      <c r="B178" s="4" t="n">
        <v>3</v>
      </c>
      <c r="C178" s="4" t="inlineStr">
        <is>
          <t>Relay</t>
        </is>
      </c>
      <c r="D178" s="19" t="n">
        <v>99.695571</v>
      </c>
      <c r="E178" s="4" t="inlineStr"/>
      <c r="F178" s="19" t="n">
        <v>99.945718</v>
      </c>
      <c r="G178" s="19" t="n"/>
      <c r="H178" s="17">
        <f>IF(ISNUMBER(F178),F178-N(G178),"")</f>
        <v/>
      </c>
      <c r="I178" s="16">
        <f>IF(AND(ISNUMBER(D178),ISNUMBER(H178)),(D178-H178)/100*10000,"")</f>
        <v/>
      </c>
      <c r="J178" s="19" t="n">
        <v>0.05</v>
      </c>
      <c r="K178" s="16">
        <f>IF(ISNUMBER(I178),I178+N(J178)/100*10000,"")</f>
        <v/>
      </c>
      <c r="L178" s="13" t="n">
        <v>0.001</v>
      </c>
      <c r="M178" s="4" t="inlineStr"/>
      <c r="N178" s="4" t="inlineStr">
        <is>
          <t>2026-09-23T14:30:58.847Z</t>
        </is>
      </c>
      <c r="O178" s="4" t="inlineStr">
        <is>
          <t>2026-09-23T14:30:58.846Z</t>
        </is>
      </c>
    </row>
    <row r="179">
      <c r="A179" s="4" t="inlineStr">
        <is>
          <t>Base → SOL</t>
        </is>
      </c>
      <c r="B179" s="4" t="n">
        <v>1</v>
      </c>
      <c r="C179" s="4" t="inlineStr">
        <is>
          <t>deBridge</t>
        </is>
      </c>
      <c r="D179" s="19" t="n">
        <v>98.90910599999999</v>
      </c>
      <c r="E179" s="4" t="inlineStr"/>
      <c r="F179" s="19" t="n">
        <v>99.880032</v>
      </c>
      <c r="G179" s="19" t="n">
        <v>1.0278</v>
      </c>
      <c r="H179" s="17">
        <f>IF(ISNUMBER(F179),F179-N(G179),"")</f>
        <v/>
      </c>
      <c r="I179" s="16">
        <f>IF(AND(ISNUMBER(D179),ISNUMBER(H179)),(D179-H179)/100*10000,"")</f>
        <v/>
      </c>
      <c r="J179" s="19" t="n">
        <v>0.05</v>
      </c>
      <c r="K179" s="16">
        <f>IF(ISNUMBER(I179),I179+N(J179)/100*10000,"")</f>
        <v/>
      </c>
      <c r="L179" s="13" t="n">
        <v>0.002</v>
      </c>
      <c r="M179" s="4" t="inlineStr">
        <is>
          <t>+1.0278 USDC charged on top of 100 input (subtracted)</t>
        </is>
      </c>
      <c r="N179" s="4" t="inlineStr">
        <is>
          <t>2026-09-23T14:21:44.562Z</t>
        </is>
      </c>
      <c r="O179" s="4" t="inlineStr">
        <is>
          <t>2026-09-23T14:21:44.560Z</t>
        </is>
      </c>
    </row>
    <row r="180">
      <c r="A180" s="4" t="inlineStr">
        <is>
          <t>Base → SOL</t>
        </is>
      </c>
      <c r="B180" s="4" t="n">
        <v>2</v>
      </c>
      <c r="C180" s="4" t="inlineStr">
        <is>
          <t>deBridge</t>
        </is>
      </c>
      <c r="D180" s="19" t="n">
        <v>98.913392</v>
      </c>
      <c r="E180" s="4" t="inlineStr"/>
      <c r="F180" s="19" t="n">
        <v>99.880033</v>
      </c>
      <c r="G180" s="19" t="n">
        <v>1.0214</v>
      </c>
      <c r="H180" s="17">
        <f>IF(ISNUMBER(F180),F180-N(G180),"")</f>
        <v/>
      </c>
      <c r="I180" s="16">
        <f>IF(AND(ISNUMBER(D180),ISNUMBER(H180)),(D180-H180)/100*10000,"")</f>
        <v/>
      </c>
      <c r="J180" s="19" t="n">
        <v>0.05</v>
      </c>
      <c r="K180" s="16">
        <f>IF(ISNUMBER(I180),I180+N(J180)/100*10000,"")</f>
        <v/>
      </c>
      <c r="L180" s="13" t="n">
        <v>0.002</v>
      </c>
      <c r="M180" s="4" t="inlineStr">
        <is>
          <t>+1.0214 USDC charged on top of 100 input (subtracted)</t>
        </is>
      </c>
      <c r="N180" s="4" t="inlineStr">
        <is>
          <t>2026-09-23T14:26:20.602Z</t>
        </is>
      </c>
      <c r="O180" s="4" t="inlineStr">
        <is>
          <t>2026-09-23T14:26:20.600Z</t>
        </is>
      </c>
    </row>
    <row r="181">
      <c r="A181" s="4" t="inlineStr">
        <is>
          <t>Base → SOL</t>
        </is>
      </c>
      <c r="B181" s="4" t="n">
        <v>3</v>
      </c>
      <c r="C181" s="4" t="inlineStr">
        <is>
          <t>deBridge</t>
        </is>
      </c>
      <c r="D181" s="19" t="n">
        <v>98.913099</v>
      </c>
      <c r="E181" s="4" t="inlineStr"/>
      <c r="F181" s="19" t="n">
        <v>99.920018</v>
      </c>
      <c r="G181" s="19" t="n">
        <v>1.0077</v>
      </c>
      <c r="H181" s="17">
        <f>IF(ISNUMBER(F181),F181-N(G181),"")</f>
        <v/>
      </c>
      <c r="I181" s="16">
        <f>IF(AND(ISNUMBER(D181),ISNUMBER(H181)),(D181-H181)/100*10000,"")</f>
        <v/>
      </c>
      <c r="J181" s="19" t="n">
        <v>0.05</v>
      </c>
      <c r="K181" s="16">
        <f>IF(ISNUMBER(I181),I181+N(J181)/100*10000,"")</f>
        <v/>
      </c>
      <c r="L181" s="13" t="n">
        <v>0.002</v>
      </c>
      <c r="M181" s="4" t="inlineStr">
        <is>
          <t>+1.0077 USDC charged on top of 100 input (subtracted)</t>
        </is>
      </c>
      <c r="N181" s="4" t="inlineStr">
        <is>
          <t>2026-09-23T14:30:58.847Z</t>
        </is>
      </c>
      <c r="O181" s="4" t="inlineStr">
        <is>
          <t>2026-09-23T14:30:58.845Z</t>
        </is>
      </c>
    </row>
    <row r="182">
      <c r="A182" s="4" t="inlineStr">
        <is>
          <t>Base → SOL</t>
        </is>
      </c>
      <c r="B182" s="4" t="n">
        <v>1</v>
      </c>
      <c r="C182" s="4" t="inlineStr">
        <is>
          <t>LI.FI (Jumper)</t>
        </is>
      </c>
      <c r="D182" s="19" t="n">
        <v>98.99413199999999</v>
      </c>
      <c r="E182" s="4" t="inlineStr"/>
      <c r="F182" s="19" t="n">
        <v>100</v>
      </c>
      <c r="G182" s="19" t="n"/>
      <c r="H182" s="17">
        <f>IF(ISNUMBER(F182),F182-N(G182),"")</f>
        <v/>
      </c>
      <c r="I182" s="16">
        <f>IF(AND(ISNUMBER(D182),ISNUMBER(H182)),(D182-H182)/100*10000,"")</f>
        <v/>
      </c>
      <c r="J182" s="19" t="n">
        <v>0.05</v>
      </c>
      <c r="K182" s="16">
        <f>IF(ISNUMBER(I182),I182+N(J182)/100*10000,"")</f>
        <v/>
      </c>
      <c r="L182" s="13" t="n">
        <v>0.004</v>
      </c>
      <c r="M182" s="4" t="inlineStr">
        <is>
          <t>Jumper Best Return via Polymer (Standard); max route 100.0</t>
        </is>
      </c>
      <c r="N182" s="4" t="inlineStr">
        <is>
          <t>2026-09-23T14:21:44.562Z</t>
        </is>
      </c>
      <c r="O182" s="4" t="inlineStr">
        <is>
          <t>2026-09-23T14:21:44.558Z</t>
        </is>
      </c>
    </row>
    <row r="183">
      <c r="A183" s="4" t="inlineStr">
        <is>
          <t>Base → SOL</t>
        </is>
      </c>
      <c r="B183" s="4" t="n">
        <v>2</v>
      </c>
      <c r="C183" s="4" t="inlineStr">
        <is>
          <t>LI.FI (Jumper)</t>
        </is>
      </c>
      <c r="D183" s="19" t="n">
        <v>98.993364</v>
      </c>
      <c r="E183" s="4" t="inlineStr"/>
      <c r="F183" s="19" t="n">
        <v>100</v>
      </c>
      <c r="G183" s="19" t="n"/>
      <c r="H183" s="17">
        <f>IF(ISNUMBER(F183),F183-N(G183),"")</f>
        <v/>
      </c>
      <c r="I183" s="16">
        <f>IF(AND(ISNUMBER(D183),ISNUMBER(H183)),(D183-H183)/100*10000,"")</f>
        <v/>
      </c>
      <c r="J183" s="19" t="n">
        <v>0.05</v>
      </c>
      <c r="K183" s="16">
        <f>IF(ISNUMBER(I183),I183+N(J183)/100*10000,"")</f>
        <v/>
      </c>
      <c r="L183" s="13" t="n">
        <v>0.001</v>
      </c>
      <c r="M183" s="4" t="inlineStr">
        <is>
          <t>Jumper Best Return via Polymer (Standard); max route 100.0</t>
        </is>
      </c>
      <c r="N183" s="4" t="inlineStr">
        <is>
          <t>2026-09-23T14:26:20.602Z</t>
        </is>
      </c>
      <c r="O183" s="4" t="inlineStr">
        <is>
          <t>2026-09-23T14:26:20.601Z</t>
        </is>
      </c>
    </row>
    <row r="184">
      <c r="A184" s="4" t="inlineStr">
        <is>
          <t>Base → SOL</t>
        </is>
      </c>
      <c r="B184" s="4" t="n">
        <v>3</v>
      </c>
      <c r="C184" s="4" t="inlineStr">
        <is>
          <t>LI.FI (Jumper)</t>
        </is>
      </c>
      <c r="D184" s="19" t="n">
        <v>98.993557</v>
      </c>
      <c r="E184" s="4" t="inlineStr"/>
      <c r="F184" s="19" t="n">
        <v>100</v>
      </c>
      <c r="G184" s="19" t="n"/>
      <c r="H184" s="17">
        <f>IF(ISNUMBER(F184),F184-N(G184),"")</f>
        <v/>
      </c>
      <c r="I184" s="16">
        <f>IF(AND(ISNUMBER(D184),ISNUMBER(H184)),(D184-H184)/100*10000,"")</f>
        <v/>
      </c>
      <c r="J184" s="19" t="n">
        <v>0.05</v>
      </c>
      <c r="K184" s="16">
        <f>IF(ISNUMBER(I184),I184+N(J184)/100*10000,"")</f>
        <v/>
      </c>
      <c r="L184" s="13" t="n">
        <v>0</v>
      </c>
      <c r="M184" s="4" t="inlineStr">
        <is>
          <t>Jumper Best Return via Polymer (Standard); max route 100.0</t>
        </is>
      </c>
      <c r="N184" s="4" t="inlineStr">
        <is>
          <t>2026-09-23T14:30:58.847Z</t>
        </is>
      </c>
      <c r="O184" s="4" t="inlineStr">
        <is>
          <t>2026-09-23T14:30:58.847Z</t>
        </is>
      </c>
    </row>
    <row r="185">
      <c r="A185" s="4" t="inlineStr">
        <is>
          <t>Base → SOL</t>
        </is>
      </c>
      <c r="B185" s="4" t="n">
        <v>1</v>
      </c>
      <c r="C185" s="4" t="inlineStr">
        <is>
          <t>Across</t>
        </is>
      </c>
      <c r="D185" s="19" t="inlineStr">
        <is>
          <t>not listed</t>
        </is>
      </c>
      <c r="E185" s="4" t="inlineStr"/>
      <c r="F185" s="19" t="n">
        <v>99.98699999999999</v>
      </c>
      <c r="G185" s="19" t="n"/>
      <c r="H185" s="17">
        <f>IF(ISNUMBER(F185),F185-N(G185),"")</f>
        <v/>
      </c>
      <c r="I185" s="16">
        <f>IF(AND(ISNUMBER(D185),ISNUMBER(H185)),(D185-H185)/100*10000,"")</f>
        <v/>
      </c>
      <c r="J185" s="19" t="n">
        <v>0.05</v>
      </c>
      <c r="K185" s="16">
        <f>IF(ISNUMBER(I185),I185+N(J185)/100*10000,"")</f>
        <v/>
      </c>
      <c r="L185" s="13" t="n">
        <v>0.004</v>
      </c>
      <c r="M185" s="4" t="inlineStr"/>
      <c r="N185" s="4" t="inlineStr">
        <is>
          <t>2026-09-23T14:21:44.562Z</t>
        </is>
      </c>
      <c r="O185" s="4" t="inlineStr">
        <is>
          <t>2026-09-23T14:21:44.558Z</t>
        </is>
      </c>
    </row>
    <row r="186">
      <c r="A186" s="4" t="inlineStr">
        <is>
          <t>Base → SOL</t>
        </is>
      </c>
      <c r="B186" s="4" t="n">
        <v>2</v>
      </c>
      <c r="C186" s="4" t="inlineStr">
        <is>
          <t>Across</t>
        </is>
      </c>
      <c r="D186" s="19" t="inlineStr">
        <is>
          <t>not listed</t>
        </is>
      </c>
      <c r="E186" s="4" t="inlineStr"/>
      <c r="F186" s="19" t="n">
        <v>99.98699999999999</v>
      </c>
      <c r="G186" s="19" t="n"/>
      <c r="H186" s="17">
        <f>IF(ISNUMBER(F186),F186-N(G186),"")</f>
        <v/>
      </c>
      <c r="I186" s="16">
        <f>IF(AND(ISNUMBER(D186),ISNUMBER(H186)),(D186-H186)/100*10000,"")</f>
        <v/>
      </c>
      <c r="J186" s="19" t="n">
        <v>0.05</v>
      </c>
      <c r="K186" s="16">
        <f>IF(ISNUMBER(I186),I186+N(J186)/100*10000,"")</f>
        <v/>
      </c>
      <c r="L186" s="13" t="n">
        <v>0.004</v>
      </c>
      <c r="M186" s="4" t="inlineStr"/>
      <c r="N186" s="4" t="inlineStr">
        <is>
          <t>2026-09-23T14:26:20.602Z</t>
        </is>
      </c>
      <c r="O186" s="4" t="inlineStr">
        <is>
          <t>2026-09-23T14:26:20.598Z</t>
        </is>
      </c>
    </row>
    <row r="187">
      <c r="A187" s="4" t="inlineStr">
        <is>
          <t>Base → SOL</t>
        </is>
      </c>
      <c r="B187" s="4" t="n">
        <v>3</v>
      </c>
      <c r="C187" s="4" t="inlineStr">
        <is>
          <t>Across</t>
        </is>
      </c>
      <c r="D187" s="19" t="inlineStr">
        <is>
          <t>not listed</t>
        </is>
      </c>
      <c r="E187" s="4" t="inlineStr"/>
      <c r="F187" s="19" t="n">
        <v>99.98699999999999</v>
      </c>
      <c r="G187" s="19" t="n"/>
      <c r="H187" s="17">
        <f>IF(ISNUMBER(F187),F187-N(G187),"")</f>
        <v/>
      </c>
      <c r="I187" s="16">
        <f>IF(AND(ISNUMBER(D187),ISNUMBER(H187)),(D187-H187)/100*10000,"")</f>
        <v/>
      </c>
      <c r="J187" s="19" t="n">
        <v>0.05</v>
      </c>
      <c r="K187" s="16">
        <f>IF(ISNUMBER(I187),I187+N(J187)/100*10000,"")</f>
        <v/>
      </c>
      <c r="L187" s="13" t="n">
        <v>0.002</v>
      </c>
      <c r="M187" s="4" t="inlineStr"/>
      <c r="N187" s="4" t="inlineStr">
        <is>
          <t>2026-09-23T14:30:58.847Z</t>
        </is>
      </c>
      <c r="O187" s="4" t="inlineStr">
        <is>
          <t>2026-09-23T14:30:58.845Z</t>
        </is>
      </c>
    </row>
    <row r="188">
      <c r="A188" s="4" t="inlineStr">
        <is>
          <t>Base → SOL</t>
        </is>
      </c>
      <c r="B188" s="4" t="n">
        <v>1</v>
      </c>
      <c r="C188" s="4" t="inlineStr">
        <is>
          <t>Mayan</t>
        </is>
      </c>
      <c r="D188" s="19" t="n">
        <v>99.635623</v>
      </c>
      <c r="E188" s="4" t="inlineStr"/>
      <c r="F188" s="19" t="n">
        <v>99.685</v>
      </c>
      <c r="G188" s="19" t="n"/>
      <c r="H188" s="17">
        <f>IF(ISNUMBER(F188),F188-N(G188),"")</f>
        <v/>
      </c>
      <c r="I188" s="16">
        <f>IF(AND(ISNUMBER(D188),ISNUMBER(H188)),(D188-H188)/100*10000,"")</f>
        <v/>
      </c>
      <c r="J188" s="19" t="n">
        <v>0.05</v>
      </c>
      <c r="K188" s="16">
        <f>IF(ISNUMBER(I188),I188+N(J188)/100*10000,"")</f>
        <v/>
      </c>
      <c r="L188" s="13" t="n">
        <v>0.005</v>
      </c>
      <c r="M188" s="4" t="inlineStr">
        <is>
          <t>Swift v2; UI shows 3 dp</t>
        </is>
      </c>
      <c r="N188" s="4" t="inlineStr">
        <is>
          <t>2026-09-23T14:21:44.562Z</t>
        </is>
      </c>
      <c r="O188" s="4" t="inlineStr">
        <is>
          <t>2026-09-23T14:21:44.557Z</t>
        </is>
      </c>
    </row>
    <row r="189">
      <c r="A189" s="4" t="inlineStr">
        <is>
          <t>Base → SOL</t>
        </is>
      </c>
      <c r="B189" s="4" t="n">
        <v>2</v>
      </c>
      <c r="C189" s="4" t="inlineStr">
        <is>
          <t>Mayan</t>
        </is>
      </c>
      <c r="D189" s="19" t="n">
        <v>99.636593</v>
      </c>
      <c r="E189" s="4" t="inlineStr"/>
      <c r="F189" s="19" t="n">
        <v>99.68600000000001</v>
      </c>
      <c r="G189" s="19" t="n"/>
      <c r="H189" s="17">
        <f>IF(ISNUMBER(F189),F189-N(G189),"")</f>
        <v/>
      </c>
      <c r="I189" s="16">
        <f>IF(AND(ISNUMBER(D189),ISNUMBER(H189)),(D189-H189)/100*10000,"")</f>
        <v/>
      </c>
      <c r="J189" s="19" t="n">
        <v>0.05</v>
      </c>
      <c r="K189" s="16">
        <f>IF(ISNUMBER(I189),I189+N(J189)/100*10000,"")</f>
        <v/>
      </c>
      <c r="L189" s="13" t="n">
        <v>0.003</v>
      </c>
      <c r="M189" s="4" t="inlineStr">
        <is>
          <t>Swift v2; UI shows 3 dp</t>
        </is>
      </c>
      <c r="N189" s="4" t="inlineStr">
        <is>
          <t>2026-09-23T14:26:20.602Z</t>
        </is>
      </c>
      <c r="O189" s="4" t="inlineStr">
        <is>
          <t>2026-09-23T14:26:20.599Z</t>
        </is>
      </c>
    </row>
    <row r="190">
      <c r="A190" s="4" t="inlineStr">
        <is>
          <t>Base → SOL</t>
        </is>
      </c>
      <c r="B190" s="4" t="n">
        <v>3</v>
      </c>
      <c r="C190" s="4" t="inlineStr">
        <is>
          <t>Mayan</t>
        </is>
      </c>
      <c r="D190" s="19" t="n">
        <v>99.638812</v>
      </c>
      <c r="E190" s="4" t="inlineStr"/>
      <c r="F190" s="19" t="n">
        <v>99.688</v>
      </c>
      <c r="G190" s="19" t="n"/>
      <c r="H190" s="17">
        <f>IF(ISNUMBER(F190),F190-N(G190),"")</f>
        <v/>
      </c>
      <c r="I190" s="16">
        <f>IF(AND(ISNUMBER(D190),ISNUMBER(H190)),(D190-H190)/100*10000,"")</f>
        <v/>
      </c>
      <c r="J190" s="19" t="n">
        <v>0.05</v>
      </c>
      <c r="K190" s="16">
        <f>IF(ISNUMBER(I190),I190+N(J190)/100*10000,"")</f>
        <v/>
      </c>
      <c r="L190" s="13" t="n">
        <v>0.003</v>
      </c>
      <c r="M190" s="4" t="inlineStr">
        <is>
          <t>Swift v2; UI shows 3 dp</t>
        </is>
      </c>
      <c r="N190" s="4" t="inlineStr">
        <is>
          <t>2026-09-23T14:30:58.847Z</t>
        </is>
      </c>
      <c r="O190" s="4" t="inlineStr">
        <is>
          <t>2026-09-23T14:30:58.844Z</t>
        </is>
      </c>
    </row>
    <row r="191">
      <c r="A191" s="4" t="inlineStr">
        <is>
          <t>Base → SOL</t>
        </is>
      </c>
      <c r="B191" s="4" t="n">
        <v>1</v>
      </c>
      <c r="C191" s="4" t="inlineStr">
        <is>
          <t>Allbridge Core</t>
        </is>
      </c>
      <c r="D191" s="19" t="n">
        <v>99.85005</v>
      </c>
      <c r="E191" s="4" t="inlineStr"/>
      <c r="F191" s="19" t="n">
        <v>99.90000000000001</v>
      </c>
      <c r="G191" s="19" t="n"/>
      <c r="H191" s="17">
        <f>IF(ISNUMBER(F191),F191-N(G191),"")</f>
        <v/>
      </c>
      <c r="I191" s="16">
        <f>IF(AND(ISNUMBER(D191),ISNUMBER(H191)),(D191-H191)/100*10000,"")</f>
        <v/>
      </c>
      <c r="J191" s="19" t="n">
        <v>0.05</v>
      </c>
      <c r="K191" s="16">
        <f>IF(ISNUMBER(I191),I191+N(J191)/100*10000,"")</f>
        <v/>
      </c>
      <c r="L191" s="13" t="n">
        <v>0.001</v>
      </c>
      <c r="M191" s="4" t="inlineStr">
        <is>
          <t>+0.000136 ETH (relayer fee, fee=native) charged on top of 100 input (not converted)</t>
        </is>
      </c>
      <c r="N191" s="4" t="inlineStr">
        <is>
          <t>2026-09-23T14:21:44.562Z</t>
        </is>
      </c>
      <c r="O191" s="4" t="inlineStr">
        <is>
          <t>2026-09-23T14:21:44.563Z</t>
        </is>
      </c>
    </row>
    <row r="192">
      <c r="A192" s="4" t="inlineStr">
        <is>
          <t>Base → SOL</t>
        </is>
      </c>
      <c r="B192" s="4" t="n">
        <v>2</v>
      </c>
      <c r="C192" s="4" t="inlineStr">
        <is>
          <t>Allbridge Core</t>
        </is>
      </c>
      <c r="D192" s="19" t="n">
        <v>99.85005</v>
      </c>
      <c r="E192" s="4" t="inlineStr"/>
      <c r="F192" s="19" t="n">
        <v>99.90000000000001</v>
      </c>
      <c r="G192" s="19" t="n"/>
      <c r="H192" s="17">
        <f>IF(ISNUMBER(F192),F192-N(G192),"")</f>
        <v/>
      </c>
      <c r="I192" s="16">
        <f>IF(AND(ISNUMBER(D192),ISNUMBER(H192)),(D192-H192)/100*10000,"")</f>
        <v/>
      </c>
      <c r="J192" s="19" t="n">
        <v>0.05</v>
      </c>
      <c r="K192" s="16">
        <f>IF(ISNUMBER(I192),I192+N(J192)/100*10000,"")</f>
        <v/>
      </c>
      <c r="L192" s="13" t="n">
        <v>0.002</v>
      </c>
      <c r="M192" s="4" t="inlineStr">
        <is>
          <t>+0.000136 ETH (relayer fee, fee=native) charged on top of 100 input (not converted)</t>
        </is>
      </c>
      <c r="N192" s="4" t="inlineStr">
        <is>
          <t>2026-09-23T14:26:20.602Z</t>
        </is>
      </c>
      <c r="O192" s="4" t="inlineStr">
        <is>
          <t>2026-09-23T14:26:20.600Z</t>
        </is>
      </c>
    </row>
    <row r="193">
      <c r="A193" s="4" t="inlineStr">
        <is>
          <t>Base → SOL</t>
        </is>
      </c>
      <c r="B193" s="4" t="n">
        <v>3</v>
      </c>
      <c r="C193" s="4" t="inlineStr">
        <is>
          <t>Allbridge Core</t>
        </is>
      </c>
      <c r="D193" s="19" t="n">
        <v>99.85005</v>
      </c>
      <c r="E193" s="4" t="inlineStr"/>
      <c r="F193" s="19" t="n">
        <v>99.90000000000001</v>
      </c>
      <c r="G193" s="19" t="n"/>
      <c r="H193" s="17">
        <f>IF(ISNUMBER(F193),F193-N(G193),"")</f>
        <v/>
      </c>
      <c r="I193" s="16">
        <f>IF(AND(ISNUMBER(D193),ISNUMBER(H193)),(D193-H193)/100*10000,"")</f>
        <v/>
      </c>
      <c r="J193" s="19" t="n">
        <v>0.05</v>
      </c>
      <c r="K193" s="16">
        <f>IF(ISNUMBER(I193),I193+N(J193)/100*10000,"")</f>
        <v/>
      </c>
      <c r="L193" s="13" t="n">
        <v>0.002</v>
      </c>
      <c r="M193" s="4" t="inlineStr">
        <is>
          <t>+0.000136 ETH (relayer fee, fee=native) charged on top of 100 input (not converted)</t>
        </is>
      </c>
      <c r="N193" s="4" t="inlineStr">
        <is>
          <t>2026-09-23T14:30:58.847Z</t>
        </is>
      </c>
      <c r="O193" s="4" t="inlineStr">
        <is>
          <t>2026-09-23T14:30:58.845Z</t>
        </is>
      </c>
    </row>
    <row r="194">
      <c r="A194" s="4" t="inlineStr">
        <is>
          <t>Base → SOL</t>
        </is>
      </c>
      <c r="B194" s="4" t="n">
        <v>1</v>
      </c>
      <c r="C194" s="4" t="inlineStr">
        <is>
          <t>CCTP (via Portal)</t>
        </is>
      </c>
      <c r="D194" s="19" t="n">
        <v>99.789518</v>
      </c>
      <c r="E194" s="4" t="inlineStr"/>
      <c r="F194" s="19" t="n">
        <v>99.977001</v>
      </c>
      <c r="G194" s="19" t="n"/>
      <c r="H194" s="17">
        <f>IF(ISNUMBER(F194),F194-N(G194),"")</f>
        <v/>
      </c>
      <c r="I194" s="16">
        <f>IF(AND(ISNUMBER(D194),ISNUMBER(H194)),(D194-H194)/100*10000,"")</f>
        <v/>
      </c>
      <c r="J194" s="19" t="n">
        <v>0.05</v>
      </c>
      <c r="K194" s="16">
        <f>IF(ISNUMBER(I194),I194+N(J194)/100*10000,"")</f>
        <v/>
      </c>
      <c r="L194" s="13" t="n">
        <v>0.006</v>
      </c>
      <c r="M194" s="4" t="inlineStr">
        <is>
          <t>via Portal (CCTPv2FastExecutorRoute); executor fee hidden until wallet connect</t>
        </is>
      </c>
      <c r="N194" s="4" t="inlineStr">
        <is>
          <t>2026-09-23T14:21:44.562Z</t>
        </is>
      </c>
      <c r="O194" s="4" t="inlineStr">
        <is>
          <t>2026-09-23T14:21:44.556Z</t>
        </is>
      </c>
    </row>
    <row r="195">
      <c r="A195" s="4" t="inlineStr">
        <is>
          <t>Base → SOL</t>
        </is>
      </c>
      <c r="B195" s="4" t="n">
        <v>2</v>
      </c>
      <c r="C195" s="4" t="inlineStr">
        <is>
          <t>CCTP (via Portal)</t>
        </is>
      </c>
      <c r="D195" s="19" t="n">
        <v>99.789518</v>
      </c>
      <c r="E195" s="4" t="inlineStr"/>
      <c r="F195" s="19" t="n">
        <v>99.977001</v>
      </c>
      <c r="G195" s="19" t="n"/>
      <c r="H195" s="17">
        <f>IF(ISNUMBER(F195),F195-N(G195),"")</f>
        <v/>
      </c>
      <c r="I195" s="16">
        <f>IF(AND(ISNUMBER(D195),ISNUMBER(H195)),(D195-H195)/100*10000,"")</f>
        <v/>
      </c>
      <c r="J195" s="19" t="n">
        <v>0.05</v>
      </c>
      <c r="K195" s="16">
        <f>IF(ISNUMBER(I195),I195+N(J195)/100*10000,"")</f>
        <v/>
      </c>
      <c r="L195" s="13" t="n">
        <v>0.004</v>
      </c>
      <c r="M195" s="4" t="inlineStr">
        <is>
          <t>via Portal (CCTPv2FastExecutorRoute); executor fee hidden until wallet connect</t>
        </is>
      </c>
      <c r="N195" s="4" t="inlineStr">
        <is>
          <t>2026-09-23T14:26:20.602Z</t>
        </is>
      </c>
      <c r="O195" s="4" t="inlineStr">
        <is>
          <t>2026-09-23T14:26:20.598Z</t>
        </is>
      </c>
    </row>
    <row r="196">
      <c r="A196" s="4" t="inlineStr">
        <is>
          <t>Base → SOL</t>
        </is>
      </c>
      <c r="B196" s="4" t="n">
        <v>3</v>
      </c>
      <c r="C196" s="4" t="inlineStr">
        <is>
          <t>CCTP (via Portal)</t>
        </is>
      </c>
      <c r="D196" s="19" t="n">
        <v>99.779596</v>
      </c>
      <c r="E196" s="4" t="inlineStr"/>
      <c r="F196" s="19" t="n">
        <v>99.977001</v>
      </c>
      <c r="G196" s="19" t="n"/>
      <c r="H196" s="17">
        <f>IF(ISNUMBER(F196),F196-N(G196),"")</f>
        <v/>
      </c>
      <c r="I196" s="16">
        <f>IF(AND(ISNUMBER(D196),ISNUMBER(H196)),(D196-H196)/100*10000,"")</f>
        <v/>
      </c>
      <c r="J196" s="19" t="n">
        <v>0.05</v>
      </c>
      <c r="K196" s="16">
        <f>IF(ISNUMBER(I196),I196+N(J196)/100*10000,"")</f>
        <v/>
      </c>
      <c r="L196" s="13" t="n">
        <v>0.003</v>
      </c>
      <c r="M196" s="4" t="inlineStr">
        <is>
          <t>via Portal (CCTPv2FastExecutorRoute); executor fee hidden until wallet connect</t>
        </is>
      </c>
      <c r="N196" s="4" t="inlineStr">
        <is>
          <t>2026-09-23T14:30:58.847Z</t>
        </is>
      </c>
      <c r="O196" s="4" t="inlineStr">
        <is>
          <t>2026-09-23T14:30:58.844Z</t>
        </is>
      </c>
    </row>
    <row r="197">
      <c r="A197" s="4" t="inlineStr">
        <is>
          <t>Base → SOL</t>
        </is>
      </c>
      <c r="B197" s="4" t="n">
        <v>1</v>
      </c>
      <c r="C197" s="4" t="inlineStr">
        <is>
          <t>Husher</t>
        </is>
      </c>
      <c r="D197" s="19" t="n">
        <v>99.45025</v>
      </c>
      <c r="E197" s="4" t="inlineStr"/>
      <c r="F197" s="19" t="n">
        <v>99.34999999999999</v>
      </c>
      <c r="G197" s="19" t="n"/>
      <c r="H197" s="17">
        <f>IF(ISNUMBER(F197),F197-N(G197),"")</f>
        <v/>
      </c>
      <c r="I197" s="16">
        <f>IF(AND(ISNUMBER(D197),ISNUMBER(H197)),(D197-H197)/100*10000,"")</f>
        <v/>
      </c>
      <c r="J197" s="19" t="n">
        <v>0.05</v>
      </c>
      <c r="K197" s="16">
        <f>IF(ISNUMBER(I197),I197+N(J197)/100*10000,"")</f>
        <v/>
      </c>
      <c r="L197" s="13" t="n">
        <v>0.002</v>
      </c>
      <c r="M197" s="4" t="inlineStr"/>
      <c r="N197" s="4" t="inlineStr">
        <is>
          <t>2026-09-23T14:21:44.562Z</t>
        </is>
      </c>
      <c r="O197" s="4" t="inlineStr">
        <is>
          <t>2026-09-23T14:21:44.560Z</t>
        </is>
      </c>
    </row>
    <row r="198">
      <c r="A198" s="4" t="inlineStr">
        <is>
          <t>Base → SOL</t>
        </is>
      </c>
      <c r="B198" s="4" t="n">
        <v>2</v>
      </c>
      <c r="C198" s="4" t="inlineStr">
        <is>
          <t>Husher</t>
        </is>
      </c>
      <c r="D198" s="19" t="n">
        <v>99.45025</v>
      </c>
      <c r="E198" s="4" t="inlineStr"/>
      <c r="F198" s="19" t="n">
        <v>99.34999999999999</v>
      </c>
      <c r="G198" s="19" t="n"/>
      <c r="H198" s="17">
        <f>IF(ISNUMBER(F198),F198-N(G198),"")</f>
        <v/>
      </c>
      <c r="I198" s="16">
        <f>IF(AND(ISNUMBER(D198),ISNUMBER(H198)),(D198-H198)/100*10000,"")</f>
        <v/>
      </c>
      <c r="J198" s="19" t="n">
        <v>0.05</v>
      </c>
      <c r="K198" s="16">
        <f>IF(ISNUMBER(I198),I198+N(J198)/100*10000,"")</f>
        <v/>
      </c>
      <c r="L198" s="13" t="n">
        <v>0.004</v>
      </c>
      <c r="M198" s="4" t="inlineStr"/>
      <c r="N198" s="4" t="inlineStr">
        <is>
          <t>2026-09-23T14:26:20.602Z</t>
        </is>
      </c>
      <c r="O198" s="4" t="inlineStr">
        <is>
          <t>2026-09-23T14:26:20.598Z</t>
        </is>
      </c>
    </row>
    <row r="199">
      <c r="A199" s="4" t="inlineStr">
        <is>
          <t>Base → SOL</t>
        </is>
      </c>
      <c r="B199" s="4" t="n">
        <v>3</v>
      </c>
      <c r="C199" s="4" t="inlineStr">
        <is>
          <t>Husher</t>
        </is>
      </c>
      <c r="D199" s="19" t="n">
        <v>99.45025</v>
      </c>
      <c r="E199" s="4" t="inlineStr"/>
      <c r="F199" s="19" t="n">
        <v>99.34999999999999</v>
      </c>
      <c r="G199" s="19" t="n"/>
      <c r="H199" s="17">
        <f>IF(ISNUMBER(F199),F199-N(G199),"")</f>
        <v/>
      </c>
      <c r="I199" s="16">
        <f>IF(AND(ISNUMBER(D199),ISNUMBER(H199)),(D199-H199)/100*10000,"")</f>
        <v/>
      </c>
      <c r="J199" s="19" t="n">
        <v>0.05</v>
      </c>
      <c r="K199" s="16">
        <f>IF(ISNUMBER(I199),I199+N(J199)/100*10000,"")</f>
        <v/>
      </c>
      <c r="L199" s="13" t="n">
        <v>0.002</v>
      </c>
      <c r="M199" s="4" t="inlineStr"/>
      <c r="N199" s="4" t="inlineStr">
        <is>
          <t>2026-09-23T14:30:58.847Z</t>
        </is>
      </c>
      <c r="O199" s="4" t="inlineStr">
        <is>
          <t>2026-09-23T14:30:58.845Z</t>
        </is>
      </c>
    </row>
    <row r="200">
      <c r="A200" s="4" t="inlineStr">
        <is>
          <t>Base → SOL</t>
        </is>
      </c>
      <c r="B200" s="4" t="n">
        <v>1</v>
      </c>
      <c r="C200" s="4" t="inlineStr">
        <is>
          <t>Layerswap</t>
        </is>
      </c>
      <c r="D200" s="19" t="n">
        <v>99.600369</v>
      </c>
      <c r="E200" s="4" t="inlineStr"/>
      <c r="F200" s="19" t="n">
        <v>99.68203099999999</v>
      </c>
      <c r="G200" s="19" t="n"/>
      <c r="H200" s="17">
        <f>IF(ISNUMBER(F200),F200-N(G200),"")</f>
        <v/>
      </c>
      <c r="I200" s="16">
        <f>IF(AND(ISNUMBER(D200),ISNUMBER(H200)),(D200-H200)/100*10000,"")</f>
        <v/>
      </c>
      <c r="J200" s="19" t="n">
        <v>0.05</v>
      </c>
      <c r="K200" s="16">
        <f>IF(ISNUMBER(I200),I200+N(J200)/100*10000,"")</f>
        <v/>
      </c>
      <c r="L200" s="13" t="n">
        <v>0.001</v>
      </c>
      <c r="M200" s="4" t="inlineStr"/>
      <c r="N200" s="4" t="inlineStr">
        <is>
          <t>2026-09-23T14:21:44.562Z</t>
        </is>
      </c>
      <c r="O200" s="4" t="inlineStr">
        <is>
          <t>2026-09-23T14:21:44.563Z</t>
        </is>
      </c>
    </row>
    <row r="201">
      <c r="A201" s="4" t="inlineStr">
        <is>
          <t>Base → SOL</t>
        </is>
      </c>
      <c r="B201" s="4" t="n">
        <v>2</v>
      </c>
      <c r="C201" s="4" t="inlineStr">
        <is>
          <t>Layerswap</t>
        </is>
      </c>
      <c r="D201" s="19" t="n">
        <v>99.601411</v>
      </c>
      <c r="E201" s="4" t="inlineStr"/>
      <c r="F201" s="19" t="n">
        <v>99.68307299999999</v>
      </c>
      <c r="G201" s="19" t="n"/>
      <c r="H201" s="17">
        <f>IF(ISNUMBER(F201),F201-N(G201),"")</f>
        <v/>
      </c>
      <c r="I201" s="16">
        <f>IF(AND(ISNUMBER(D201),ISNUMBER(H201)),(D201-H201)/100*10000,"")</f>
        <v/>
      </c>
      <c r="J201" s="19" t="n">
        <v>0.05</v>
      </c>
      <c r="K201" s="16">
        <f>IF(ISNUMBER(I201),I201+N(J201)/100*10000,"")</f>
        <v/>
      </c>
      <c r="L201" s="13" t="n">
        <v>0.002</v>
      </c>
      <c r="M201" s="4" t="inlineStr"/>
      <c r="N201" s="4" t="inlineStr">
        <is>
          <t>2026-09-23T14:26:20.602Z</t>
        </is>
      </c>
      <c r="O201" s="4" t="inlineStr">
        <is>
          <t>2026-09-23T14:26:20.600Z</t>
        </is>
      </c>
    </row>
    <row r="202">
      <c r="A202" s="4" t="inlineStr">
        <is>
          <t>Base → SOL</t>
        </is>
      </c>
      <c r="B202" s="4" t="n">
        <v>3</v>
      </c>
      <c r="C202" s="4" t="inlineStr">
        <is>
          <t>Layerswap</t>
        </is>
      </c>
      <c r="D202" s="19" t="n">
        <v>99.601501</v>
      </c>
      <c r="E202" s="4" t="inlineStr"/>
      <c r="F202" s="19" t="n">
        <v>99.68316299999999</v>
      </c>
      <c r="G202" s="19" t="n"/>
      <c r="H202" s="17">
        <f>IF(ISNUMBER(F202),F202-N(G202),"")</f>
        <v/>
      </c>
      <c r="I202" s="16">
        <f>IF(AND(ISNUMBER(D202),ISNUMBER(H202)),(D202-H202)/100*10000,"")</f>
        <v/>
      </c>
      <c r="J202" s="19" t="n">
        <v>0.05</v>
      </c>
      <c r="K202" s="16">
        <f>IF(ISNUMBER(I202),I202+N(J202)/100*10000,"")</f>
        <v/>
      </c>
      <c r="L202" s="13" t="n">
        <v>0.001</v>
      </c>
      <c r="M202" s="4" t="inlineStr"/>
      <c r="N202" s="4" t="inlineStr">
        <is>
          <t>2026-09-23T14:30:58.847Z</t>
        </is>
      </c>
      <c r="O202" s="4" t="inlineStr">
        <is>
          <t>2026-09-23T14:30:58.846Z</t>
        </is>
      </c>
    </row>
    <row r="203">
      <c r="A203" s="4" t="inlineStr">
        <is>
          <t>Base → SOL</t>
        </is>
      </c>
      <c r="B203" s="4" t="n">
        <v>1</v>
      </c>
      <c r="C203" s="4" t="inlineStr">
        <is>
          <t>Meson</t>
        </is>
      </c>
      <c r="D203" s="19" t="n">
        <v>99.45025</v>
      </c>
      <c r="E203" s="4" t="inlineStr"/>
      <c r="F203" s="19" t="n">
        <v>99.59999999999999</v>
      </c>
      <c r="G203" s="19" t="n"/>
      <c r="H203" s="17">
        <f>IF(ISNUMBER(F203),F203-N(G203),"")</f>
        <v/>
      </c>
      <c r="I203" s="16">
        <f>IF(AND(ISNUMBER(D203),ISNUMBER(H203)),(D203-H203)/100*10000,"")</f>
        <v/>
      </c>
      <c r="J203" s="19" t="n">
        <v>0.05</v>
      </c>
      <c r="K203" s="16">
        <f>IF(ISNUMBER(I203),I203+N(J203)/100*10000,"")</f>
        <v/>
      </c>
      <c r="L203" s="13" t="n">
        <v>0.005</v>
      </c>
      <c r="M203" s="4" t="inlineStr"/>
      <c r="N203" s="4" t="inlineStr">
        <is>
          <t>2026-09-23T14:21:44.562Z</t>
        </is>
      </c>
      <c r="O203" s="4" t="inlineStr">
        <is>
          <t>2026-09-23T14:21:44.557Z</t>
        </is>
      </c>
    </row>
    <row r="204">
      <c r="A204" s="4" t="inlineStr">
        <is>
          <t>Base → SOL</t>
        </is>
      </c>
      <c r="B204" s="4" t="n">
        <v>2</v>
      </c>
      <c r="C204" s="4" t="inlineStr">
        <is>
          <t>Meson</t>
        </is>
      </c>
      <c r="D204" s="19" t="n">
        <v>99.45025</v>
      </c>
      <c r="E204" s="4" t="inlineStr"/>
      <c r="F204" s="19" t="n">
        <v>99.59999999999999</v>
      </c>
      <c r="G204" s="19" t="n"/>
      <c r="H204" s="17">
        <f>IF(ISNUMBER(F204),F204-N(G204),"")</f>
        <v/>
      </c>
      <c r="I204" s="16">
        <f>IF(AND(ISNUMBER(D204),ISNUMBER(H204)),(D204-H204)/100*10000,"")</f>
        <v/>
      </c>
      <c r="J204" s="19" t="n">
        <v>0.05</v>
      </c>
      <c r="K204" s="16">
        <f>IF(ISNUMBER(I204),I204+N(J204)/100*10000,"")</f>
        <v/>
      </c>
      <c r="L204" s="13" t="n">
        <v>0.004</v>
      </c>
      <c r="M204" s="4" t="inlineStr"/>
      <c r="N204" s="4" t="inlineStr">
        <is>
          <t>2026-09-23T14:26:20.602Z</t>
        </is>
      </c>
      <c r="O204" s="4" t="inlineStr">
        <is>
          <t>2026-09-23T14:26:20.598Z</t>
        </is>
      </c>
    </row>
    <row r="205">
      <c r="A205" s="4" t="inlineStr">
        <is>
          <t>Base → SOL</t>
        </is>
      </c>
      <c r="B205" s="4" t="n">
        <v>3</v>
      </c>
      <c r="C205" s="4" t="inlineStr">
        <is>
          <t>Meson</t>
        </is>
      </c>
      <c r="D205" s="19" t="n">
        <v>99.45025</v>
      </c>
      <c r="E205" s="4" t="inlineStr"/>
      <c r="F205" s="19" t="n">
        <v>99.59999999999999</v>
      </c>
      <c r="G205" s="19" t="n"/>
      <c r="H205" s="17">
        <f>IF(ISNUMBER(F205),F205-N(G205),"")</f>
        <v/>
      </c>
      <c r="I205" s="16">
        <f>IF(AND(ISNUMBER(D205),ISNUMBER(H205)),(D205-H205)/100*10000,"")</f>
        <v/>
      </c>
      <c r="J205" s="19" t="n">
        <v>0.05</v>
      </c>
      <c r="K205" s="16">
        <f>IF(ISNUMBER(I205),I205+N(J205)/100*10000,"")</f>
        <v/>
      </c>
      <c r="L205" s="13" t="n">
        <v>0.003</v>
      </c>
      <c r="M205" s="4" t="inlineStr"/>
      <c r="N205" s="4" t="inlineStr">
        <is>
          <t>2026-09-23T14:30:58.847Z</t>
        </is>
      </c>
      <c r="O205" s="4" t="inlineStr">
        <is>
          <t>2026-09-23T14:30:58.844Z</t>
        </is>
      </c>
    </row>
    <row r="206">
      <c r="A206" s="4" t="inlineStr">
        <is>
          <t>Base → SOL</t>
        </is>
      </c>
      <c r="B206" s="4" t="n">
        <v>1</v>
      </c>
      <c r="C206" s="4" t="inlineStr">
        <is>
          <t>SimpleSwap</t>
        </is>
      </c>
      <c r="D206" s="19" t="n">
        <v>97.70486699999999</v>
      </c>
      <c r="E206" s="4" t="inlineStr"/>
      <c r="F206" s="19" t="n">
        <v>98.485001</v>
      </c>
      <c r="G206" s="19" t="n"/>
      <c r="H206" s="17">
        <f>IF(ISNUMBER(F206),F206-N(G206),"")</f>
        <v/>
      </c>
      <c r="I206" s="16">
        <f>IF(AND(ISNUMBER(D206),ISNUMBER(H206)),(D206-H206)/100*10000,"")</f>
        <v/>
      </c>
      <c r="J206" s="19" t="n">
        <v>0.05</v>
      </c>
      <c r="K206" s="16">
        <f>IF(ISNUMBER(I206),I206+N(J206)/100*10000,"")</f>
        <v/>
      </c>
      <c r="L206" s="13" t="n">
        <v>0.001</v>
      </c>
      <c r="M206" s="4" t="inlineStr">
        <is>
          <t>selected card: Best rate / Decentralized; best card 98.485001</t>
        </is>
      </c>
      <c r="N206" s="4" t="inlineStr">
        <is>
          <t>2026-09-23T14:21:44.562Z</t>
        </is>
      </c>
      <c r="O206" s="4" t="inlineStr">
        <is>
          <t>2026-09-23T14:21:44.561Z</t>
        </is>
      </c>
    </row>
    <row r="207">
      <c r="A207" s="4" t="inlineStr">
        <is>
          <t>Base → SOL</t>
        </is>
      </c>
      <c r="B207" s="4" t="n">
        <v>2</v>
      </c>
      <c r="C207" s="4" t="inlineStr">
        <is>
          <t>SimpleSwap</t>
        </is>
      </c>
      <c r="D207" s="19" t="n">
        <v>97.706799</v>
      </c>
      <c r="E207" s="4" t="inlineStr"/>
      <c r="F207" s="19" t="n">
        <v>98.48478299999999</v>
      </c>
      <c r="G207" s="19" t="n"/>
      <c r="H207" s="17">
        <f>IF(ISNUMBER(F207),F207-N(G207),"")</f>
        <v/>
      </c>
      <c r="I207" s="16">
        <f>IF(AND(ISNUMBER(D207),ISNUMBER(H207)),(D207-H207)/100*10000,"")</f>
        <v/>
      </c>
      <c r="J207" s="19" t="n">
        <v>0.05</v>
      </c>
      <c r="K207" s="16">
        <f>IF(ISNUMBER(I207),I207+N(J207)/100*10000,"")</f>
        <v/>
      </c>
      <c r="L207" s="13" t="n">
        <v>0.001</v>
      </c>
      <c r="M207" s="4" t="inlineStr">
        <is>
          <t>selected card: Best rate / Decentralized; best card 98.484783</t>
        </is>
      </c>
      <c r="N207" s="4" t="inlineStr">
        <is>
          <t>2026-09-23T14:26:20.602Z</t>
        </is>
      </c>
      <c r="O207" s="4" t="inlineStr">
        <is>
          <t>2026-09-23T14:26:20.601Z</t>
        </is>
      </c>
    </row>
    <row r="208">
      <c r="A208" s="4" t="inlineStr">
        <is>
          <t>Base → SOL</t>
        </is>
      </c>
      <c r="B208" s="4" t="n">
        <v>3</v>
      </c>
      <c r="C208" s="4" t="inlineStr">
        <is>
          <t>SimpleSwap</t>
        </is>
      </c>
      <c r="D208" s="19" t="n">
        <v>97.70884700000001</v>
      </c>
      <c r="E208" s="4" t="inlineStr"/>
      <c r="F208" s="19" t="n">
        <v>98.48504</v>
      </c>
      <c r="G208" s="19" t="n"/>
      <c r="H208" s="17">
        <f>IF(ISNUMBER(F208),F208-N(G208),"")</f>
        <v/>
      </c>
      <c r="I208" s="16">
        <f>IF(AND(ISNUMBER(D208),ISNUMBER(H208)),(D208-H208)/100*10000,"")</f>
        <v/>
      </c>
      <c r="J208" s="19" t="n">
        <v>0.05</v>
      </c>
      <c r="K208" s="16">
        <f>IF(ISNUMBER(I208),I208+N(J208)/100*10000,"")</f>
        <v/>
      </c>
      <c r="L208" s="13" t="n">
        <v>0</v>
      </c>
      <c r="M208" s="4" t="inlineStr">
        <is>
          <t>selected card: Best rate / Decentralized; best card 98.48504</t>
        </is>
      </c>
      <c r="N208" s="4" t="inlineStr">
        <is>
          <t>2026-09-23T14:30:58.847Z</t>
        </is>
      </c>
      <c r="O208" s="4" t="inlineStr">
        <is>
          <t>2026-09-23T14:30:58.847Z</t>
        </is>
      </c>
    </row>
    <row r="209">
      <c r="A209" s="4" t="inlineStr">
        <is>
          <t>Base → SOL</t>
        </is>
      </c>
      <c r="B209" s="4" t="n">
        <v>1</v>
      </c>
      <c r="C209" s="4" t="inlineStr">
        <is>
          <t>Skip Go</t>
        </is>
      </c>
      <c r="D209" s="19" t="n">
        <v>99.690434</v>
      </c>
      <c r="E209" s="4" t="inlineStr"/>
      <c r="F209" s="19" t="n">
        <v>99.72471</v>
      </c>
      <c r="G209" s="19" t="n"/>
      <c r="H209" s="17">
        <f>IF(ISNUMBER(F209),F209-N(G209),"")</f>
        <v/>
      </c>
      <c r="I209" s="16">
        <f>IF(AND(ISNUMBER(D209),ISNUMBER(H209)),(D209-H209)/100*10000,"")</f>
        <v/>
      </c>
      <c r="J209" s="19" t="n">
        <v>0.05</v>
      </c>
      <c r="K209" s="16">
        <f>IF(ISNUMBER(I209),I209+N(J209)/100*10000,"")</f>
        <v/>
      </c>
      <c r="L209" s="13" t="n">
        <v>0.001</v>
      </c>
      <c r="M209" s="4" t="inlineStr"/>
      <c r="N209" s="4" t="inlineStr">
        <is>
          <t>2026-09-23T14:21:44.562Z</t>
        </is>
      </c>
      <c r="O209" s="4" t="inlineStr">
        <is>
          <t>2026-09-23T14:21:44.561Z</t>
        </is>
      </c>
    </row>
    <row r="210">
      <c r="A210" s="4" t="inlineStr">
        <is>
          <t>Base → SOL</t>
        </is>
      </c>
      <c r="B210" s="4" t="n">
        <v>2</v>
      </c>
      <c r="C210" s="4" t="inlineStr">
        <is>
          <t>Skip Go</t>
        </is>
      </c>
      <c r="D210" s="19" t="n">
        <v>99.690434</v>
      </c>
      <c r="E210" s="4" t="inlineStr"/>
      <c r="F210" s="19" t="n">
        <v>99.72471</v>
      </c>
      <c r="G210" s="19" t="n"/>
      <c r="H210" s="17">
        <f>IF(ISNUMBER(F210),F210-N(G210),"")</f>
        <v/>
      </c>
      <c r="I210" s="16">
        <f>IF(AND(ISNUMBER(D210),ISNUMBER(H210)),(D210-H210)/100*10000,"")</f>
        <v/>
      </c>
      <c r="J210" s="19" t="n">
        <v>0.05</v>
      </c>
      <c r="K210" s="16">
        <f>IF(ISNUMBER(I210),I210+N(J210)/100*10000,"")</f>
        <v/>
      </c>
      <c r="L210" s="13" t="n">
        <v>0.001</v>
      </c>
      <c r="M210" s="4" t="inlineStr"/>
      <c r="N210" s="4" t="inlineStr">
        <is>
          <t>2026-09-23T14:26:20.602Z</t>
        </is>
      </c>
      <c r="O210" s="4" t="inlineStr">
        <is>
          <t>2026-09-23T14:26:20.601Z</t>
        </is>
      </c>
    </row>
    <row r="211">
      <c r="A211" s="4" t="inlineStr">
        <is>
          <t>Base → SOL</t>
        </is>
      </c>
      <c r="B211" s="4" t="n">
        <v>3</v>
      </c>
      <c r="C211" s="4" t="inlineStr">
        <is>
          <t>Skip Go</t>
        </is>
      </c>
      <c r="D211" s="19" t="n">
        <v>99.69</v>
      </c>
      <c r="E211" s="4" t="inlineStr"/>
      <c r="F211" s="19" t="n">
        <v>99.72427</v>
      </c>
      <c r="G211" s="19" t="n"/>
      <c r="H211" s="17">
        <f>IF(ISNUMBER(F211),F211-N(G211),"")</f>
        <v/>
      </c>
      <c r="I211" s="16">
        <f>IF(AND(ISNUMBER(D211),ISNUMBER(H211)),(D211-H211)/100*10000,"")</f>
        <v/>
      </c>
      <c r="J211" s="19" t="n">
        <v>0.05</v>
      </c>
      <c r="K211" s="16">
        <f>IF(ISNUMBER(I211),I211+N(J211)/100*10000,"")</f>
        <v/>
      </c>
      <c r="L211" s="13" t="n">
        <v>0.001</v>
      </c>
      <c r="M211" s="4" t="inlineStr"/>
      <c r="N211" s="4" t="inlineStr">
        <is>
          <t>2026-09-23T14:30:58.847Z</t>
        </is>
      </c>
      <c r="O211" s="4" t="inlineStr">
        <is>
          <t>2026-09-23T14:30:58.846Z</t>
        </is>
      </c>
    </row>
    <row r="212">
      <c r="A212" s="4" t="inlineStr">
        <is>
          <t>Base → SOL</t>
        </is>
      </c>
      <c r="B212" s="4" t="n">
        <v>1</v>
      </c>
      <c r="C212" s="4" t="inlineStr">
        <is>
          <t>Symbiosis</t>
        </is>
      </c>
      <c r="D212" s="19" t="n">
        <v>98.36646399999999</v>
      </c>
      <c r="E212" s="4" t="inlineStr"/>
      <c r="F212" s="19" t="n">
        <v>98.351938</v>
      </c>
      <c r="G212" s="19" t="n"/>
      <c r="H212" s="17">
        <f>IF(ISNUMBER(F212),F212-N(G212),"")</f>
        <v/>
      </c>
      <c r="I212" s="16">
        <f>IF(AND(ISNUMBER(D212),ISNUMBER(H212)),(D212-H212)/100*10000,"")</f>
        <v/>
      </c>
      <c r="J212" s="19" t="n">
        <v>0.05</v>
      </c>
      <c r="K212" s="16">
        <f>IF(ISNUMBER(I212),I212+N(J212)/100*10000,"")</f>
        <v/>
      </c>
      <c r="L212" s="13" t="n">
        <v>0.001</v>
      </c>
      <c r="M212" s="4" t="inlineStr"/>
      <c r="N212" s="4" t="inlineStr">
        <is>
          <t>2026-09-23T14:21:44.562Z</t>
        </is>
      </c>
      <c r="O212" s="4" t="inlineStr">
        <is>
          <t>2026-09-23T14:21:44.563Z</t>
        </is>
      </c>
    </row>
    <row r="213">
      <c r="A213" s="4" t="inlineStr">
        <is>
          <t>Base → SOL</t>
        </is>
      </c>
      <c r="B213" s="4" t="n">
        <v>2</v>
      </c>
      <c r="C213" s="4" t="inlineStr">
        <is>
          <t>Symbiosis</t>
        </is>
      </c>
      <c r="D213" s="19" t="n">
        <v>98.362893</v>
      </c>
      <c r="E213" s="4" t="inlineStr"/>
      <c r="F213" s="19" t="n">
        <v>98.349396</v>
      </c>
      <c r="G213" s="19" t="n"/>
      <c r="H213" s="17">
        <f>IF(ISNUMBER(F213),F213-N(G213),"")</f>
        <v/>
      </c>
      <c r="I213" s="16">
        <f>IF(AND(ISNUMBER(D213),ISNUMBER(H213)),(D213-H213)/100*10000,"")</f>
        <v/>
      </c>
      <c r="J213" s="19" t="n">
        <v>0.05</v>
      </c>
      <c r="K213" s="16">
        <f>IF(ISNUMBER(I213),I213+N(J213)/100*10000,"")</f>
        <v/>
      </c>
      <c r="L213" s="13" t="n">
        <v>0</v>
      </c>
      <c r="M213" s="4" t="inlineStr"/>
      <c r="N213" s="4" t="inlineStr">
        <is>
          <t>2026-09-23T14:26:20.602Z</t>
        </is>
      </c>
      <c r="O213" s="4" t="inlineStr">
        <is>
          <t>2026-09-23T14:26:20.602Z</t>
        </is>
      </c>
    </row>
    <row r="214">
      <c r="A214" s="4" t="inlineStr">
        <is>
          <t>Base → SOL</t>
        </is>
      </c>
      <c r="B214" s="4" t="n">
        <v>3</v>
      </c>
      <c r="C214" s="4" t="inlineStr">
        <is>
          <t>Symbiosis</t>
        </is>
      </c>
      <c r="D214" s="19" t="n">
        <v>98.36151099999999</v>
      </c>
      <c r="E214" s="4" t="inlineStr"/>
      <c r="F214" s="19" t="n">
        <v>98.363803</v>
      </c>
      <c r="G214" s="19" t="n"/>
      <c r="H214" s="17">
        <f>IF(ISNUMBER(F214),F214-N(G214),"")</f>
        <v/>
      </c>
      <c r="I214" s="16">
        <f>IF(AND(ISNUMBER(D214),ISNUMBER(H214)),(D214-H214)/100*10000,"")</f>
        <v/>
      </c>
      <c r="J214" s="19" t="n">
        <v>0.05</v>
      </c>
      <c r="K214" s="16">
        <f>IF(ISNUMBER(I214),I214+N(J214)/100*10000,"")</f>
        <v/>
      </c>
      <c r="L214" s="13" t="n">
        <v>0</v>
      </c>
      <c r="M214" s="4" t="inlineStr"/>
      <c r="N214" s="4" t="inlineStr">
        <is>
          <t>2026-09-23T14:30:58.847Z</t>
        </is>
      </c>
      <c r="O214" s="4" t="inlineStr">
        <is>
          <t>2026-09-23T14:30:58.847Z</t>
        </is>
      </c>
    </row>
  </sheetData>
  <autoFilter ref="A4:O214"/>
  <conditionalFormatting sqref="K5:K214">
    <cfRule type="cellIs" priority="1" operator="lessThan" dxfId="0">
      <formula>-2</formula>
    </cfRule>
    <cfRule type="cellIs" priority="2" operator="greaterThan" dxfId="1">
      <formula>2</formula>
    </cfRule>
  </conditionalFormatting>
  <conditionalFormatting sqref="X5:X74">
    <cfRule type="cellIs" priority="3" operator="lessThan" dxfId="0">
      <formula>-2</formula>
    </cfRule>
    <cfRule type="cellIs" priority="4" operator="greaterThan" dxfId="1">
      <formula>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6" customWidth="1" min="3" max="3"/>
    <col width="25" customWidth="1" min="4" max="4"/>
    <col width="25" customWidth="1" min="5" max="5"/>
    <col width="25" customWidth="1" min="6" max="6"/>
    <col width="11" customWidth="1" min="7" max="7"/>
    <col width="13" customWidth="1" min="8" max="8"/>
    <col width="16" customWidth="1" min="9" max="9"/>
    <col width="66" customWidth="1" min="10" max="10"/>
    <col width="16" customWidth="1" min="11" max="11"/>
    <col width="66" customWidth="1" min="12" max="12"/>
    <col width="25" customWidth="1" min="13" max="13"/>
  </cols>
  <sheetData>
    <row r="1" ht="30" customHeight="1">
      <c r="A1" s="18" t="inlineStr">
        <is>
          <t>Route</t>
        </is>
      </c>
      <c r="B1" s="18" t="inlineStr">
        <is>
          <t>Sample</t>
        </is>
      </c>
      <c r="C1" s="18" t="inlineStr">
        <is>
          <t>Site</t>
        </is>
      </c>
      <c r="D1" s="18" t="inlineStr">
        <is>
          <t>requestStart (UTC)</t>
        </is>
      </c>
      <c r="E1" s="18" t="inlineStr">
        <is>
          <t>quoteVisible (UTC)</t>
        </is>
      </c>
      <c r="F1" s="18" t="inlineStr">
        <is>
          <t>screenshotAt (UTC)</t>
        </is>
      </c>
      <c r="G1" s="18" t="inlineStr">
        <is>
          <t>Δ vs Bridg (s)</t>
        </is>
      </c>
      <c r="H1" s="18" t="inlineStr">
        <is>
          <t>Out (USDC)</t>
        </is>
      </c>
      <c r="I1" s="18" t="inlineStr">
        <is>
          <t>Crop screenshot</t>
        </is>
      </c>
      <c r="J1" s="18" t="inlineStr">
        <is>
          <t>Crop SHA-256</t>
        </is>
      </c>
      <c r="K1" s="18" t="inlineStr">
        <is>
          <t>Full-page screenshot</t>
        </is>
      </c>
      <c r="L1" s="18" t="inlineStr">
        <is>
          <t>Full SHA-256</t>
        </is>
      </c>
      <c r="M1" s="18" t="inlineStr">
        <is>
          <t>Value read at (UTC)</t>
        </is>
      </c>
    </row>
    <row r="2">
      <c r="A2" s="4" t="inlineStr">
        <is>
          <t>SOL → ETH</t>
        </is>
      </c>
      <c r="B2" s="4" t="n">
        <v>1</v>
      </c>
      <c r="C2" s="4" t="inlineStr">
        <is>
          <t>Bridg</t>
        </is>
      </c>
      <c r="D2" s="4" t="inlineStr">
        <is>
          <t>2026-09-23T14:18:34.538Z</t>
        </is>
      </c>
      <c r="E2" s="4" t="inlineStr">
        <is>
          <t>2026-09-23T14:18:36.899Z</t>
        </is>
      </c>
      <c r="F2" s="4" t="inlineStr">
        <is>
          <t>2026-09-23T14:18:55.437Z</t>
        </is>
      </c>
      <c r="G2" s="20" t="n"/>
      <c r="H2" s="19" t="n">
        <v>99.84001499999999</v>
      </c>
      <c r="I2" s="21" t="inlineStr">
        <is>
          <t>open</t>
        </is>
      </c>
      <c r="J2" s="22" t="inlineStr">
        <is>
          <t>1c04bb2637b883df092fb8fc0bf21f8b2a417a4fe6cb1c35cf57dd41b1674ed1</t>
        </is>
      </c>
      <c r="K2" s="21" t="inlineStr">
        <is>
          <t>open</t>
        </is>
      </c>
      <c r="L2" s="22" t="inlineStr">
        <is>
          <t>b8e886031f8e7dc0f7e271c0c4b995766415903eb560758b5cd86542849b6846</t>
        </is>
      </c>
      <c r="M2" s="4" t="inlineStr">
        <is>
          <t>2026-09-23T14:18:55.406Z</t>
        </is>
      </c>
    </row>
    <row r="3">
      <c r="A3" s="4" t="inlineStr">
        <is>
          <t>SOL → ETH</t>
        </is>
      </c>
      <c r="B3" s="4" t="n">
        <v>1</v>
      </c>
      <c r="C3" s="4" t="inlineStr">
        <is>
          <t>OpenSea</t>
        </is>
      </c>
      <c r="D3" s="4" t="inlineStr">
        <is>
          <t>2026-09-23T14:18:34.664Z</t>
        </is>
      </c>
      <c r="E3" s="4" t="inlineStr">
        <is>
          <t>2026-09-23T14:18:39.130Z</t>
        </is>
      </c>
      <c r="F3" s="4" t="inlineStr">
        <is>
          <t>2026-09-23T14:18:55.428Z</t>
        </is>
      </c>
      <c r="G3" s="20" t="n">
        <v>0.001</v>
      </c>
      <c r="H3" s="19" t="n">
        <v>98.9896</v>
      </c>
      <c r="I3" s="21" t="inlineStr">
        <is>
          <t>open</t>
        </is>
      </c>
      <c r="J3" s="22" t="inlineStr">
        <is>
          <t>028c8eb236afdab32cdb8aa7e24d1d94502b317224c98d1c5d45d720823592c5</t>
        </is>
      </c>
      <c r="K3" s="21" t="inlineStr">
        <is>
          <t>open</t>
        </is>
      </c>
      <c r="L3" s="22" t="inlineStr">
        <is>
          <t>f56b169b989a9e1278d82d4554310faeb7f05fa13208f92f38b42777524ba54e</t>
        </is>
      </c>
      <c r="M3" s="4" t="inlineStr">
        <is>
          <t>2026-09-23T14:18:55.405Z</t>
        </is>
      </c>
    </row>
    <row r="4">
      <c r="A4" s="4" t="inlineStr">
        <is>
          <t>SOL → ETH</t>
        </is>
      </c>
      <c r="B4" s="4" t="n">
        <v>1</v>
      </c>
      <c r="C4" s="4" t="inlineStr">
        <is>
          <t>Relay</t>
        </is>
      </c>
      <c r="D4" s="4" t="inlineStr">
        <is>
          <t>2026-09-23T14:18:34.535Z</t>
        </is>
      </c>
      <c r="E4" s="4" t="inlineStr">
        <is>
          <t>2026-09-23T14:18:38.436Z</t>
        </is>
      </c>
      <c r="F4" s="4" t="inlineStr">
        <is>
          <t>2026-09-23T14:18:55.426Z</t>
        </is>
      </c>
      <c r="G4" s="20" t="n">
        <v>0.002</v>
      </c>
      <c r="H4" s="19" t="n">
        <v>99.193956</v>
      </c>
      <c r="I4" s="21" t="inlineStr">
        <is>
          <t>open</t>
        </is>
      </c>
      <c r="J4" s="22" t="inlineStr">
        <is>
          <t>4e21b33b73f8b1aab58f58e6dce4ab15b3ca51e2b198f34e0f4a279bf159e7ea</t>
        </is>
      </c>
      <c r="K4" s="21" t="inlineStr">
        <is>
          <t>open</t>
        </is>
      </c>
      <c r="L4" s="22" t="inlineStr">
        <is>
          <t>92e185a087b1d7b159c9b84b4055fa8cdb2cc27016ca2d970dfe2aba93525df3</t>
        </is>
      </c>
      <c r="M4" s="4" t="inlineStr">
        <is>
          <t>2026-09-23T14:18:55.404Z</t>
        </is>
      </c>
    </row>
    <row r="5">
      <c r="A5" s="4" t="inlineStr">
        <is>
          <t>SOL → ETH</t>
        </is>
      </c>
      <c r="B5" s="4" t="n">
        <v>1</v>
      </c>
      <c r="C5" s="4" t="inlineStr">
        <is>
          <t>deBridge</t>
        </is>
      </c>
      <c r="D5" s="4" t="inlineStr">
        <is>
          <t>2026-09-23T14:18:34.531Z</t>
        </is>
      </c>
      <c r="E5" s="4" t="inlineStr">
        <is>
          <t>2026-09-23T14:18:37.964Z</t>
        </is>
      </c>
      <c r="F5" s="4" t="inlineStr">
        <is>
          <t>2026-09-23T14:18:55.424Z</t>
        </is>
      </c>
      <c r="G5" s="20" t="n">
        <v>0.004</v>
      </c>
      <c r="H5" s="19" t="n">
        <v>99.920018</v>
      </c>
      <c r="I5" s="21" t="inlineStr">
        <is>
          <t>open</t>
        </is>
      </c>
      <c r="J5" s="22" t="inlineStr">
        <is>
          <t>bfac4526c6b3207aea9ede8ae50f4229f4a38194f73bad7e33a73662af8e727c</t>
        </is>
      </c>
      <c r="K5" s="21" t="inlineStr">
        <is>
          <t>open</t>
        </is>
      </c>
      <c r="L5" s="22" t="inlineStr">
        <is>
          <t>c4050321f2ca32ae8bc24515ec7dee4854c16b1b50cef568c0aa399e4bf9b4c9</t>
        </is>
      </c>
      <c r="M5" s="4" t="inlineStr">
        <is>
          <t>2026-09-23T14:18:55.402Z</t>
        </is>
      </c>
    </row>
    <row r="6">
      <c r="A6" s="4" t="inlineStr">
        <is>
          <t>SOL → ETH</t>
        </is>
      </c>
      <c r="B6" s="4" t="n">
        <v>1</v>
      </c>
      <c r="C6" s="4" t="inlineStr">
        <is>
          <t>LI.FI (Jumper)</t>
        </is>
      </c>
      <c r="D6" s="4" t="inlineStr">
        <is>
          <t>2026-09-23T14:18:34.668Z</t>
        </is>
      </c>
      <c r="E6" s="4" t="inlineStr">
        <is>
          <t>2026-09-23T14:18:53.254Z</t>
        </is>
      </c>
      <c r="F6" s="4" t="inlineStr">
        <is>
          <t>2026-09-23T14:18:55.407Z</t>
        </is>
      </c>
      <c r="G6" s="20" t="n">
        <v>0.006</v>
      </c>
      <c r="H6" s="19" t="n">
        <v>99.193956</v>
      </c>
      <c r="I6" s="21" t="inlineStr">
        <is>
          <t>open</t>
        </is>
      </c>
      <c r="J6" s="22" t="inlineStr">
        <is>
          <t>3804d3737b919ec5594495a1f2eef99fd0bf181c1409fa89343d15a5c0a30571</t>
        </is>
      </c>
      <c r="K6" s="21" t="inlineStr">
        <is>
          <t>open</t>
        </is>
      </c>
      <c r="L6" s="22" t="inlineStr">
        <is>
          <t>8970de8e1b4d10819a38835351c31f14cdb97dbfd66726521d990e1bdc6ebb0c</t>
        </is>
      </c>
      <c r="M6" s="4" t="inlineStr">
        <is>
          <t>2026-09-23T14:18:55.400Z</t>
        </is>
      </c>
    </row>
    <row r="7">
      <c r="A7" s="4" t="inlineStr">
        <is>
          <t>SOL → ETH</t>
        </is>
      </c>
      <c r="B7" s="4" t="n">
        <v>1</v>
      </c>
      <c r="C7" s="4" t="inlineStr">
        <is>
          <t>Across</t>
        </is>
      </c>
      <c r="D7" s="4" t="inlineStr">
        <is>
          <t>2026-09-23T14:18:34.512Z</t>
        </is>
      </c>
      <c r="E7" s="4" t="inlineStr">
        <is>
          <t>2026-09-23T14:18:37.143Z</t>
        </is>
      </c>
      <c r="F7" s="4" t="inlineStr">
        <is>
          <t>2026-09-23T14:18:55.411Z</t>
        </is>
      </c>
      <c r="G7" s="20" t="n">
        <v>0.006</v>
      </c>
      <c r="H7" s="19" t="n">
        <v>99.98999999999999</v>
      </c>
      <c r="I7" s="21" t="inlineStr">
        <is>
          <t>open</t>
        </is>
      </c>
      <c r="J7" s="22" t="inlineStr">
        <is>
          <t>079f39c069db892cefb93c29aebe39e0961e23ea3c1801ef3a897f0ec7659aaf</t>
        </is>
      </c>
      <c r="K7" s="21" t="inlineStr">
        <is>
          <t>open</t>
        </is>
      </c>
      <c r="L7" s="22" t="inlineStr">
        <is>
          <t>3f37293ed5439a5f7989a54594638125ea670606664a9d9bd7d89a83c567f68b</t>
        </is>
      </c>
      <c r="M7" s="4" t="inlineStr">
        <is>
          <t>2026-09-23T14:18:55.400Z</t>
        </is>
      </c>
    </row>
    <row r="8">
      <c r="A8" s="4" t="inlineStr">
        <is>
          <t>SOL → ETH</t>
        </is>
      </c>
      <c r="B8" s="4" t="n">
        <v>1</v>
      </c>
      <c r="C8" s="4" t="inlineStr">
        <is>
          <t>Mayan</t>
        </is>
      </c>
      <c r="D8" s="4" t="inlineStr">
        <is>
          <t>2026-09-23T14:18:34.511Z</t>
        </is>
      </c>
      <c r="E8" s="4" t="inlineStr">
        <is>
          <t>2026-09-23T14:18:37.365Z</t>
        </is>
      </c>
      <c r="F8" s="4" t="inlineStr">
        <is>
          <t>2026-09-23T14:18:55.411Z</t>
        </is>
      </c>
      <c r="G8" s="20" t="n">
        <v>0.006</v>
      </c>
      <c r="H8" s="19" t="n">
        <v>96.6446</v>
      </c>
      <c r="I8" s="21" t="inlineStr">
        <is>
          <t>open</t>
        </is>
      </c>
      <c r="J8" s="22" t="inlineStr">
        <is>
          <t>808f897bc406d06b4abb5b7a7082546abef1a7a73e30895a48679aeadb4f8466</t>
        </is>
      </c>
      <c r="K8" s="21" t="inlineStr">
        <is>
          <t>open</t>
        </is>
      </c>
      <c r="L8" s="22" t="inlineStr">
        <is>
          <t>23e15ba35c0540aa3e78383986b37a39e3fbe05b29ebe25c22069313a258f0af</t>
        </is>
      </c>
      <c r="M8" s="4" t="inlineStr">
        <is>
          <t>2026-09-23T14:18:55.400Z</t>
        </is>
      </c>
    </row>
    <row r="9">
      <c r="A9" s="4" t="inlineStr">
        <is>
          <t>SOL → ETH</t>
        </is>
      </c>
      <c r="B9" s="4" t="n">
        <v>1</v>
      </c>
      <c r="C9" s="4" t="inlineStr">
        <is>
          <t>Allbridge Core</t>
        </is>
      </c>
      <c r="D9" s="4" t="inlineStr">
        <is>
          <t>2026-09-23T14:18:34.659Z</t>
        </is>
      </c>
      <c r="E9" s="4" t="inlineStr">
        <is>
          <t>2026-09-23T14:18:37.676Z</t>
        </is>
      </c>
      <c r="F9" s="4" t="inlineStr">
        <is>
          <t>2026-09-23T14:18:55.590Z</t>
        </is>
      </c>
      <c r="G9" s="20" t="n">
        <v>0.005</v>
      </c>
      <c r="H9" s="19" t="n">
        <v>99.90000000000001</v>
      </c>
      <c r="I9" s="21" t="inlineStr">
        <is>
          <t>open</t>
        </is>
      </c>
      <c r="J9" s="22" t="inlineStr">
        <is>
          <t>7dd0abcdc33a99af2e60dedf2abc525ed94624d098c017a65111c43c52984f7d</t>
        </is>
      </c>
      <c r="K9" s="21" t="inlineStr">
        <is>
          <t>open</t>
        </is>
      </c>
      <c r="L9" s="22" t="inlineStr">
        <is>
          <t>1f2bce1774b7cdd8519193cafc0485c52a828ed097cc9fea52ab292f5010f655</t>
        </is>
      </c>
      <c r="M9" s="4" t="inlineStr">
        <is>
          <t>2026-09-23T14:18:55.401Z</t>
        </is>
      </c>
    </row>
    <row r="10">
      <c r="A10" s="4" t="inlineStr">
        <is>
          <t>SOL → ETH</t>
        </is>
      </c>
      <c r="B10" s="4" t="n">
        <v>1</v>
      </c>
      <c r="C10" s="4" t="inlineStr">
        <is>
          <t>CCTP (via Portal)</t>
        </is>
      </c>
      <c r="D10" s="4" t="inlineStr">
        <is>
          <t>2026-09-23T14:18:34.656Z</t>
        </is>
      </c>
      <c r="E10" s="4" t="inlineStr">
        <is>
          <t>2026-09-23T14:18:40.048Z</t>
        </is>
      </c>
      <c r="F10" s="4" t="inlineStr">
        <is>
          <t>2026-09-23T14:18:55.437Z</t>
        </is>
      </c>
      <c r="G10" s="20" t="n">
        <v>0</v>
      </c>
      <c r="H10" s="19" t="n">
        <v>99.98999999999999</v>
      </c>
      <c r="I10" s="21" t="inlineStr">
        <is>
          <t>open</t>
        </is>
      </c>
      <c r="J10" s="22" t="inlineStr">
        <is>
          <t>07a9954726fefe67ad94114f248a413a02f6a2d4639a74c0f9a1a773d2c7d9ff</t>
        </is>
      </c>
      <c r="K10" s="21" t="inlineStr">
        <is>
          <t>open</t>
        </is>
      </c>
      <c r="L10" s="22" t="inlineStr">
        <is>
          <t>6a2c09e5a9da8130387feb21e17f656d147cf22da31c26e113b978406ff20908</t>
        </is>
      </c>
      <c r="M10" s="4" t="inlineStr">
        <is>
          <t>2026-09-23T14:18:55.406Z</t>
        </is>
      </c>
    </row>
    <row r="11">
      <c r="A11" s="4" t="inlineStr">
        <is>
          <t>SOL → ETH</t>
        </is>
      </c>
      <c r="B11" s="4" t="n">
        <v>1</v>
      </c>
      <c r="C11" s="4" t="inlineStr">
        <is>
          <t>Husher</t>
        </is>
      </c>
      <c r="D11" s="4" t="inlineStr">
        <is>
          <t>2026-09-23T14:18:34.669Z</t>
        </is>
      </c>
      <c r="E11" s="4" t="inlineStr">
        <is>
          <t>2026-09-23T14:18:37.420Z</t>
        </is>
      </c>
      <c r="F11" s="4" t="inlineStr">
        <is>
          <t>2026-09-23T14:18:55.425Z</t>
        </is>
      </c>
      <c r="G11" s="20" t="n">
        <v>0.005</v>
      </c>
      <c r="H11" s="19" t="n">
        <v>99.05</v>
      </c>
      <c r="I11" s="21" t="inlineStr">
        <is>
          <t>open</t>
        </is>
      </c>
      <c r="J11" s="22" t="inlineStr">
        <is>
          <t>04b61ebaad3eb4aec183f4c45f9c54147bac53e6b3e642d21ce227c340559133</t>
        </is>
      </c>
      <c r="K11" s="21" t="inlineStr">
        <is>
          <t>open</t>
        </is>
      </c>
      <c r="L11" s="22" t="inlineStr">
        <is>
          <t>131dbc7318300afe669b3f31f6f3ea3f5fa3f6be5c2012c6819a9dfbaebc288e</t>
        </is>
      </c>
      <c r="M11" s="4" t="inlineStr">
        <is>
          <t>2026-09-23T14:18:55.401Z</t>
        </is>
      </c>
    </row>
    <row r="12">
      <c r="A12" s="4" t="inlineStr">
        <is>
          <t>SOL → ETH</t>
        </is>
      </c>
      <c r="B12" s="4" t="n">
        <v>1</v>
      </c>
      <c r="C12" s="4" t="inlineStr">
        <is>
          <t>Layerswap</t>
        </is>
      </c>
      <c r="D12" s="4" t="inlineStr">
        <is>
          <t>2026-09-23T14:18:34.512Z</t>
        </is>
      </c>
      <c r="E12" s="4" t="inlineStr">
        <is>
          <t>2026-09-23T14:18:38.407Z</t>
        </is>
      </c>
      <c r="F12" s="4" t="inlineStr">
        <is>
          <t>2026-09-23T14:18:55.429Z</t>
        </is>
      </c>
      <c r="G12" s="20" t="n">
        <v>0.004</v>
      </c>
      <c r="H12" s="19" t="n">
        <v>99.716863</v>
      </c>
      <c r="I12" s="21" t="inlineStr">
        <is>
          <t>open</t>
        </is>
      </c>
      <c r="J12" s="22" t="inlineStr">
        <is>
          <t>db055a5e08d9f00ab1ddd26dbb0d5c9b47f77c4e19d0440ca7a52b30a66cd734</t>
        </is>
      </c>
      <c r="K12" s="21" t="inlineStr">
        <is>
          <t>open</t>
        </is>
      </c>
      <c r="L12" s="22" t="inlineStr">
        <is>
          <t>1c1b347da052b2608118a5ea989d55aaa1e6e2f3659a9d14278a89a5b0f8e63a</t>
        </is>
      </c>
      <c r="M12" s="4" t="inlineStr">
        <is>
          <t>2026-09-23T14:18:55.402Z</t>
        </is>
      </c>
    </row>
    <row r="13">
      <c r="A13" s="4" t="inlineStr">
        <is>
          <t>SOL → ETH</t>
        </is>
      </c>
      <c r="B13" s="4" t="n">
        <v>1</v>
      </c>
      <c r="C13" s="4" t="inlineStr">
        <is>
          <t>Meson</t>
        </is>
      </c>
      <c r="D13" s="4" t="inlineStr">
        <is>
          <t>2026-09-23T14:18:34.698Z</t>
        </is>
      </c>
      <c r="E13" s="4" t="inlineStr">
        <is>
          <t>2026-09-23T14:18:36.601Z</t>
        </is>
      </c>
      <c r="F13" s="4" t="inlineStr">
        <is>
          <t>2026-09-23T14:18:55.413Z</t>
        </is>
      </c>
      <c r="G13" s="20" t="n">
        <v>0.006</v>
      </c>
      <c r="H13" s="19" t="n">
        <v>98.65000000000001</v>
      </c>
      <c r="I13" s="21" t="inlineStr">
        <is>
          <t>open</t>
        </is>
      </c>
      <c r="J13" s="22" t="inlineStr">
        <is>
          <t>fef2afd1f0c7e51e942fe3e75622f415d2310c1dd2458ffa07eb0392070ca505</t>
        </is>
      </c>
      <c r="K13" s="21" t="inlineStr">
        <is>
          <t>open</t>
        </is>
      </c>
      <c r="L13" s="22" t="inlineStr">
        <is>
          <t>10865867f536ddb309c441413187d93fd0c22f1ebbb4e50d5548171140aaf7d7</t>
        </is>
      </c>
      <c r="M13" s="4" t="inlineStr">
        <is>
          <t>2026-09-23T14:18:55.400Z</t>
        </is>
      </c>
    </row>
    <row r="14">
      <c r="A14" s="4" t="inlineStr">
        <is>
          <t>SOL → ETH</t>
        </is>
      </c>
      <c r="B14" s="4" t="n">
        <v>1</v>
      </c>
      <c r="C14" s="4" t="inlineStr">
        <is>
          <t>SimpleSwap</t>
        </is>
      </c>
      <c r="D14" s="4" t="inlineStr">
        <is>
          <t>2026-09-23T14:18:34.669Z</t>
        </is>
      </c>
      <c r="E14" s="4" t="inlineStr">
        <is>
          <t>2026-09-23T14:18:39.168Z</t>
        </is>
      </c>
      <c r="F14" s="4" t="inlineStr">
        <is>
          <t>2026-09-23T14:18:55.490Z</t>
        </is>
      </c>
      <c r="G14" s="20" t="n">
        <v>0.001</v>
      </c>
      <c r="H14" s="19" t="n">
        <v>98.20630199999999</v>
      </c>
      <c r="I14" s="21" t="inlineStr">
        <is>
          <t>open</t>
        </is>
      </c>
      <c r="J14" s="22" t="inlineStr">
        <is>
          <t>dd386279bf1eadaeedf5c9f8289bcd72c2d988fb7aa06f225e5c52617855105d</t>
        </is>
      </c>
      <c r="K14" s="21" t="inlineStr">
        <is>
          <t>open</t>
        </is>
      </c>
      <c r="L14" s="22" t="inlineStr">
        <is>
          <t>0b4e15a485095d01a8f2daede3a6dc94cc9678d1794f98094c007913a87b2dfe</t>
        </is>
      </c>
      <c r="M14" s="4" t="inlineStr">
        <is>
          <t>2026-09-23T14:18:55.405Z</t>
        </is>
      </c>
    </row>
    <row r="15">
      <c r="A15" s="4" t="inlineStr">
        <is>
          <t>SOL → ETH</t>
        </is>
      </c>
      <c r="B15" s="4" t="n">
        <v>1</v>
      </c>
      <c r="C15" s="4" t="inlineStr">
        <is>
          <t>Skip Go</t>
        </is>
      </c>
      <c r="D15" s="4" t="inlineStr">
        <is>
          <t>2026-09-23T14:18:34.513Z</t>
        </is>
      </c>
      <c r="E15" s="4" t="inlineStr">
        <is>
          <t>2026-09-23T14:18:39.607Z</t>
        </is>
      </c>
      <c r="F15" s="4" t="inlineStr">
        <is>
          <t>2026-09-23T14:18:55.435Z</t>
        </is>
      </c>
      <c r="G15" s="20" t="n">
        <v>0</v>
      </c>
      <c r="H15" s="19" t="n">
        <v>96.94911</v>
      </c>
      <c r="I15" s="21" t="inlineStr">
        <is>
          <t>open</t>
        </is>
      </c>
      <c r="J15" s="22" t="inlineStr">
        <is>
          <t>2b815882419fd502dcd49cf6069a16c3f359099bdba60803a0a4b137fa8ccb4d</t>
        </is>
      </c>
      <c r="K15" s="21" t="inlineStr">
        <is>
          <t>open</t>
        </is>
      </c>
      <c r="L15" s="22" t="inlineStr">
        <is>
          <t>e54d9ecaf2779086316f4e9bc55a519e82c8917deb110ba5f807ef6b726106d0</t>
        </is>
      </c>
      <c r="M15" s="4" t="inlineStr">
        <is>
          <t>2026-09-23T14:18:55.406Z</t>
        </is>
      </c>
    </row>
    <row r="16">
      <c r="A16" s="4" t="inlineStr">
        <is>
          <t>SOL → ETH</t>
        </is>
      </c>
      <c r="B16" s="4" t="n">
        <v>1</v>
      </c>
      <c r="C16" s="4" t="inlineStr">
        <is>
          <t>Symbiosis</t>
        </is>
      </c>
      <c r="D16" s="4" t="inlineStr">
        <is>
          <t>2026-09-23T14:18:34.533Z</t>
        </is>
      </c>
      <c r="E16" s="4" t="inlineStr">
        <is>
          <t>2026-09-23T14:18:39.114Z</t>
        </is>
      </c>
      <c r="F16" s="4" t="inlineStr">
        <is>
          <t>2026-09-23T14:18:55.435Z</t>
        </is>
      </c>
      <c r="G16" s="20" t="n">
        <v>0.002</v>
      </c>
      <c r="H16" s="19" t="n">
        <v>96.860997</v>
      </c>
      <c r="I16" s="21" t="inlineStr">
        <is>
          <t>open</t>
        </is>
      </c>
      <c r="J16" s="22" t="inlineStr">
        <is>
          <t>ceb5d9f2785e1e2868ce3c0df2854429eac0fe84062ae63650e426de2323c7a0</t>
        </is>
      </c>
      <c r="K16" s="21" t="inlineStr">
        <is>
          <t>open</t>
        </is>
      </c>
      <c r="L16" s="22" t="inlineStr">
        <is>
          <t>5098301347b8364a41c4d2c9ddf3258879dd751ff1754774cb64450920167419</t>
        </is>
      </c>
      <c r="M16" s="4" t="inlineStr">
        <is>
          <t>2026-09-23T14:18:55.404Z</t>
        </is>
      </c>
    </row>
    <row r="17">
      <c r="A17" s="4" t="inlineStr">
        <is>
          <t>SOL → ETH</t>
        </is>
      </c>
      <c r="B17" s="4" t="n">
        <v>2</v>
      </c>
      <c r="C17" s="4" t="inlineStr">
        <is>
          <t>Bridg</t>
        </is>
      </c>
      <c r="D17" s="4" t="inlineStr">
        <is>
          <t>2026-09-23T14:22:16.319Z</t>
        </is>
      </c>
      <c r="E17" s="4" t="inlineStr">
        <is>
          <t>2026-09-23T14:22:17.847Z</t>
        </is>
      </c>
      <c r="F17" s="4" t="inlineStr">
        <is>
          <t>2026-09-23T14:22:28.676Z</t>
        </is>
      </c>
      <c r="G17" s="20" t="n"/>
      <c r="H17" s="19" t="n">
        <v>99.84001499999999</v>
      </c>
      <c r="I17" s="21" t="inlineStr">
        <is>
          <t>open</t>
        </is>
      </c>
      <c r="J17" s="22" t="inlineStr">
        <is>
          <t>fed74dd93bb0785a62f6414ae7b71d7abdc3d67548ff7687d0ce46245ae8edc5</t>
        </is>
      </c>
      <c r="K17" s="21" t="inlineStr">
        <is>
          <t>open</t>
        </is>
      </c>
      <c r="L17" s="22" t="inlineStr">
        <is>
          <t>ca62bdce3fbce4bb645f1c51ce9aa7329f7c6e0794b135be87e922394f252765</t>
        </is>
      </c>
      <c r="M17" s="4" t="inlineStr">
        <is>
          <t>2026-09-23T14:22:28.648Z</t>
        </is>
      </c>
    </row>
    <row r="18">
      <c r="A18" s="4" t="inlineStr">
        <is>
          <t>SOL → ETH</t>
        </is>
      </c>
      <c r="B18" s="4" t="n">
        <v>2</v>
      </c>
      <c r="C18" s="4" t="inlineStr">
        <is>
          <t>OpenSea</t>
        </is>
      </c>
      <c r="D18" s="4" t="inlineStr">
        <is>
          <t>2026-09-23T14:22:16.319Z</t>
        </is>
      </c>
      <c r="E18" s="4" t="inlineStr">
        <is>
          <t>2026-09-23T14:22:22.327Z</t>
        </is>
      </c>
      <c r="F18" s="4" t="inlineStr">
        <is>
          <t>2026-09-23T14:22:31.668Z</t>
        </is>
      </c>
      <c r="G18" s="20" t="n">
        <v>0.008</v>
      </c>
      <c r="H18" s="19" t="n">
        <v>98.78740000000001</v>
      </c>
      <c r="I18" s="21" t="inlineStr">
        <is>
          <t>open</t>
        </is>
      </c>
      <c r="J18" s="22" t="inlineStr">
        <is>
          <t>ec2b239c0651cce2c3ffe8d3d5e0052118203848c52a4f564164d2dc65e6b58d</t>
        </is>
      </c>
      <c r="K18" s="21" t="inlineStr">
        <is>
          <t>open</t>
        </is>
      </c>
      <c r="L18" s="22" t="inlineStr">
        <is>
          <t>5ff8a5a3761b2eacb3924219a7ce9031a90d4e4c4d274fd7d13265cb651b2a25</t>
        </is>
      </c>
      <c r="M18" s="4" t="inlineStr">
        <is>
          <t>2026-09-23T14:22:28.640Z</t>
        </is>
      </c>
    </row>
    <row r="19">
      <c r="A19" s="4" t="inlineStr">
        <is>
          <t>SOL → ETH</t>
        </is>
      </c>
      <c r="B19" s="4" t="n">
        <v>2</v>
      </c>
      <c r="C19" s="4" t="inlineStr">
        <is>
          <t>Relay</t>
        </is>
      </c>
      <c r="D19" s="4" t="inlineStr">
        <is>
          <t>2026-09-23T14:22:16.318Z</t>
        </is>
      </c>
      <c r="E19" s="4" t="inlineStr">
        <is>
          <t>2026-09-23T14:22:18.601Z</t>
        </is>
      </c>
      <c r="F19" s="4" t="inlineStr">
        <is>
          <t>2026-09-23T14:22:28.670Z</t>
        </is>
      </c>
      <c r="G19" s="20" t="n">
        <v>0.003</v>
      </c>
      <c r="H19" s="19" t="n">
        <v>99.087326</v>
      </c>
      <c r="I19" s="21" t="inlineStr">
        <is>
          <t>open</t>
        </is>
      </c>
      <c r="J19" s="22" t="inlineStr">
        <is>
          <t>8f6a01719b30adcf84d7ff6ffe129566e9a71b1bff53cd821dfb7e8a714469f6</t>
        </is>
      </c>
      <c r="K19" s="21" t="inlineStr">
        <is>
          <t>open</t>
        </is>
      </c>
      <c r="L19" s="22" t="inlineStr">
        <is>
          <t>1ef094fe5f9d70d57be2cec9dfa220503ed3872de9ee9cbb6ec588884f5755e8</t>
        </is>
      </c>
      <c r="M19" s="4" t="inlineStr">
        <is>
          <t>2026-09-23T14:22:28.645Z</t>
        </is>
      </c>
    </row>
    <row r="20">
      <c r="A20" s="4" t="inlineStr">
        <is>
          <t>SOL → ETH</t>
        </is>
      </c>
      <c r="B20" s="4" t="n">
        <v>2</v>
      </c>
      <c r="C20" s="4" t="inlineStr">
        <is>
          <t>deBridge</t>
        </is>
      </c>
      <c r="D20" s="4" t="inlineStr">
        <is>
          <t>2026-09-23T14:22:16.317Z</t>
        </is>
      </c>
      <c r="E20" s="4" t="inlineStr">
        <is>
          <t>2026-09-23T14:22:18.511Z</t>
        </is>
      </c>
      <c r="F20" s="4" t="inlineStr">
        <is>
          <t>2026-09-23T14:22:28.671Z</t>
        </is>
      </c>
      <c r="G20" s="20" t="n">
        <v>0.002</v>
      </c>
      <c r="H20" s="19" t="n">
        <v>99.920018</v>
      </c>
      <c r="I20" s="21" t="inlineStr">
        <is>
          <t>open</t>
        </is>
      </c>
      <c r="J20" s="22" t="inlineStr">
        <is>
          <t>c56b67440a971294f8e8005eae8dff1d25ecdf02d978737bb03d6417230d2148</t>
        </is>
      </c>
      <c r="K20" s="21" t="inlineStr">
        <is>
          <t>open</t>
        </is>
      </c>
      <c r="L20" s="22" t="inlineStr">
        <is>
          <t>257d4304bc290620a334e8025e85ba2504c365f3c0a6625ef7bedd7e9ebb9428</t>
        </is>
      </c>
      <c r="M20" s="4" t="inlineStr">
        <is>
          <t>2026-09-23T14:22:28.646Z</t>
        </is>
      </c>
    </row>
    <row r="21">
      <c r="A21" s="4" t="inlineStr">
        <is>
          <t>SOL → ETH</t>
        </is>
      </c>
      <c r="B21" s="4" t="n">
        <v>2</v>
      </c>
      <c r="C21" s="4" t="inlineStr">
        <is>
          <t>LI.FI (Jumper)</t>
        </is>
      </c>
      <c r="D21" s="4" t="inlineStr">
        <is>
          <t>2026-09-23T14:22:16.319Z</t>
        </is>
      </c>
      <c r="E21" s="4" t="inlineStr">
        <is>
          <t>2026-09-23T14:22:20.712Z</t>
        </is>
      </c>
      <c r="F21" s="4" t="inlineStr">
        <is>
          <t>2026-09-23T14:22:28.663Z</t>
        </is>
      </c>
      <c r="G21" s="20" t="n">
        <v>0.002</v>
      </c>
      <c r="H21" s="19" t="n">
        <v>99.087326</v>
      </c>
      <c r="I21" s="21" t="inlineStr">
        <is>
          <t>open</t>
        </is>
      </c>
      <c r="J21" s="22" t="inlineStr">
        <is>
          <t>ec90fbfd86c6a6bccaab1f1daf97f9f0fc0afb094e8b60167d2f90304fb825ca</t>
        </is>
      </c>
      <c r="K21" s="21" t="inlineStr">
        <is>
          <t>open</t>
        </is>
      </c>
      <c r="L21" s="22" t="inlineStr">
        <is>
          <t>48563c281d35b94effcea0906f3e383b8c0a444f62329bfbf366f6e68e29825d</t>
        </is>
      </c>
      <c r="M21" s="4" t="inlineStr">
        <is>
          <t>2026-09-23T14:22:28.650Z</t>
        </is>
      </c>
    </row>
    <row r="22">
      <c r="A22" s="4" t="inlineStr">
        <is>
          <t>SOL → ETH</t>
        </is>
      </c>
      <c r="B22" s="4" t="n">
        <v>2</v>
      </c>
      <c r="C22" s="4" t="inlineStr">
        <is>
          <t>Across</t>
        </is>
      </c>
      <c r="D22" s="4" t="inlineStr">
        <is>
          <t>2026-09-23T14:22:16.318Z</t>
        </is>
      </c>
      <c r="E22" s="4" t="inlineStr">
        <is>
          <t>2026-09-23T14:22:18.203Z</t>
        </is>
      </c>
      <c r="F22" s="4" t="inlineStr">
        <is>
          <t>2026-09-23T14:22:28.652Z</t>
        </is>
      </c>
      <c r="G22" s="20" t="n">
        <v>0.004</v>
      </c>
      <c r="H22" s="19" t="n">
        <v>99.98999999999999</v>
      </c>
      <c r="I22" s="21" t="inlineStr">
        <is>
          <t>open</t>
        </is>
      </c>
      <c r="J22" s="22" t="inlineStr">
        <is>
          <t>e6f06d5292a44e04191cf1a6faf1383ff60916079761425e4577a51dbe35feb5</t>
        </is>
      </c>
      <c r="K22" s="21" t="inlineStr">
        <is>
          <t>open</t>
        </is>
      </c>
      <c r="L22" s="22" t="inlineStr">
        <is>
          <t>f9d6a4b054ca69515d6b77ed37042575d320a376181efa0e00165c10f40afe4c</t>
        </is>
      </c>
      <c r="M22" s="4" t="inlineStr">
        <is>
          <t>2026-09-23T14:22:28.644Z</t>
        </is>
      </c>
    </row>
    <row r="23">
      <c r="A23" s="4" t="inlineStr">
        <is>
          <t>SOL → ETH</t>
        </is>
      </c>
      <c r="B23" s="4" t="n">
        <v>2</v>
      </c>
      <c r="C23" s="4" t="inlineStr">
        <is>
          <t>Mayan</t>
        </is>
      </c>
      <c r="D23" s="4" t="inlineStr">
        <is>
          <t>2026-09-23T14:22:16.315Z</t>
        </is>
      </c>
      <c r="E23" s="4" t="inlineStr">
        <is>
          <t>2026-09-23T14:22:17.685Z</t>
        </is>
      </c>
      <c r="F23" s="4" t="inlineStr">
        <is>
          <t>2026-09-23T14:22:28.652Z</t>
        </is>
      </c>
      <c r="G23" s="20" t="n">
        <v>0.005</v>
      </c>
      <c r="H23" s="19" t="n">
        <v>96.6844</v>
      </c>
      <c r="I23" s="21" t="inlineStr">
        <is>
          <t>open</t>
        </is>
      </c>
      <c r="J23" s="22" t="inlineStr">
        <is>
          <t>77552eae0d731101f37d0873967d4509f810c1b7e6c6a512147e5d3a1f232a6d</t>
        </is>
      </c>
      <c r="K23" s="21" t="inlineStr">
        <is>
          <t>open</t>
        </is>
      </c>
      <c r="L23" s="22" t="inlineStr">
        <is>
          <t>3d8b84640ae50f6da62b85381531125aff1f727896375fa467c75746dff6da8f</t>
        </is>
      </c>
      <c r="M23" s="4" t="inlineStr">
        <is>
          <t>2026-09-23T14:22:28.643Z</t>
        </is>
      </c>
    </row>
    <row r="24">
      <c r="A24" s="4" t="inlineStr">
        <is>
          <t>SOL → ETH</t>
        </is>
      </c>
      <c r="B24" s="4" t="n">
        <v>2</v>
      </c>
      <c r="C24" s="4" t="inlineStr">
        <is>
          <t>Allbridge Core</t>
        </is>
      </c>
      <c r="D24" s="4" t="inlineStr">
        <is>
          <t>2026-09-23T14:22:16.319Z</t>
        </is>
      </c>
      <c r="E24" s="4" t="inlineStr">
        <is>
          <t>2026-09-23T14:22:18.086Z</t>
        </is>
      </c>
      <c r="F24" s="4" t="inlineStr">
        <is>
          <t>2026-09-23T14:22:28.838Z</t>
        </is>
      </c>
      <c r="G24" s="20" t="n">
        <v>0.004</v>
      </c>
      <c r="H24" s="19" t="n">
        <v>99.90000000000001</v>
      </c>
      <c r="I24" s="21" t="inlineStr">
        <is>
          <t>open</t>
        </is>
      </c>
      <c r="J24" s="22" t="inlineStr">
        <is>
          <t>8ee3605d7e6a0cdcf169082dbd3f4307819b525b862ea32969ab905f1344218a</t>
        </is>
      </c>
      <c r="K24" s="21" t="inlineStr">
        <is>
          <t>open</t>
        </is>
      </c>
      <c r="L24" s="22" t="inlineStr">
        <is>
          <t>6181e3bc8e8e33ca1e6e2b9d92e9c5d9c687f3c51dd11583e985bf75007decd4</t>
        </is>
      </c>
      <c r="M24" s="4" t="inlineStr">
        <is>
          <t>2026-09-23T14:22:28.644Z</t>
        </is>
      </c>
    </row>
    <row r="25">
      <c r="A25" s="4" t="inlineStr">
        <is>
          <t>SOL → ETH</t>
        </is>
      </c>
      <c r="B25" s="4" t="n">
        <v>2</v>
      </c>
      <c r="C25" s="4" t="inlineStr">
        <is>
          <t>CCTP (via Portal)</t>
        </is>
      </c>
      <c r="D25" s="4" t="inlineStr">
        <is>
          <t>2026-09-23T14:22:16.318Z</t>
        </is>
      </c>
      <c r="E25" s="4" t="inlineStr">
        <is>
          <t>2026-09-23T14:22:20.102Z</t>
        </is>
      </c>
      <c r="F25" s="4" t="inlineStr">
        <is>
          <t>2026-09-23T14:22:28.681Z</t>
        </is>
      </c>
      <c r="G25" s="20" t="n">
        <v>0.001</v>
      </c>
      <c r="H25" s="19" t="n">
        <v>99.98999999999999</v>
      </c>
      <c r="I25" s="21" t="inlineStr">
        <is>
          <t>open</t>
        </is>
      </c>
      <c r="J25" s="22" t="inlineStr">
        <is>
          <t>07a9954726fefe67ad94114f248a413a02f6a2d4639a74c0f9a1a773d2c7d9ff</t>
        </is>
      </c>
      <c r="K25" s="21" t="inlineStr">
        <is>
          <t>open</t>
        </is>
      </c>
      <c r="L25" s="22" t="inlineStr">
        <is>
          <t>bfa8e8753c333b98df11083c9013a1b9a53dc4a8072d7eb3b4ca75443296d7f8</t>
        </is>
      </c>
      <c r="M25" s="4" t="inlineStr">
        <is>
          <t>2026-09-23T14:22:28.649Z</t>
        </is>
      </c>
    </row>
    <row r="26">
      <c r="A26" s="4" t="inlineStr">
        <is>
          <t>SOL → ETH</t>
        </is>
      </c>
      <c r="B26" s="4" t="n">
        <v>2</v>
      </c>
      <c r="C26" s="4" t="inlineStr">
        <is>
          <t>Husher</t>
        </is>
      </c>
      <c r="D26" s="4" t="inlineStr">
        <is>
          <t>2026-09-23T14:22:16.320Z</t>
        </is>
      </c>
      <c r="E26" s="4" t="inlineStr">
        <is>
          <t>2026-09-23T14:22:18.196Z</t>
        </is>
      </c>
      <c r="F26" s="4" t="inlineStr">
        <is>
          <t>2026-09-23T14:22:28.667Z</t>
        </is>
      </c>
      <c r="G26" s="20" t="n">
        <v>0.005</v>
      </c>
      <c r="H26" s="19" t="n">
        <v>99.05</v>
      </c>
      <c r="I26" s="21" t="inlineStr">
        <is>
          <t>open</t>
        </is>
      </c>
      <c r="J26" s="22" t="inlineStr">
        <is>
          <t>31acc4593baef971c8f99b51f95ee767bc94c47d932ff784a3e43fa8fe227b04</t>
        </is>
      </c>
      <c r="K26" s="21" t="inlineStr">
        <is>
          <t>open</t>
        </is>
      </c>
      <c r="L26" s="22" t="inlineStr">
        <is>
          <t>c33f2f03f701674d43eb7497f660b2435e5c31e9a03130764d01babc91caa008</t>
        </is>
      </c>
      <c r="M26" s="4" t="inlineStr">
        <is>
          <t>2026-09-23T14:22:28.643Z</t>
        </is>
      </c>
    </row>
    <row r="27">
      <c r="A27" s="4" t="inlineStr">
        <is>
          <t>SOL → ETH</t>
        </is>
      </c>
      <c r="B27" s="4" t="n">
        <v>2</v>
      </c>
      <c r="C27" s="4" t="inlineStr">
        <is>
          <t>Layerswap</t>
        </is>
      </c>
      <c r="D27" s="4" t="inlineStr">
        <is>
          <t>2026-09-23T14:22:16.316Z</t>
        </is>
      </c>
      <c r="E27" s="4" t="inlineStr">
        <is>
          <t>2026-09-23T14:22:18.642Z</t>
        </is>
      </c>
      <c r="F27" s="4" t="inlineStr">
        <is>
          <t>2026-09-23T14:22:28.675Z</t>
        </is>
      </c>
      <c r="G27" s="20" t="n">
        <v>0.002</v>
      </c>
      <c r="H27" s="19" t="n">
        <v>99.717755</v>
      </c>
      <c r="I27" s="21" t="inlineStr">
        <is>
          <t>open</t>
        </is>
      </c>
      <c r="J27" s="22" t="inlineStr">
        <is>
          <t>abcb60421a2977358508d9f7ae32f1b80f639ce3073d3b9baac8120367d45e50</t>
        </is>
      </c>
      <c r="K27" s="21" t="inlineStr">
        <is>
          <t>open</t>
        </is>
      </c>
      <c r="L27" s="22" t="inlineStr">
        <is>
          <t>0fb602fcf565abbfda7f02949d99dcb5c3ad4822c820139f4554de1c02776805</t>
        </is>
      </c>
      <c r="M27" s="4" t="inlineStr">
        <is>
          <t>2026-09-23T14:22:28.646Z</t>
        </is>
      </c>
    </row>
    <row r="28">
      <c r="A28" s="4" t="inlineStr">
        <is>
          <t>SOL → ETH</t>
        </is>
      </c>
      <c r="B28" s="4" t="n">
        <v>2</v>
      </c>
      <c r="C28" s="4" t="inlineStr">
        <is>
          <t>Meson</t>
        </is>
      </c>
      <c r="D28" s="4" t="inlineStr">
        <is>
          <t>2026-09-23T14:22:16.320Z</t>
        </is>
      </c>
      <c r="E28" s="4" t="inlineStr">
        <is>
          <t>2026-09-23T14:22:17.212Z</t>
        </is>
      </c>
      <c r="F28" s="4" t="inlineStr">
        <is>
          <t>2026-09-23T14:22:28.653Z</t>
        </is>
      </c>
      <c r="G28" s="20" t="n">
        <v>0.006</v>
      </c>
      <c r="H28" s="19" t="n">
        <v>98.37</v>
      </c>
      <c r="I28" s="21" t="inlineStr">
        <is>
          <t>open</t>
        </is>
      </c>
      <c r="J28" s="22" t="inlineStr">
        <is>
          <t>cd372226edd5d1ba5c7f71f5bc4982ef67717e59939e13e6d6f299f2b1ae155c</t>
        </is>
      </c>
      <c r="K28" s="21" t="inlineStr">
        <is>
          <t>open</t>
        </is>
      </c>
      <c r="L28" s="22" t="inlineStr">
        <is>
          <t>c0a73d09d6913ec6c9e6a082dbe4ed00f848e7044a4ebdce7040a5ae56abd515</t>
        </is>
      </c>
      <c r="M28" s="4" t="inlineStr">
        <is>
          <t>2026-09-23T14:22:28.642Z</t>
        </is>
      </c>
    </row>
    <row r="29">
      <c r="A29" s="4" t="inlineStr">
        <is>
          <t>SOL → ETH</t>
        </is>
      </c>
      <c r="B29" s="4" t="n">
        <v>2</v>
      </c>
      <c r="C29" s="4" t="inlineStr">
        <is>
          <t>SimpleSwap</t>
        </is>
      </c>
      <c r="D29" s="4" t="inlineStr">
        <is>
          <t>2026-09-23T14:22:16.320Z</t>
        </is>
      </c>
      <c r="E29" s="4" t="inlineStr">
        <is>
          <t>2026-09-23T14:22:19.635Z</t>
        </is>
      </c>
      <c r="F29" s="4" t="inlineStr">
        <is>
          <t>2026-09-23T14:22:28.754Z</t>
        </is>
      </c>
      <c r="G29" s="20" t="n">
        <v>0.002</v>
      </c>
      <c r="H29" s="19" t="n">
        <v>98.205703</v>
      </c>
      <c r="I29" s="21" t="inlineStr">
        <is>
          <t>open</t>
        </is>
      </c>
      <c r="J29" s="22" t="inlineStr">
        <is>
          <t>ad1c37cbf51f469710896708bed00164509b9ffc854f23a48b0953eb7fff01fd</t>
        </is>
      </c>
      <c r="K29" s="21" t="inlineStr">
        <is>
          <t>open</t>
        </is>
      </c>
      <c r="L29" s="22" t="inlineStr">
        <is>
          <t>245e0301ec87bba8d8b764b98f2e30dc22c67514767484f2b513d85e03f494ce</t>
        </is>
      </c>
      <c r="M29" s="4" t="inlineStr">
        <is>
          <t>2026-09-23T14:22:28.646Z</t>
        </is>
      </c>
    </row>
    <row r="30">
      <c r="A30" s="4" t="inlineStr">
        <is>
          <t>SOL → ETH</t>
        </is>
      </c>
      <c r="B30" s="4" t="n">
        <v>2</v>
      </c>
      <c r="C30" s="4" t="inlineStr">
        <is>
          <t>Skip Go</t>
        </is>
      </c>
      <c r="D30" s="4" t="inlineStr">
        <is>
          <t>2026-09-23T14:22:16.318Z</t>
        </is>
      </c>
      <c r="E30" s="4" t="inlineStr">
        <is>
          <t>2026-09-23T14:22:19.744Z</t>
        </is>
      </c>
      <c r="F30" s="4" t="inlineStr">
        <is>
          <t>2026-09-23T14:22:28.677Z</t>
        </is>
      </c>
      <c r="G30" s="20" t="n">
        <v>0</v>
      </c>
      <c r="H30" s="19" t="n">
        <v>96.94911</v>
      </c>
      <c r="I30" s="21" t="inlineStr">
        <is>
          <t>open</t>
        </is>
      </c>
      <c r="J30" s="22" t="inlineStr">
        <is>
          <t>2b815882419fd502dcd49cf6069a16c3f359099bdba60803a0a4b137fa8ccb4d</t>
        </is>
      </c>
      <c r="K30" s="21" t="inlineStr">
        <is>
          <t>open</t>
        </is>
      </c>
      <c r="L30" s="22" t="inlineStr">
        <is>
          <t>e54d9ecaf2779086316f4e9bc55a519e82c8917deb110ba5f807ef6b726106d0</t>
        </is>
      </c>
      <c r="M30" s="4" t="inlineStr">
        <is>
          <t>2026-09-23T14:22:28.648Z</t>
        </is>
      </c>
    </row>
    <row r="31">
      <c r="A31" s="4" t="inlineStr">
        <is>
          <t>SOL → ETH</t>
        </is>
      </c>
      <c r="B31" s="4" t="n">
        <v>2</v>
      </c>
      <c r="C31" s="4" t="inlineStr">
        <is>
          <t>Symbiosis</t>
        </is>
      </c>
      <c r="D31" s="4" t="inlineStr">
        <is>
          <t>2026-09-23T14:22:16.317Z</t>
        </is>
      </c>
      <c r="E31" s="4" t="inlineStr">
        <is>
          <t>2026-09-23T14:22:20.005Z</t>
        </is>
      </c>
      <c r="F31" s="4" t="inlineStr">
        <is>
          <t>2026-09-23T14:22:28.679Z</t>
        </is>
      </c>
      <c r="G31" s="20" t="n">
        <v>0.001</v>
      </c>
      <c r="H31" s="19" t="n">
        <v>96.37869999999999</v>
      </c>
      <c r="I31" s="21" t="inlineStr">
        <is>
          <t>open</t>
        </is>
      </c>
      <c r="J31" s="22" t="inlineStr">
        <is>
          <t>b47cd864a0ea1839dbe3490a7fc328b80d48efd62152c39ea3d9483bca7c472b</t>
        </is>
      </c>
      <c r="K31" s="21" t="inlineStr">
        <is>
          <t>open</t>
        </is>
      </c>
      <c r="L31" s="22" t="inlineStr">
        <is>
          <t>32ef70e035351f2df5a08164028789eef79e073594305be59574859ba8c66b97</t>
        </is>
      </c>
      <c r="M31" s="4" t="inlineStr">
        <is>
          <t>2026-09-23T14:22:28.649Z</t>
        </is>
      </c>
    </row>
    <row r="32">
      <c r="A32" s="4" t="inlineStr">
        <is>
          <t>SOL → ETH</t>
        </is>
      </c>
      <c r="B32" s="4" t="n">
        <v>3</v>
      </c>
      <c r="C32" s="4" t="inlineStr">
        <is>
          <t>Bridg</t>
        </is>
      </c>
      <c r="D32" s="4" t="inlineStr">
        <is>
          <t>2026-09-23T14:26:48.253Z</t>
        </is>
      </c>
      <c r="E32" s="4" t="inlineStr">
        <is>
          <t>2026-09-23T14:26:49.452Z</t>
        </is>
      </c>
      <c r="F32" s="4" t="inlineStr">
        <is>
          <t>2026-09-23T14:26:54.615Z</t>
        </is>
      </c>
      <c r="G32" s="20" t="n"/>
      <c r="H32" s="19" t="n">
        <v>99.84001499999999</v>
      </c>
      <c r="I32" s="21" t="inlineStr">
        <is>
          <t>open</t>
        </is>
      </c>
      <c r="J32" s="22" t="inlineStr">
        <is>
          <t>d4854fb7708c2c4a2010a189bc40fffee8609f6ed40d444335fde928c5b30ddb</t>
        </is>
      </c>
      <c r="K32" s="21" t="inlineStr">
        <is>
          <t>open</t>
        </is>
      </c>
      <c r="L32" s="22" t="inlineStr">
        <is>
          <t>cd2e6190a8db44b83732e08b2824e5db51050794d9f0dec331f1d6ee99bb6335</t>
        </is>
      </c>
      <c r="M32" s="4" t="inlineStr">
        <is>
          <t>2026-09-23T14:26:54.591Z</t>
        </is>
      </c>
    </row>
    <row r="33">
      <c r="A33" s="4" t="inlineStr">
        <is>
          <t>SOL → ETH</t>
        </is>
      </c>
      <c r="B33" s="4" t="n">
        <v>3</v>
      </c>
      <c r="C33" s="4" t="inlineStr">
        <is>
          <t>OpenSea</t>
        </is>
      </c>
      <c r="D33" s="4" t="inlineStr">
        <is>
          <t>2026-09-23T14:26:48.252Z</t>
        </is>
      </c>
      <c r="E33" s="4" t="inlineStr">
        <is>
          <t>2026-09-23T14:26:51.825Z</t>
        </is>
      </c>
      <c r="F33" s="4" t="inlineStr">
        <is>
          <t>2026-09-23T14:26:54.622Z</t>
        </is>
      </c>
      <c r="G33" s="20" t="n">
        <v>0.002</v>
      </c>
      <c r="H33" s="19" t="n">
        <v>99.06699999999999</v>
      </c>
      <c r="I33" s="21" t="inlineStr">
        <is>
          <t>open</t>
        </is>
      </c>
      <c r="J33" s="22" t="inlineStr">
        <is>
          <t>b4d9dba9cf7528b9d4c4655d77ca541a690d920da635c903c186451aa85f3321</t>
        </is>
      </c>
      <c r="K33" s="21" t="inlineStr">
        <is>
          <t>open</t>
        </is>
      </c>
      <c r="L33" s="22" t="inlineStr">
        <is>
          <t>2cd03342c38ad7583ac5ba80c29b12b38057abb158e1124d81335e7797b70ffe</t>
        </is>
      </c>
      <c r="M33" s="4" t="inlineStr">
        <is>
          <t>2026-09-23T14:26:54.593Z</t>
        </is>
      </c>
    </row>
    <row r="34">
      <c r="A34" s="4" t="inlineStr">
        <is>
          <t>SOL → ETH</t>
        </is>
      </c>
      <c r="B34" s="4" t="n">
        <v>3</v>
      </c>
      <c r="C34" s="4" t="inlineStr">
        <is>
          <t>Relay</t>
        </is>
      </c>
      <c r="D34" s="4" t="inlineStr">
        <is>
          <t>2026-09-23T14:26:48.252Z</t>
        </is>
      </c>
      <c r="E34" s="4" t="inlineStr">
        <is>
          <t>2026-09-23T14:26:50.584Z</t>
        </is>
      </c>
      <c r="F34" s="4" t="inlineStr">
        <is>
          <t>2026-09-23T14:26:54.609Z</t>
        </is>
      </c>
      <c r="G34" s="20" t="n">
        <v>0.002</v>
      </c>
      <c r="H34" s="19" t="n">
        <v>99.260036</v>
      </c>
      <c r="I34" s="21" t="inlineStr">
        <is>
          <t>open</t>
        </is>
      </c>
      <c r="J34" s="22" t="inlineStr">
        <is>
          <t>f37a115b11e80ed858bca6ed342ff2254f5694989bfa5fa59e9e813db3112c1b</t>
        </is>
      </c>
      <c r="K34" s="21" t="inlineStr">
        <is>
          <t>open</t>
        </is>
      </c>
      <c r="L34" s="22" t="inlineStr">
        <is>
          <t>ecbe1d753dbbd230309fe34054d4e523190909ff7a916b841b750a76481ad8d7</t>
        </is>
      </c>
      <c r="M34" s="4" t="inlineStr">
        <is>
          <t>2026-09-23T14:26:54.589Z</t>
        </is>
      </c>
    </row>
    <row r="35">
      <c r="A35" s="4" t="inlineStr">
        <is>
          <t>SOL → ETH</t>
        </is>
      </c>
      <c r="B35" s="4" t="n">
        <v>3</v>
      </c>
      <c r="C35" s="4" t="inlineStr">
        <is>
          <t>deBridge</t>
        </is>
      </c>
      <c r="D35" s="4" t="inlineStr">
        <is>
          <t>2026-09-23T14:26:48.253Z</t>
        </is>
      </c>
      <c r="E35" s="4" t="inlineStr">
        <is>
          <t>2026-09-23T14:26:51.726Z</t>
        </is>
      </c>
      <c r="F35" s="4" t="inlineStr">
        <is>
          <t>2026-09-23T14:26:54.621Z</t>
        </is>
      </c>
      <c r="G35" s="20" t="n">
        <v>0.002</v>
      </c>
      <c r="H35" s="19" t="n">
        <v>99.880033</v>
      </c>
      <c r="I35" s="21" t="inlineStr">
        <is>
          <t>open</t>
        </is>
      </c>
      <c r="J35" s="22" t="inlineStr">
        <is>
          <t>83ca3c668a8d529265819fe1c2ea5a527cb3e0f9151c66963ed2cc42a5bc9253</t>
        </is>
      </c>
      <c r="K35" s="21" t="inlineStr">
        <is>
          <t>open</t>
        </is>
      </c>
      <c r="L35" s="22" t="inlineStr">
        <is>
          <t>7b8936b0a4688dcd49d821aab22fbc7d4f658c8e3c7a87764f19d58fc8001619</t>
        </is>
      </c>
      <c r="M35" s="4" t="inlineStr">
        <is>
          <t>2026-09-23T14:26:54.593Z</t>
        </is>
      </c>
    </row>
    <row r="36">
      <c r="A36" s="4" t="inlineStr">
        <is>
          <t>SOL → ETH</t>
        </is>
      </c>
      <c r="B36" s="4" t="n">
        <v>3</v>
      </c>
      <c r="C36" s="4" t="inlineStr">
        <is>
          <t>LI.FI (Jumper)</t>
        </is>
      </c>
      <c r="D36" s="4" t="inlineStr">
        <is>
          <t>2026-09-23T14:26:48.255Z</t>
        </is>
      </c>
      <c r="E36" s="4" t="inlineStr">
        <is>
          <t>2026-09-23T14:26:51.678Z</t>
        </is>
      </c>
      <c r="F36" s="4" t="inlineStr">
        <is>
          <t>2026-09-23T14:26:54.601Z</t>
        </is>
      </c>
      <c r="G36" s="20" t="n">
        <v>0</v>
      </c>
      <c r="H36" s="19" t="n">
        <v>99.260036</v>
      </c>
      <c r="I36" s="21" t="inlineStr">
        <is>
          <t>open</t>
        </is>
      </c>
      <c r="J36" s="22" t="inlineStr">
        <is>
          <t>748f5117527e40427a24c4e3c197f851537058afa1e554a77cc0edd67ed2a431</t>
        </is>
      </c>
      <c r="K36" s="21" t="inlineStr">
        <is>
          <t>open</t>
        </is>
      </c>
      <c r="L36" s="22" t="inlineStr">
        <is>
          <t>07f40469404a634369fc988df5e607f42c79f833e82ec4a3b7b89857d7ceb136</t>
        </is>
      </c>
      <c r="M36" s="4" t="inlineStr">
        <is>
          <t>2026-09-23T14:26:54.591Z</t>
        </is>
      </c>
    </row>
    <row r="37">
      <c r="A37" s="4" t="inlineStr">
        <is>
          <t>SOL → ETH</t>
        </is>
      </c>
      <c r="B37" s="4" t="n">
        <v>3</v>
      </c>
      <c r="C37" s="4" t="inlineStr">
        <is>
          <t>Across</t>
        </is>
      </c>
      <c r="D37" s="4" t="inlineStr">
        <is>
          <t>2026-09-23T14:26:48.251Z</t>
        </is>
      </c>
      <c r="E37" s="4" t="inlineStr">
        <is>
          <t>2026-09-23T14:26:50.556Z</t>
        </is>
      </c>
      <c r="F37" s="4" t="inlineStr">
        <is>
          <t>2026-09-23T14:26:54.597Z</t>
        </is>
      </c>
      <c r="G37" s="20" t="n">
        <v>0.002</v>
      </c>
      <c r="H37" s="19" t="n">
        <v>99.98999999999999</v>
      </c>
      <c r="I37" s="21" t="inlineStr">
        <is>
          <t>open</t>
        </is>
      </c>
      <c r="J37" s="22" t="inlineStr">
        <is>
          <t>e6f06d5292a44e04191cf1a6faf1383ff60916079761425e4577a51dbe35feb5</t>
        </is>
      </c>
      <c r="K37" s="21" t="inlineStr">
        <is>
          <t>open</t>
        </is>
      </c>
      <c r="L37" s="22" t="inlineStr">
        <is>
          <t>3dbecb6a92714a6c80bf3798ae85a5a228d0ce5507a9f5b41d38ec40766ceb7a</t>
        </is>
      </c>
      <c r="M37" s="4" t="inlineStr">
        <is>
          <t>2026-09-23T14:26:54.589Z</t>
        </is>
      </c>
    </row>
    <row r="38">
      <c r="A38" s="4" t="inlineStr">
        <is>
          <t>SOL → ETH</t>
        </is>
      </c>
      <c r="B38" s="4" t="n">
        <v>3</v>
      </c>
      <c r="C38" s="4" t="inlineStr">
        <is>
          <t>Mayan</t>
        </is>
      </c>
      <c r="D38" s="4" t="inlineStr">
        <is>
          <t>2026-09-23T14:26:48.251Z</t>
        </is>
      </c>
      <c r="E38" s="4" t="inlineStr">
        <is>
          <t>2026-09-23T14:26:50.100Z</t>
        </is>
      </c>
      <c r="F38" s="4" t="inlineStr">
        <is>
          <t>2026-09-23T14:26:54.596Z</t>
        </is>
      </c>
      <c r="G38" s="20" t="n">
        <v>0.003</v>
      </c>
      <c r="H38" s="19" t="n">
        <v>96.851</v>
      </c>
      <c r="I38" s="21" t="inlineStr">
        <is>
          <t>open</t>
        </is>
      </c>
      <c r="J38" s="22" t="inlineStr">
        <is>
          <t>0813d60ce949293ebec8e5cadbecc82c982269fd84b91d4619b9ed32556cb738</t>
        </is>
      </c>
      <c r="K38" s="21" t="inlineStr">
        <is>
          <t>open</t>
        </is>
      </c>
      <c r="L38" s="22" t="inlineStr">
        <is>
          <t>9c6cf7523b4d72db5213cb377f6692a0ba2156734f21087510ea97b207629b6f</t>
        </is>
      </c>
      <c r="M38" s="4" t="inlineStr">
        <is>
          <t>2026-09-23T14:26:54.588Z</t>
        </is>
      </c>
    </row>
    <row r="39">
      <c r="A39" s="4" t="inlineStr">
        <is>
          <t>SOL → ETH</t>
        </is>
      </c>
      <c r="B39" s="4" t="n">
        <v>3</v>
      </c>
      <c r="C39" s="4" t="inlineStr">
        <is>
          <t>Allbridge Core</t>
        </is>
      </c>
      <c r="D39" s="4" t="inlineStr">
        <is>
          <t>2026-09-23T14:26:48.257Z</t>
        </is>
      </c>
      <c r="E39" s="4" t="inlineStr">
        <is>
          <t>2026-09-23T14:26:50.605Z</t>
        </is>
      </c>
      <c r="F39" s="4" t="inlineStr">
        <is>
          <t>2026-09-23T14:26:55.854Z</t>
        </is>
      </c>
      <c r="G39" s="20" t="n">
        <v>0.001</v>
      </c>
      <c r="H39" s="19" t="n">
        <v>99.90000000000001</v>
      </c>
      <c r="I39" s="21" t="inlineStr">
        <is>
          <t>open</t>
        </is>
      </c>
      <c r="J39" s="22" t="inlineStr">
        <is>
          <t>3fef2fb5b9fa2b66b14c58a263e56c006477bbb4d921bc2a413f7c5235a6d9d4</t>
        </is>
      </c>
      <c r="K39" s="21" t="inlineStr">
        <is>
          <t>open</t>
        </is>
      </c>
      <c r="L39" s="22" t="inlineStr">
        <is>
          <t>bbc3eca5c0fe72164b4386e01b00d246545ca7ca0e43ca26abef9dd9a07d7a59</t>
        </is>
      </c>
      <c r="M39" s="4" t="inlineStr">
        <is>
          <t>2026-09-23T14:26:54.590Z</t>
        </is>
      </c>
    </row>
    <row r="40">
      <c r="A40" s="4" t="inlineStr">
        <is>
          <t>SOL → ETH</t>
        </is>
      </c>
      <c r="B40" s="4" t="n">
        <v>3</v>
      </c>
      <c r="C40" s="4" t="inlineStr">
        <is>
          <t>CCTP (via Portal)</t>
        </is>
      </c>
      <c r="D40" s="4" t="inlineStr">
        <is>
          <t>2026-09-23T14:26:48.253Z</t>
        </is>
      </c>
      <c r="E40" s="4" t="inlineStr">
        <is>
          <t>2026-09-23T14:26:52.395Z</t>
        </is>
      </c>
      <c r="F40" s="4" t="inlineStr">
        <is>
          <t>2026-09-23T14:26:54.607Z</t>
        </is>
      </c>
      <c r="G40" s="20" t="n">
        <v>0.003</v>
      </c>
      <c r="H40" s="19" t="n">
        <v>99.98999999999999</v>
      </c>
      <c r="I40" s="21" t="inlineStr">
        <is>
          <t>open</t>
        </is>
      </c>
      <c r="J40" s="22" t="inlineStr">
        <is>
          <t>78e6b63937d00b725526d32b329e55207054bd599a82b3329323131d0f374add</t>
        </is>
      </c>
      <c r="K40" s="21" t="inlineStr">
        <is>
          <t>open</t>
        </is>
      </c>
      <c r="L40" s="22" t="inlineStr">
        <is>
          <t>6c35669244ebe0201a5199bf8de14c630ae32d169a537f5b4dfee102c66c9c33</t>
        </is>
      </c>
      <c r="M40" s="4" t="inlineStr">
        <is>
          <t>2026-09-23T14:26:54.588Z</t>
        </is>
      </c>
    </row>
    <row r="41">
      <c r="A41" s="4" t="inlineStr">
        <is>
          <t>SOL → ETH</t>
        </is>
      </c>
      <c r="B41" s="4" t="n">
        <v>3</v>
      </c>
      <c r="C41" s="4" t="inlineStr">
        <is>
          <t>Husher</t>
        </is>
      </c>
      <c r="D41" s="4" t="inlineStr">
        <is>
          <t>2026-09-23T14:26:48.257Z</t>
        </is>
      </c>
      <c r="E41" s="4" t="inlineStr">
        <is>
          <t>2026-09-23T14:26:50.583Z</t>
        </is>
      </c>
      <c r="F41" s="4" t="inlineStr">
        <is>
          <t>2026-09-23T14:26:54.611Z</t>
        </is>
      </c>
      <c r="G41" s="20" t="n">
        <v>0.002</v>
      </c>
      <c r="H41" s="19" t="n">
        <v>99.05</v>
      </c>
      <c r="I41" s="21" t="inlineStr">
        <is>
          <t>open</t>
        </is>
      </c>
      <c r="J41" s="22" t="inlineStr">
        <is>
          <t>24fb42eb90878b6f211cf1fc7f771a6eeb3699b076f5a30014219d11d804c936</t>
        </is>
      </c>
      <c r="K41" s="21" t="inlineStr">
        <is>
          <t>open</t>
        </is>
      </c>
      <c r="L41" s="22" t="inlineStr">
        <is>
          <t>0e27ac955165cfa897b7ef6b3b154c6d62c21b07e057f5950e1bf95a4ea57137</t>
        </is>
      </c>
      <c r="M41" s="4" t="inlineStr">
        <is>
          <t>2026-09-23T14:26:54.589Z</t>
        </is>
      </c>
    </row>
    <row r="42">
      <c r="A42" s="4" t="inlineStr">
        <is>
          <t>SOL → ETH</t>
        </is>
      </c>
      <c r="B42" s="4" t="n">
        <v>3</v>
      </c>
      <c r="C42" s="4" t="inlineStr">
        <is>
          <t>Layerswap</t>
        </is>
      </c>
      <c r="D42" s="4" t="inlineStr">
        <is>
          <t>2026-09-23T14:26:48.251Z</t>
        </is>
      </c>
      <c r="E42" s="4" t="inlineStr">
        <is>
          <t>2026-09-23T14:26:51.705Z</t>
        </is>
      </c>
      <c r="F42" s="4" t="inlineStr">
        <is>
          <t>2026-09-23T14:26:54.617Z</t>
        </is>
      </c>
      <c r="G42" s="20" t="n">
        <v>0.001</v>
      </c>
      <c r="H42" s="19" t="n">
        <v>99.706546</v>
      </c>
      <c r="I42" s="21" t="inlineStr">
        <is>
          <t>open</t>
        </is>
      </c>
      <c r="J42" s="22" t="inlineStr">
        <is>
          <t>71445f71ea3fa83fad29b0ad4e2df73d18491d56512325efa106fd988a214caf</t>
        </is>
      </c>
      <c r="K42" s="21" t="inlineStr">
        <is>
          <t>open</t>
        </is>
      </c>
      <c r="L42" s="22" t="inlineStr">
        <is>
          <t>382ca622bd0a1bd69000e9fdc6337bdf6c7b0973e4749440c33b756889b17987</t>
        </is>
      </c>
      <c r="M42" s="4" t="inlineStr">
        <is>
          <t>2026-09-23T14:26:54.592Z</t>
        </is>
      </c>
    </row>
    <row r="43">
      <c r="A43" s="4" t="inlineStr">
        <is>
          <t>SOL → ETH</t>
        </is>
      </c>
      <c r="B43" s="4" t="n">
        <v>3</v>
      </c>
      <c r="C43" s="4" t="inlineStr">
        <is>
          <t>Meson</t>
        </is>
      </c>
      <c r="D43" s="4" t="inlineStr">
        <is>
          <t>2026-09-23T14:26:48.257Z</t>
        </is>
      </c>
      <c r="E43" s="4" t="inlineStr">
        <is>
          <t>2026-09-23T14:26:49.692Z</t>
        </is>
      </c>
      <c r="F43" s="4" t="inlineStr">
        <is>
          <t>2026-09-23T14:26:54.595Z</t>
        </is>
      </c>
      <c r="G43" s="20" t="n">
        <v>0.003</v>
      </c>
      <c r="H43" s="19" t="n">
        <v>98.67</v>
      </c>
      <c r="I43" s="21" t="inlineStr">
        <is>
          <t>open</t>
        </is>
      </c>
      <c r="J43" s="22" t="inlineStr">
        <is>
          <t>3a9de99e2623870060ff167ce4c7923f441280040ff306184e5a88f40140d5a3</t>
        </is>
      </c>
      <c r="K43" s="21" t="inlineStr">
        <is>
          <t>open</t>
        </is>
      </c>
      <c r="L43" s="22" t="inlineStr">
        <is>
          <t>a85d452d583c3004a344c31ef9167965558861be6cee9ca352114d4a369fbd80</t>
        </is>
      </c>
      <c r="M43" s="4" t="inlineStr">
        <is>
          <t>2026-09-23T14:26:54.588Z</t>
        </is>
      </c>
    </row>
    <row r="44">
      <c r="A44" s="4" t="inlineStr">
        <is>
          <t>SOL → ETH</t>
        </is>
      </c>
      <c r="B44" s="4" t="n">
        <v>3</v>
      </c>
      <c r="C44" s="4" t="inlineStr">
        <is>
          <t>SimpleSwap</t>
        </is>
      </c>
      <c r="D44" s="4" t="inlineStr">
        <is>
          <t>2026-09-23T14:26:48.258Z</t>
        </is>
      </c>
      <c r="E44" s="4" t="inlineStr">
        <is>
          <t>2026-09-23T14:26:52.307Z</t>
        </is>
      </c>
      <c r="F44" s="4" t="inlineStr">
        <is>
          <t>2026-09-23T14:26:54.797Z</t>
        </is>
      </c>
      <c r="G44" s="20" t="n">
        <v>0.003</v>
      </c>
      <c r="H44" s="19" t="n">
        <v>98.205814</v>
      </c>
      <c r="I44" s="21" t="inlineStr">
        <is>
          <t>open</t>
        </is>
      </c>
      <c r="J44" s="22" t="inlineStr">
        <is>
          <t>6d66195801b1eaae19341607756738bb85593fb6b2253a73bcd588b6d06efc24</t>
        </is>
      </c>
      <c r="K44" s="21" t="inlineStr">
        <is>
          <t>open</t>
        </is>
      </c>
      <c r="L44" s="22" t="inlineStr">
        <is>
          <t>c0b63a8b68080e4d5818d90d2b5243058a84e8bb8338b589b64133002c26d8cd</t>
        </is>
      </c>
      <c r="M44" s="4" t="inlineStr">
        <is>
          <t>2026-09-23T14:26:54.594Z</t>
        </is>
      </c>
    </row>
    <row r="45">
      <c r="A45" s="4" t="inlineStr">
        <is>
          <t>SOL → ETH</t>
        </is>
      </c>
      <c r="B45" s="4" t="n">
        <v>3</v>
      </c>
      <c r="C45" s="4" t="inlineStr">
        <is>
          <t>Skip Go</t>
        </is>
      </c>
      <c r="D45" s="4" t="inlineStr">
        <is>
          <t>2026-09-23T14:26:48.253Z</t>
        </is>
      </c>
      <c r="E45" s="4" t="inlineStr">
        <is>
          <t>2026-09-23T14:26:51.726Z</t>
        </is>
      </c>
      <c r="F45" s="4" t="inlineStr">
        <is>
          <t>2026-09-23T14:26:54.620Z</t>
        </is>
      </c>
      <c r="G45" s="20" t="n">
        <v>0.001</v>
      </c>
      <c r="H45" s="19" t="n">
        <v>97.44691</v>
      </c>
      <c r="I45" s="21" t="inlineStr">
        <is>
          <t>open</t>
        </is>
      </c>
      <c r="J45" s="22" t="inlineStr">
        <is>
          <t>a247d6d75733f4feae84d6e815e9fa8e9178d9fb37b58b54f241868906cad022</t>
        </is>
      </c>
      <c r="K45" s="21" t="inlineStr">
        <is>
          <t>open</t>
        </is>
      </c>
      <c r="L45" s="22" t="inlineStr">
        <is>
          <t>af27dcf3f863858b50da12847928a0dd116fb3482543a8bd067de6b1d82fe888</t>
        </is>
      </c>
      <c r="M45" s="4" t="inlineStr">
        <is>
          <t>2026-09-23T14:26:54.592Z</t>
        </is>
      </c>
    </row>
    <row r="46">
      <c r="A46" s="4" t="inlineStr">
        <is>
          <t>SOL → ETH</t>
        </is>
      </c>
      <c r="B46" s="4" t="n">
        <v>3</v>
      </c>
      <c r="C46" s="4" t="inlineStr">
        <is>
          <t>Symbiosis</t>
        </is>
      </c>
      <c r="D46" s="4" t="inlineStr">
        <is>
          <t>2026-09-23T14:26:48.252Z</t>
        </is>
      </c>
      <c r="E46" s="4" t="inlineStr">
        <is>
          <t>2026-09-23T14:26:51.709Z</t>
        </is>
      </c>
      <c r="F46" s="4" t="inlineStr">
        <is>
          <t>2026-09-23T14:26:54.619Z</t>
        </is>
      </c>
      <c r="G46" s="20" t="n">
        <v>0</v>
      </c>
      <c r="H46" s="19" t="n">
        <v>96.510498</v>
      </c>
      <c r="I46" s="21" t="inlineStr">
        <is>
          <t>open</t>
        </is>
      </c>
      <c r="J46" s="22" t="inlineStr">
        <is>
          <t>bb812be023a43cca40cb153a0bb65c52fb895530e977a8c30084d08c24dadc25</t>
        </is>
      </c>
      <c r="K46" s="21" t="inlineStr">
        <is>
          <t>open</t>
        </is>
      </c>
      <c r="L46" s="22" t="inlineStr">
        <is>
          <t>f985797a1ff30bdc9642641aa10b4f27735b041d5127ed4fca11f49c45af8952</t>
        </is>
      </c>
      <c r="M46" s="4" t="inlineStr">
        <is>
          <t>2026-09-23T14:26:54.591Z</t>
        </is>
      </c>
    </row>
    <row r="47">
      <c r="A47" s="4" t="inlineStr">
        <is>
          <t>ETH → SOL</t>
        </is>
      </c>
      <c r="B47" s="4" t="n">
        <v>1</v>
      </c>
      <c r="C47" s="4" t="inlineStr">
        <is>
          <t>Bridg</t>
        </is>
      </c>
      <c r="D47" s="4" t="inlineStr">
        <is>
          <t>2026-09-23T14:19:22.123Z</t>
        </is>
      </c>
      <c r="E47" s="4" t="inlineStr">
        <is>
          <t>2026-09-23T14:19:23.634Z</t>
        </is>
      </c>
      <c r="F47" s="4" t="inlineStr">
        <is>
          <t>2026-09-23T14:19:28.723Z</t>
        </is>
      </c>
      <c r="G47" s="20" t="n"/>
      <c r="H47" s="19" t="n">
        <v>99.85005</v>
      </c>
      <c r="I47" s="21" t="inlineStr">
        <is>
          <t>open</t>
        </is>
      </c>
      <c r="J47" s="22" t="inlineStr">
        <is>
          <t>dcb530ba9a3ac4f519ff6ce5de81c27b289d192081a99f13e3aa4fb4b886be87</t>
        </is>
      </c>
      <c r="K47" s="21" t="inlineStr">
        <is>
          <t>open</t>
        </is>
      </c>
      <c r="L47" s="22" t="inlineStr">
        <is>
          <t>df4eae8e94fbf12df53c2469199aa05fd1e29c0db0501950df1579215f73ebdd</t>
        </is>
      </c>
      <c r="M47" s="4" t="inlineStr">
        <is>
          <t>2026-09-23T14:19:28.697Z</t>
        </is>
      </c>
    </row>
    <row r="48">
      <c r="A48" s="4" t="inlineStr">
        <is>
          <t>ETH → SOL</t>
        </is>
      </c>
      <c r="B48" s="4" t="n">
        <v>1</v>
      </c>
      <c r="C48" s="4" t="inlineStr">
        <is>
          <t>OpenSea</t>
        </is>
      </c>
      <c r="D48" s="4" t="inlineStr">
        <is>
          <t>2026-09-23T14:19:22.118Z</t>
        </is>
      </c>
      <c r="E48" s="4" t="inlineStr">
        <is>
          <t>2026-09-23T14:19:25.252Z</t>
        </is>
      </c>
      <c r="F48" s="4" t="inlineStr">
        <is>
          <t>2026-09-23T14:19:28.744Z</t>
        </is>
      </c>
      <c r="G48" s="20" t="n">
        <v>0.004</v>
      </c>
      <c r="H48" s="19" t="n">
        <v>99.74590000000001</v>
      </c>
      <c r="I48" s="21" t="inlineStr">
        <is>
          <t>open</t>
        </is>
      </c>
      <c r="J48" s="22" t="inlineStr">
        <is>
          <t>45fe5e0bc24ec949ca2b99fa2bc3a334fed15f75ed2fde5350872ab01c120753</t>
        </is>
      </c>
      <c r="K48" s="21" t="inlineStr">
        <is>
          <t>open</t>
        </is>
      </c>
      <c r="L48" s="22" t="inlineStr">
        <is>
          <t>929d8e03860056bbf334fa8991944ac32c8988002d466b288f67616f7f40dcc4</t>
        </is>
      </c>
      <c r="M48" s="4" t="inlineStr">
        <is>
          <t>2026-09-23T14:19:28.701Z</t>
        </is>
      </c>
    </row>
    <row r="49">
      <c r="A49" s="4" t="inlineStr">
        <is>
          <t>ETH → SOL</t>
        </is>
      </c>
      <c r="B49" s="4" t="n">
        <v>1</v>
      </c>
      <c r="C49" s="4" t="inlineStr">
        <is>
          <t>Relay</t>
        </is>
      </c>
      <c r="D49" s="4" t="inlineStr">
        <is>
          <t>2026-09-23T14:19:22.117Z</t>
        </is>
      </c>
      <c r="E49" s="4" t="inlineStr">
        <is>
          <t>2026-09-23T14:19:24.093Z</t>
        </is>
      </c>
      <c r="F49" s="4" t="inlineStr">
        <is>
          <t>2026-09-23T14:19:28.731Z</t>
        </is>
      </c>
      <c r="G49" s="20" t="n">
        <v>0.001</v>
      </c>
      <c r="H49" s="19" t="n">
        <v>99.94570299999999</v>
      </c>
      <c r="I49" s="21" t="inlineStr">
        <is>
          <t>open</t>
        </is>
      </c>
      <c r="J49" s="22" t="inlineStr">
        <is>
          <t>b75a59d963bc05cdf2fa22e4477a4bfbff5581b3dac96e86fc6970df8e89eec2</t>
        </is>
      </c>
      <c r="K49" s="21" t="inlineStr">
        <is>
          <t>open</t>
        </is>
      </c>
      <c r="L49" s="22" t="inlineStr">
        <is>
          <t>7612fc6bffd8ca61cbbde8900581affbb2df318c4f5db788eb2e685ba8e52054</t>
        </is>
      </c>
      <c r="M49" s="4" t="inlineStr">
        <is>
          <t>2026-09-23T14:19:28.698Z</t>
        </is>
      </c>
    </row>
    <row r="50">
      <c r="A50" s="4" t="inlineStr">
        <is>
          <t>ETH → SOL</t>
        </is>
      </c>
      <c r="B50" s="4" t="n">
        <v>1</v>
      </c>
      <c r="C50" s="4" t="inlineStr">
        <is>
          <t>deBridge</t>
        </is>
      </c>
      <c r="D50" s="4" t="inlineStr">
        <is>
          <t>2026-09-23T14:19:22.120Z</t>
        </is>
      </c>
      <c r="E50" s="4" t="inlineStr">
        <is>
          <t>2026-09-23T14:19:24.092Z</t>
        </is>
      </c>
      <c r="F50" s="4" t="inlineStr">
        <is>
          <t>2026-09-23T14:19:28.731Z</t>
        </is>
      </c>
      <c r="G50" s="20" t="n">
        <v>0.001</v>
      </c>
      <c r="H50" s="19" t="n">
        <v>99.920018</v>
      </c>
      <c r="I50" s="21" t="inlineStr">
        <is>
          <t>open</t>
        </is>
      </c>
      <c r="J50" s="22" t="inlineStr">
        <is>
          <t>25b3e9ec03cd3ef3697581fc28d2cad0efb5e4959945c3602c5f593bba2b9960</t>
        </is>
      </c>
      <c r="K50" s="21" t="inlineStr">
        <is>
          <t>open</t>
        </is>
      </c>
      <c r="L50" s="22" t="inlineStr">
        <is>
          <t>92727bd7c0c08bc352be06936e8830b74987489865331e4626433f0a8541f3a7</t>
        </is>
      </c>
      <c r="M50" s="4" t="inlineStr">
        <is>
          <t>2026-09-23T14:19:28.698Z</t>
        </is>
      </c>
    </row>
    <row r="51">
      <c r="A51" s="4" t="inlineStr">
        <is>
          <t>ETH → SOL</t>
        </is>
      </c>
      <c r="B51" s="4" t="n">
        <v>1</v>
      </c>
      <c r="C51" s="4" t="inlineStr">
        <is>
          <t>LI.FI (Jumper)</t>
        </is>
      </c>
      <c r="D51" s="4" t="inlineStr">
        <is>
          <t>2026-09-23T14:19:22.121Z</t>
        </is>
      </c>
      <c r="E51" s="4" t="inlineStr">
        <is>
          <t>2026-09-23T14:19:24.437Z</t>
        </is>
      </c>
      <c r="F51" s="4" t="inlineStr">
        <is>
          <t>2026-09-23T14:19:28.709Z</t>
        </is>
      </c>
      <c r="G51" s="20" t="n">
        <v>0.001</v>
      </c>
      <c r="H51" s="19" t="n">
        <v>99.94570299999999</v>
      </c>
      <c r="I51" s="21" t="inlineStr">
        <is>
          <t>open</t>
        </is>
      </c>
      <c r="J51" s="22" t="inlineStr">
        <is>
          <t>7151b45e72e3d7010af0b7dd9d7de30e7d2605f46a0f180f65d66183535927d2</t>
        </is>
      </c>
      <c r="K51" s="21" t="inlineStr">
        <is>
          <t>open</t>
        </is>
      </c>
      <c r="L51" s="22" t="inlineStr">
        <is>
          <t>bbf79df2968f98b1868104fde3fd0c20130ff6d7c1a41fe79059dfcb0fd05cfa</t>
        </is>
      </c>
      <c r="M51" s="4" t="inlineStr">
        <is>
          <t>2026-09-23T14:19:28.698Z</t>
        </is>
      </c>
    </row>
    <row r="52">
      <c r="A52" s="4" t="inlineStr">
        <is>
          <t>ETH → SOL</t>
        </is>
      </c>
      <c r="B52" s="4" t="n">
        <v>1</v>
      </c>
      <c r="C52" s="4" t="inlineStr">
        <is>
          <t>Across</t>
        </is>
      </c>
      <c r="D52" s="4" t="inlineStr">
        <is>
          <t>2026-09-23T14:19:22.117Z</t>
        </is>
      </c>
      <c r="E52" s="4" t="inlineStr">
        <is>
          <t>2026-09-23T14:19:23.610Z</t>
        </is>
      </c>
      <c r="F52" s="4" t="inlineStr">
        <is>
          <t>2026-09-23T14:19:28.705Z</t>
        </is>
      </c>
      <c r="G52" s="20" t="n">
        <v>0</v>
      </c>
      <c r="H52" s="19" t="n">
        <v>99.98999999999999</v>
      </c>
      <c r="I52" s="21" t="inlineStr">
        <is>
          <t>open</t>
        </is>
      </c>
      <c r="J52" s="22" t="inlineStr">
        <is>
          <t>5c222636d245f05df7db78ce841b96079b9465c4ecd24e04168f55e76c12feb7</t>
        </is>
      </c>
      <c r="K52" s="21" t="inlineStr">
        <is>
          <t>open</t>
        </is>
      </c>
      <c r="L52" s="22" t="inlineStr">
        <is>
          <t>aaeef70dc3c9c3be6b5a28a085a7f612ac747cddf83c32f74047344c0a4e48be</t>
        </is>
      </c>
      <c r="M52" s="4" t="inlineStr">
        <is>
          <t>2026-09-23T14:19:28.697Z</t>
        </is>
      </c>
    </row>
    <row r="53">
      <c r="A53" s="4" t="inlineStr">
        <is>
          <t>ETH → SOL</t>
        </is>
      </c>
      <c r="B53" s="4" t="n">
        <v>1</v>
      </c>
      <c r="C53" s="4" t="inlineStr">
        <is>
          <t>Mayan</t>
        </is>
      </c>
      <c r="D53" s="4" t="inlineStr">
        <is>
          <t>2026-09-23T14:19:22.116Z</t>
        </is>
      </c>
      <c r="E53" s="4" t="inlineStr">
        <is>
          <t>2026-09-23T14:19:23.870Z</t>
        </is>
      </c>
      <c r="F53" s="4" t="inlineStr">
        <is>
          <t>2026-09-23T14:19:28.706Z</t>
        </is>
      </c>
      <c r="G53" s="20" t="n">
        <v>0.001</v>
      </c>
      <c r="H53" s="19" t="n">
        <v>99.0127</v>
      </c>
      <c r="I53" s="21" t="inlineStr">
        <is>
          <t>open</t>
        </is>
      </c>
      <c r="J53" s="22" t="inlineStr">
        <is>
          <t>87f999fc629c39fdee114d730f644f084a431dc2731968c63a58af0596752d8c</t>
        </is>
      </c>
      <c r="K53" s="21" t="inlineStr">
        <is>
          <t>open</t>
        </is>
      </c>
      <c r="L53" s="22" t="inlineStr">
        <is>
          <t>258492e94e1735ffe95a45026a1cac08e6bda861072cf87c6d23aaa2185893ea</t>
        </is>
      </c>
      <c r="M53" s="4" t="inlineStr">
        <is>
          <t>2026-09-23T14:19:28.698Z</t>
        </is>
      </c>
    </row>
    <row r="54">
      <c r="A54" s="4" t="inlineStr">
        <is>
          <t>ETH → SOL</t>
        </is>
      </c>
      <c r="B54" s="4" t="n">
        <v>1</v>
      </c>
      <c r="C54" s="4" t="inlineStr">
        <is>
          <t>Allbridge Core</t>
        </is>
      </c>
      <c r="D54" s="4" t="inlineStr">
        <is>
          <t>2026-09-23T14:19:22.124Z</t>
        </is>
      </c>
      <c r="E54" s="4" t="inlineStr">
        <is>
          <t>2026-09-23T14:19:23.598Z</t>
        </is>
      </c>
      <c r="F54" s="4" t="inlineStr">
        <is>
          <t>2026-09-23T14:19:29.622Z</t>
        </is>
      </c>
      <c r="G54" s="20" t="n">
        <v>0</v>
      </c>
      <c r="H54" s="19" t="n">
        <v>99.90000000000001</v>
      </c>
      <c r="I54" s="21" t="inlineStr">
        <is>
          <t>open</t>
        </is>
      </c>
      <c r="J54" s="22" t="inlineStr">
        <is>
          <t>de0eba51e97690902c2383bcb28be6625a0ef6a0cf325dfd4f00947cc4000e97</t>
        </is>
      </c>
      <c r="K54" s="21" t="inlineStr">
        <is>
          <t>open</t>
        </is>
      </c>
      <c r="L54" s="22" t="inlineStr">
        <is>
          <t>50f0df2fc68990ff676e46f804967e345113e05a5cb67521210acf874ffa2c14</t>
        </is>
      </c>
      <c r="M54" s="4" t="inlineStr">
        <is>
          <t>2026-09-23T14:19:28.697Z</t>
        </is>
      </c>
    </row>
    <row r="55">
      <c r="A55" s="4" t="inlineStr">
        <is>
          <t>ETH → SOL</t>
        </is>
      </c>
      <c r="B55" s="4" t="n">
        <v>1</v>
      </c>
      <c r="C55" s="4" t="inlineStr">
        <is>
          <t>CCTP (via Portal)</t>
        </is>
      </c>
      <c r="D55" s="4" t="inlineStr">
        <is>
          <t>2026-09-23T14:19:22.124Z</t>
        </is>
      </c>
      <c r="E55" s="4" t="inlineStr">
        <is>
          <t>2026-09-23T14:19:26.548Z</t>
        </is>
      </c>
      <c r="F55" s="4" t="inlineStr">
        <is>
          <t>2026-09-23T14:19:28.714Z</t>
        </is>
      </c>
      <c r="G55" s="20" t="n">
        <v>0.001</v>
      </c>
      <c r="H55" s="19" t="n">
        <v>99.980001</v>
      </c>
      <c r="I55" s="21" t="inlineStr">
        <is>
          <t>open</t>
        </is>
      </c>
      <c r="J55" s="22" t="inlineStr">
        <is>
          <t>43fc6f8aea5a0c478ff9c7e9f5cbe5a82b05fe7d4ce00546c77021994b9753a2</t>
        </is>
      </c>
      <c r="K55" s="21" t="inlineStr">
        <is>
          <t>open</t>
        </is>
      </c>
      <c r="L55" s="22" t="inlineStr">
        <is>
          <t>113fae78c6bf6f4efde50d1317eaec151c76cc78ca158b35d63636927247461e</t>
        </is>
      </c>
      <c r="M55" s="4" t="inlineStr">
        <is>
          <t>2026-09-23T14:19:28.696Z</t>
        </is>
      </c>
    </row>
    <row r="56">
      <c r="A56" s="4" t="inlineStr">
        <is>
          <t>ETH → SOL</t>
        </is>
      </c>
      <c r="B56" s="4" t="n">
        <v>1</v>
      </c>
      <c r="C56" s="4" t="inlineStr">
        <is>
          <t>Husher</t>
        </is>
      </c>
      <c r="D56" s="4" t="inlineStr">
        <is>
          <t>2026-09-23T14:19:22.125Z</t>
        </is>
      </c>
      <c r="E56" s="4" t="inlineStr">
        <is>
          <t>2026-09-23T14:19:23.515Z</t>
        </is>
      </c>
      <c r="F56" s="4" t="inlineStr">
        <is>
          <t>2026-09-23T14:19:28.725Z</t>
        </is>
      </c>
      <c r="G56" s="20" t="n">
        <v>0.001</v>
      </c>
      <c r="H56" s="19" t="n">
        <v>99.34999999999999</v>
      </c>
      <c r="I56" s="21" t="inlineStr">
        <is>
          <t>open</t>
        </is>
      </c>
      <c r="J56" s="22" t="inlineStr">
        <is>
          <t>30af934d5d36245f4d925f7e848ec40c62bf58f10ae7a3500563bcaf6f1b579b</t>
        </is>
      </c>
      <c r="K56" s="21" t="inlineStr">
        <is>
          <t>open</t>
        </is>
      </c>
      <c r="L56" s="22" t="inlineStr">
        <is>
          <t>21a941857b83ffcb5cff936c47aa6eb22a9771f7a1cb7e8d3e6e38c4befcfb19</t>
        </is>
      </c>
      <c r="M56" s="4" t="inlineStr">
        <is>
          <t>2026-09-23T14:19:28.696Z</t>
        </is>
      </c>
    </row>
    <row r="57">
      <c r="A57" s="4" t="inlineStr">
        <is>
          <t>ETH → SOL</t>
        </is>
      </c>
      <c r="B57" s="4" t="n">
        <v>1</v>
      </c>
      <c r="C57" s="4" t="inlineStr">
        <is>
          <t>Layerswap</t>
        </is>
      </c>
      <c r="D57" s="4" t="inlineStr">
        <is>
          <t>2026-09-23T14:19:22.120Z</t>
        </is>
      </c>
      <c r="E57" s="4" t="inlineStr">
        <is>
          <t>2026-09-23T14:19:24.571Z</t>
        </is>
      </c>
      <c r="F57" s="4" t="inlineStr">
        <is>
          <t>2026-09-23T14:19:28.732Z</t>
        </is>
      </c>
      <c r="G57" s="20" t="n">
        <v>0.002</v>
      </c>
      <c r="H57" s="19" t="n">
        <v>99.68124899999999</v>
      </c>
      <c r="I57" s="21" t="inlineStr">
        <is>
          <t>open</t>
        </is>
      </c>
      <c r="J57" s="22" t="inlineStr">
        <is>
          <t>c6dc1e888e5e17216016391f6ffac2365f2994525986bf74616585c8bbf47629</t>
        </is>
      </c>
      <c r="K57" s="21" t="inlineStr">
        <is>
          <t>open</t>
        </is>
      </c>
      <c r="L57" s="22" t="inlineStr">
        <is>
          <t>dd95edf1d0682d0342a7d0076da5ead9db2fe94ad4e746faa0b8cbb45fef405e</t>
        </is>
      </c>
      <c r="M57" s="4" t="inlineStr">
        <is>
          <t>2026-09-23T14:19:28.699Z</t>
        </is>
      </c>
    </row>
    <row r="58">
      <c r="A58" s="4" t="inlineStr">
        <is>
          <t>ETH → SOL</t>
        </is>
      </c>
      <c r="B58" s="4" t="n">
        <v>1</v>
      </c>
      <c r="C58" s="4" t="inlineStr">
        <is>
          <t>Meson</t>
        </is>
      </c>
      <c r="D58" s="4" t="inlineStr">
        <is>
          <t>2026-09-23T14:19:22.126Z</t>
        </is>
      </c>
      <c r="E58" s="4" t="inlineStr">
        <is>
          <t>2026-09-23T14:19:22.766Z</t>
        </is>
      </c>
      <c r="F58" s="4" t="inlineStr">
        <is>
          <t>2026-09-23T14:19:28.703Z</t>
        </is>
      </c>
      <c r="G58" s="20" t="n">
        <v>0.001</v>
      </c>
      <c r="H58" s="19" t="n">
        <v>99.09999999999999</v>
      </c>
      <c r="I58" s="21" t="inlineStr">
        <is>
          <t>open</t>
        </is>
      </c>
      <c r="J58" s="22" t="inlineStr">
        <is>
          <t>a8a32326d59c3d46f7fed55a3b4f39afd50c8a5e4c223a57b96e865e4185afcd</t>
        </is>
      </c>
      <c r="K58" s="21" t="inlineStr">
        <is>
          <t>open</t>
        </is>
      </c>
      <c r="L58" s="22" t="inlineStr">
        <is>
          <t>86933ba30fc7eb25e9209c447ef1f9b764aab9698a037bb0b320efa737042eea</t>
        </is>
      </c>
      <c r="M58" s="4" t="inlineStr">
        <is>
          <t>2026-09-23T14:19:28.696Z</t>
        </is>
      </c>
    </row>
    <row r="59">
      <c r="A59" s="4" t="inlineStr">
        <is>
          <t>ETH → SOL</t>
        </is>
      </c>
      <c r="B59" s="4" t="n">
        <v>1</v>
      </c>
      <c r="C59" s="4" t="inlineStr">
        <is>
          <t>SimpleSwap</t>
        </is>
      </c>
      <c r="D59" s="4" t="inlineStr">
        <is>
          <t>2026-09-23T14:19:22.126Z</t>
        </is>
      </c>
      <c r="E59" s="4" t="inlineStr">
        <is>
          <t>2026-09-23T14:19:25.340Z</t>
        </is>
      </c>
      <c r="F59" s="4" t="inlineStr">
        <is>
          <t>2026-09-23T14:19:28.872Z</t>
        </is>
      </c>
      <c r="G59" s="20" t="n">
        <v>0.005</v>
      </c>
      <c r="H59" s="19" t="n">
        <v>98.482157</v>
      </c>
      <c r="I59" s="21" t="inlineStr">
        <is>
          <t>open</t>
        </is>
      </c>
      <c r="J59" s="22" t="inlineStr">
        <is>
          <t>31a289425ea9b8c02f7279976c7468d016c481b16fbfea61a450eeb213f726d0</t>
        </is>
      </c>
      <c r="K59" s="21" t="inlineStr">
        <is>
          <t>open</t>
        </is>
      </c>
      <c r="L59" s="22" t="inlineStr">
        <is>
          <t>828ef18ab70495437cccc10243a9b1a194f59e2ee3193001c812211a9d9b1fef</t>
        </is>
      </c>
      <c r="M59" s="4" t="inlineStr">
        <is>
          <t>2026-09-23T14:19:28.702Z</t>
        </is>
      </c>
    </row>
    <row r="60">
      <c r="A60" s="4" t="inlineStr">
        <is>
          <t>ETH → SOL</t>
        </is>
      </c>
      <c r="B60" s="4" t="n">
        <v>1</v>
      </c>
      <c r="C60" s="4" t="inlineStr">
        <is>
          <t>Skip Go</t>
        </is>
      </c>
      <c r="D60" s="4" t="inlineStr">
        <is>
          <t>2026-09-23T14:19:22.119Z</t>
        </is>
      </c>
      <c r="E60" s="4" t="inlineStr">
        <is>
          <t>2026-09-23T14:19:24.784Z</t>
        </is>
      </c>
      <c r="F60" s="4" t="inlineStr">
        <is>
          <t>2026-09-23T14:19:28.733Z</t>
        </is>
      </c>
      <c r="G60" s="20" t="n">
        <v>0.002</v>
      </c>
      <c r="H60" s="19" t="n">
        <v>99.72581</v>
      </c>
      <c r="I60" s="21" t="inlineStr">
        <is>
          <t>open</t>
        </is>
      </c>
      <c r="J60" s="22" t="inlineStr">
        <is>
          <t>dcfd76d041d4ec40f880e19cfa7ae87c38fd669752e88185be23e727674925dd</t>
        </is>
      </c>
      <c r="K60" s="21" t="inlineStr">
        <is>
          <t>open</t>
        </is>
      </c>
      <c r="L60" s="22" t="inlineStr">
        <is>
          <t>2399e5493896d13577762eb32f568612080db848ac8ef762152dcdc6471713c9</t>
        </is>
      </c>
      <c r="M60" s="4" t="inlineStr">
        <is>
          <t>2026-09-23T14:19:28.699Z</t>
        </is>
      </c>
    </row>
    <row r="61">
      <c r="A61" s="4" t="inlineStr">
        <is>
          <t>ETH → SOL</t>
        </is>
      </c>
      <c r="B61" s="4" t="n">
        <v>1</v>
      </c>
      <c r="C61" s="4" t="inlineStr">
        <is>
          <t>Symbiosis</t>
        </is>
      </c>
      <c r="D61" s="4" t="inlineStr">
        <is>
          <t>2026-09-23T14:19:22.119Z</t>
        </is>
      </c>
      <c r="E61" s="4" t="inlineStr">
        <is>
          <t>2026-09-23T14:19:24.972Z</t>
        </is>
      </c>
      <c r="F61" s="4" t="inlineStr">
        <is>
          <t>2026-09-23T14:19:28.738Z</t>
        </is>
      </c>
      <c r="G61" s="20" t="n">
        <v>0.003</v>
      </c>
      <c r="H61" s="19" t="n">
        <v>98.950473</v>
      </c>
      <c r="I61" s="21" t="inlineStr">
        <is>
          <t>open</t>
        </is>
      </c>
      <c r="J61" s="22" t="inlineStr">
        <is>
          <t>46f1a0e0771cc03120f0692c61b5d1e2838d02f67ae81d62b9b444f47f09c97c</t>
        </is>
      </c>
      <c r="K61" s="21" t="inlineStr">
        <is>
          <t>open</t>
        </is>
      </c>
      <c r="L61" s="22" t="inlineStr">
        <is>
          <t>078ec2ec8eec2c265964e65a7d790bb9786317357aed104a70e2864ef4e40dfa</t>
        </is>
      </c>
      <c r="M61" s="4" t="inlineStr">
        <is>
          <t>2026-09-23T14:19:28.700Z</t>
        </is>
      </c>
    </row>
    <row r="62">
      <c r="A62" s="4" t="inlineStr">
        <is>
          <t>ETH → SOL</t>
        </is>
      </c>
      <c r="B62" s="4" t="n">
        <v>2</v>
      </c>
      <c r="C62" s="4" t="inlineStr">
        <is>
          <t>Bridg</t>
        </is>
      </c>
      <c r="D62" s="4" t="inlineStr">
        <is>
          <t>2026-09-23T14:23:01.562Z</t>
        </is>
      </c>
      <c r="E62" s="4" t="inlineStr">
        <is>
          <t>2026-09-23T14:23:02.870Z</t>
        </is>
      </c>
      <c r="F62" s="4" t="inlineStr">
        <is>
          <t>2026-09-23T14:23:47.173Z</t>
        </is>
      </c>
      <c r="G62" s="20" t="n"/>
      <c r="H62" s="19" t="n">
        <v>99.85005</v>
      </c>
      <c r="I62" s="21" t="inlineStr">
        <is>
          <t>open</t>
        </is>
      </c>
      <c r="J62" s="22" t="inlineStr">
        <is>
          <t>4419ae39e018bfc2ca92e1a83eefc6bb129d6d47ed201de4ee74edf5d4896031</t>
        </is>
      </c>
      <c r="K62" s="21" t="inlineStr">
        <is>
          <t>open</t>
        </is>
      </c>
      <c r="L62" s="22" t="inlineStr">
        <is>
          <t>efaa8e90c9679981e6c7d97e1d3fe0fdb3ee26db9548d900a627c36bd74561db</t>
        </is>
      </c>
      <c r="M62" s="4" t="inlineStr">
        <is>
          <t>2026-09-23T14:23:47.144Z</t>
        </is>
      </c>
    </row>
    <row r="63">
      <c r="A63" s="4" t="inlineStr">
        <is>
          <t>ETH → SOL</t>
        </is>
      </c>
      <c r="B63" s="4" t="n">
        <v>2</v>
      </c>
      <c r="C63" s="4" t="inlineStr">
        <is>
          <t>OpenSea</t>
        </is>
      </c>
      <c r="D63" s="4" t="inlineStr">
        <is>
          <t>2026-09-23T14:23:01.547Z</t>
        </is>
      </c>
      <c r="E63" s="4" t="inlineStr">
        <is>
          <t>2026-09-23T14:23:04.895Z</t>
        </is>
      </c>
      <c r="F63" s="4" t="inlineStr">
        <is>
          <t>2026-09-23T14:23:47.181Z</t>
        </is>
      </c>
      <c r="G63" s="20" t="n">
        <v>0.001</v>
      </c>
      <c r="H63" s="19" t="n">
        <v>99.7453</v>
      </c>
      <c r="I63" s="21" t="inlineStr">
        <is>
          <t>open</t>
        </is>
      </c>
      <c r="J63" s="22" t="inlineStr">
        <is>
          <t>1a1489f5d0f95746f13cc458381e1dce24c2f9a4e65f4acb8d58a5d17b5f54e9</t>
        </is>
      </c>
      <c r="K63" s="21" t="inlineStr">
        <is>
          <t>open</t>
        </is>
      </c>
      <c r="L63" s="22" t="inlineStr">
        <is>
          <t>5b2dae5744dcee88cf717cafcf2caa631d31ad62fe51ef7052acb5a501238bc0</t>
        </is>
      </c>
      <c r="M63" s="4" t="inlineStr">
        <is>
          <t>2026-09-23T14:23:47.145Z</t>
        </is>
      </c>
    </row>
    <row r="64">
      <c r="A64" s="4" t="inlineStr">
        <is>
          <t>ETH → SOL</t>
        </is>
      </c>
      <c r="B64" s="4" t="n">
        <v>2</v>
      </c>
      <c r="C64" s="4" t="inlineStr">
        <is>
          <t>Relay</t>
        </is>
      </c>
      <c r="D64" s="4" t="inlineStr">
        <is>
          <t>2026-09-23T14:23:01.546Z</t>
        </is>
      </c>
      <c r="E64" s="4" t="inlineStr">
        <is>
          <t>2026-09-23T14:23:03.598Z</t>
        </is>
      </c>
      <c r="F64" s="4" t="inlineStr">
        <is>
          <t>2026-09-23T14:23:47.171Z</t>
        </is>
      </c>
      <c r="G64" s="20" t="n">
        <v>0.003</v>
      </c>
      <c r="H64" s="19" t="n">
        <v>99.945717</v>
      </c>
      <c r="I64" s="21" t="inlineStr">
        <is>
          <t>open</t>
        </is>
      </c>
      <c r="J64" s="22" t="inlineStr">
        <is>
          <t>e63ba230095881f9dd16152cc33c18484a4592273816a3a192b0bb534559be3c</t>
        </is>
      </c>
      <c r="K64" s="21" t="inlineStr">
        <is>
          <t>open</t>
        </is>
      </c>
      <c r="L64" s="22" t="inlineStr">
        <is>
          <t>58da3db66f563a3610290780bf43c3ab57364e4ed4ecd19a3c973839108bf6a1</t>
        </is>
      </c>
      <c r="M64" s="4" t="inlineStr">
        <is>
          <t>2026-09-23T14:23:47.141Z</t>
        </is>
      </c>
    </row>
    <row r="65">
      <c r="A65" s="4" t="inlineStr">
        <is>
          <t>ETH → SOL</t>
        </is>
      </c>
      <c r="B65" s="4" t="n">
        <v>2</v>
      </c>
      <c r="C65" s="4" t="inlineStr">
        <is>
          <t>deBridge</t>
        </is>
      </c>
      <c r="D65" s="4" t="inlineStr">
        <is>
          <t>2026-09-23T14:23:01.551Z</t>
        </is>
      </c>
      <c r="E65" s="4" t="inlineStr">
        <is>
          <t>2026-09-23T14:23:03.437Z</t>
        </is>
      </c>
      <c r="F65" s="4" t="inlineStr">
        <is>
          <t>2026-09-23T14:23:47.165Z</t>
        </is>
      </c>
      <c r="G65" s="20" t="n">
        <v>0.004</v>
      </c>
      <c r="H65" s="19" t="n">
        <v>99.920018</v>
      </c>
      <c r="I65" s="21" t="inlineStr">
        <is>
          <t>open</t>
        </is>
      </c>
      <c r="J65" s="22" t="inlineStr">
        <is>
          <t>b2265aba761d7e3c62073bcd544a11999a2371098530decb8feb102dbd882f0e</t>
        </is>
      </c>
      <c r="K65" s="21" t="inlineStr">
        <is>
          <t>open</t>
        </is>
      </c>
      <c r="L65" s="22" t="inlineStr">
        <is>
          <t>90c76abd2fc33bf030b7e6924bc7791e8053ee2cd00f062065f6ccfea4db29dc</t>
        </is>
      </c>
      <c r="M65" s="4" t="inlineStr">
        <is>
          <t>2026-09-23T14:23:47.140Z</t>
        </is>
      </c>
    </row>
    <row r="66">
      <c r="A66" s="4" t="inlineStr">
        <is>
          <t>ETH → SOL</t>
        </is>
      </c>
      <c r="B66" s="4" t="n">
        <v>2</v>
      </c>
      <c r="C66" s="4" t="inlineStr">
        <is>
          <t>LI.FI (Jumper)</t>
        </is>
      </c>
      <c r="D66" s="4" t="inlineStr">
        <is>
          <t>2026-09-23T14:23:01.552Z</t>
        </is>
      </c>
      <c r="E66" s="4" t="inlineStr">
        <is>
          <t>2026-09-23T14:23:04.129Z</t>
        </is>
      </c>
      <c r="F66" s="4" t="inlineStr">
        <is>
          <t>2026-09-23T14:23:47.151Z</t>
        </is>
      </c>
      <c r="G66" s="20" t="n">
        <v>0.002</v>
      </c>
      <c r="H66" s="19" t="n">
        <v>99.945717</v>
      </c>
      <c r="I66" s="21" t="inlineStr">
        <is>
          <t>open</t>
        </is>
      </c>
      <c r="J66" s="22" t="inlineStr">
        <is>
          <t>a172a09f48d1648ac7b588426230c6886f72388ce9ea1a21d80290dd16aff0e2</t>
        </is>
      </c>
      <c r="K66" s="21" t="inlineStr">
        <is>
          <t>open</t>
        </is>
      </c>
      <c r="L66" s="22" t="inlineStr">
        <is>
          <t>c8b6d48ce9c499398b39970383916108ce6147accf8ff218a9dffd2539ce447a</t>
        </is>
      </c>
      <c r="M66" s="4" t="inlineStr">
        <is>
          <t>2026-09-23T14:23:47.142Z</t>
        </is>
      </c>
    </row>
    <row r="67">
      <c r="A67" s="4" t="inlineStr">
        <is>
          <t>ETH → SOL</t>
        </is>
      </c>
      <c r="B67" s="4" t="n">
        <v>2</v>
      </c>
      <c r="C67" s="4" t="inlineStr">
        <is>
          <t>Across</t>
        </is>
      </c>
      <c r="D67" s="4" t="inlineStr">
        <is>
          <t>2026-09-23T14:23:01.550Z</t>
        </is>
      </c>
      <c r="E67" s="4" t="inlineStr">
        <is>
          <t>2026-09-23T14:23:02.967Z</t>
        </is>
      </c>
      <c r="F67" s="4" t="inlineStr">
        <is>
          <t>2026-09-23T14:23:47.148Z</t>
        </is>
      </c>
      <c r="G67" s="20" t="n">
        <v>0.005</v>
      </c>
      <c r="H67" s="19" t="n">
        <v>99.98999999999999</v>
      </c>
      <c r="I67" s="21" t="inlineStr">
        <is>
          <t>open</t>
        </is>
      </c>
      <c r="J67" s="22" t="inlineStr">
        <is>
          <t>5c222636d245f05df7db78ce841b96079b9465c4ecd24e04168f55e76c12feb7</t>
        </is>
      </c>
      <c r="K67" s="21" t="inlineStr">
        <is>
          <t>open</t>
        </is>
      </c>
      <c r="L67" s="22" t="inlineStr">
        <is>
          <t>26342dcf524325ebf00348fba56d32c89be32fc7c562654b0ef0adc127659e59</t>
        </is>
      </c>
      <c r="M67" s="4" t="inlineStr">
        <is>
          <t>2026-09-23T14:23:47.139Z</t>
        </is>
      </c>
    </row>
    <row r="68">
      <c r="A68" s="4" t="inlineStr">
        <is>
          <t>ETH → SOL</t>
        </is>
      </c>
      <c r="B68" s="4" t="n">
        <v>2</v>
      </c>
      <c r="C68" s="4" t="inlineStr">
        <is>
          <t>Mayan</t>
        </is>
      </c>
      <c r="D68" s="4" t="inlineStr">
        <is>
          <t>2026-09-23T14:23:01.545Z</t>
        </is>
      </c>
      <c r="E68" s="4" t="inlineStr">
        <is>
          <t>2026-09-23T14:23:03.274Z</t>
        </is>
      </c>
      <c r="F68" s="4" t="inlineStr">
        <is>
          <t>2026-09-23T14:23:47.149Z</t>
        </is>
      </c>
      <c r="G68" s="20" t="n">
        <v>0.004</v>
      </c>
      <c r="H68" s="19" t="n">
        <v>98.9619</v>
      </c>
      <c r="I68" s="21" t="inlineStr">
        <is>
          <t>open</t>
        </is>
      </c>
      <c r="J68" s="22" t="inlineStr">
        <is>
          <t>421d48e99ff4688ab8b1cf5eb082b46dbe91a471f55c89fac37a9b25a6f1feda</t>
        </is>
      </c>
      <c r="K68" s="21" t="inlineStr">
        <is>
          <t>open</t>
        </is>
      </c>
      <c r="L68" s="22" t="inlineStr">
        <is>
          <t>c24c774107206c2102bd0dbf7280a3518f600a47d4e83c95b6b0aa43f45a29d9</t>
        </is>
      </c>
      <c r="M68" s="4" t="inlineStr">
        <is>
          <t>2026-09-23T14:23:47.140Z</t>
        </is>
      </c>
    </row>
    <row r="69">
      <c r="A69" s="4" t="inlineStr">
        <is>
          <t>ETH → SOL</t>
        </is>
      </c>
      <c r="B69" s="4" t="n">
        <v>2</v>
      </c>
      <c r="C69" s="4" t="inlineStr">
        <is>
          <t>Allbridge Core</t>
        </is>
      </c>
      <c r="D69" s="4" t="inlineStr">
        <is>
          <t>2026-09-23T14:23:01.563Z</t>
        </is>
      </c>
      <c r="E69" s="4" t="inlineStr">
        <is>
          <t>2026-09-23T14:23:03.041Z</t>
        </is>
      </c>
      <c r="F69" s="4" t="inlineStr">
        <is>
          <t>2026-09-23T14:23:47.479Z</t>
        </is>
      </c>
      <c r="G69" s="20" t="n">
        <v>0.005</v>
      </c>
      <c r="H69" s="19" t="n">
        <v>99.90000000000001</v>
      </c>
      <c r="I69" s="21" t="inlineStr">
        <is>
          <t>open</t>
        </is>
      </c>
      <c r="J69" s="22" t="inlineStr">
        <is>
          <t>c1f05579ce2e5528b55bc4bbc25c3e094638b9b6b19f684294028a6171c95e46</t>
        </is>
      </c>
      <c r="K69" s="21" t="inlineStr">
        <is>
          <t>open</t>
        </is>
      </c>
      <c r="L69" s="22" t="inlineStr">
        <is>
          <t>17de22f4f95f88f59385e2301081935f35201bae9cc2626443ed98c98b78b5c9</t>
        </is>
      </c>
      <c r="M69" s="4" t="inlineStr">
        <is>
          <t>2026-09-23T14:23:47.139Z</t>
        </is>
      </c>
    </row>
    <row r="70">
      <c r="A70" s="4" t="inlineStr">
        <is>
          <t>ETH → SOL</t>
        </is>
      </c>
      <c r="B70" s="4" t="n">
        <v>2</v>
      </c>
      <c r="C70" s="4" t="inlineStr">
        <is>
          <t>CCTP (via Portal)</t>
        </is>
      </c>
      <c r="D70" s="4" t="inlineStr">
        <is>
          <t>2026-09-23T14:23:01.554Z</t>
        </is>
      </c>
      <c r="E70" s="4" t="inlineStr">
        <is>
          <t>2026-09-23T14:23:05.119Z</t>
        </is>
      </c>
      <c r="F70" s="4" t="inlineStr">
        <is>
          <t>2026-09-23T14:23:47.185Z</t>
        </is>
      </c>
      <c r="G70" s="20" t="n">
        <v>0.001</v>
      </c>
      <c r="H70" s="19" t="n">
        <v>99.980001</v>
      </c>
      <c r="I70" s="21" t="inlineStr">
        <is>
          <t>open</t>
        </is>
      </c>
      <c r="J70" s="22" t="inlineStr">
        <is>
          <t>ed9044e3568d944a9c2bf84985bf3b2e265fadde331919d2005aa07ca18f783d</t>
        </is>
      </c>
      <c r="K70" s="21" t="inlineStr">
        <is>
          <t>open</t>
        </is>
      </c>
      <c r="L70" s="22" t="inlineStr">
        <is>
          <t>5b947dc1e822f318d6521fc7a351a8d7ecfedbc95565b0a40a69428f70fd5cef</t>
        </is>
      </c>
      <c r="M70" s="4" t="inlineStr">
        <is>
          <t>2026-09-23T14:23:47.145Z</t>
        </is>
      </c>
    </row>
    <row r="71">
      <c r="A71" s="4" t="inlineStr">
        <is>
          <t>ETH → SOL</t>
        </is>
      </c>
      <c r="B71" s="4" t="n">
        <v>2</v>
      </c>
      <c r="C71" s="4" t="inlineStr">
        <is>
          <t>Husher</t>
        </is>
      </c>
      <c r="D71" s="4" t="inlineStr">
        <is>
          <t>2026-09-23T14:23:01.579Z</t>
        </is>
      </c>
      <c r="E71" s="4" t="inlineStr">
        <is>
          <t>2026-09-23T14:23:03.193Z</t>
        </is>
      </c>
      <c r="F71" s="4" t="inlineStr">
        <is>
          <t>2026-09-23T14:23:47.168Z</t>
        </is>
      </c>
      <c r="G71" s="20" t="n">
        <v>0.004</v>
      </c>
      <c r="H71" s="19" t="n">
        <v>99.34999999999999</v>
      </c>
      <c r="I71" s="21" t="inlineStr">
        <is>
          <t>open</t>
        </is>
      </c>
      <c r="J71" s="22" t="inlineStr">
        <is>
          <t>765f5ac5dca17f357cccc9b963c984b474cbd3b9d00078cb4b902cce1219273a</t>
        </is>
      </c>
      <c r="K71" s="21" t="inlineStr">
        <is>
          <t>open</t>
        </is>
      </c>
      <c r="L71" s="22" t="inlineStr">
        <is>
          <t>1f586ddfcecebc8faa052ab4958fd5a4bf814ae0a75635d295efb72ce3068ce7</t>
        </is>
      </c>
      <c r="M71" s="4" t="inlineStr">
        <is>
          <t>2026-09-23T14:23:47.140Z</t>
        </is>
      </c>
    </row>
    <row r="72">
      <c r="A72" s="4" t="inlineStr">
        <is>
          <t>ETH → SOL</t>
        </is>
      </c>
      <c r="B72" s="4" t="n">
        <v>2</v>
      </c>
      <c r="C72" s="4" t="inlineStr">
        <is>
          <t>Layerswap</t>
        </is>
      </c>
      <c r="D72" s="4" t="inlineStr">
        <is>
          <t>2026-09-23T14:23:01.546Z</t>
        </is>
      </c>
      <c r="E72" s="4" t="inlineStr">
        <is>
          <t>2026-09-23T14:23:04.153Z</t>
        </is>
      </c>
      <c r="F72" s="4" t="inlineStr">
        <is>
          <t>2026-09-23T14:23:47.175Z</t>
        </is>
      </c>
      <c r="G72" s="20" t="n">
        <v>0.001</v>
      </c>
      <c r="H72" s="19" t="n">
        <v>99.682776</v>
      </c>
      <c r="I72" s="21" t="inlineStr">
        <is>
          <t>open</t>
        </is>
      </c>
      <c r="J72" s="22" t="inlineStr">
        <is>
          <t>964feb36ada0b45dbba5a3886496e1a39d9c5a3d7a2e560b84d8810b8f284154</t>
        </is>
      </c>
      <c r="K72" s="21" t="inlineStr">
        <is>
          <t>open</t>
        </is>
      </c>
      <c r="L72" s="22" t="inlineStr">
        <is>
          <t>2ec87a5083912e3ed94ddddfafd4c2648d7d652b3033306118aa523cf1926523</t>
        </is>
      </c>
      <c r="M72" s="4" t="inlineStr">
        <is>
          <t>2026-09-23T14:23:47.143Z</t>
        </is>
      </c>
    </row>
    <row r="73">
      <c r="A73" s="4" t="inlineStr">
        <is>
          <t>ETH → SOL</t>
        </is>
      </c>
      <c r="B73" s="4" t="n">
        <v>2</v>
      </c>
      <c r="C73" s="4" t="inlineStr">
        <is>
          <t>Meson</t>
        </is>
      </c>
      <c r="D73" s="4" t="inlineStr">
        <is>
          <t>2026-09-23T14:23:01.580Z</t>
        </is>
      </c>
      <c r="E73" s="4" t="inlineStr">
        <is>
          <t>2026-09-23T14:23:02.198Z</t>
        </is>
      </c>
      <c r="F73" s="4" t="inlineStr">
        <is>
          <t>2026-09-23T14:23:47.147Z</t>
        </is>
      </c>
      <c r="G73" s="20" t="n">
        <v>0.007</v>
      </c>
      <c r="H73" s="19" t="n">
        <v>99.09999999999999</v>
      </c>
      <c r="I73" s="21" t="inlineStr">
        <is>
          <t>open</t>
        </is>
      </c>
      <c r="J73" s="22" t="inlineStr">
        <is>
          <t>a8a32326d59c3d46f7fed55a3b4f39afd50c8a5e4c223a57b96e865e4185afcd</t>
        </is>
      </c>
      <c r="K73" s="21" t="inlineStr">
        <is>
          <t>open</t>
        </is>
      </c>
      <c r="L73" s="22" t="inlineStr">
        <is>
          <t>8d5d51d937c09707409b79aefcb6483776994aacc694b95aa0e4dc1f6d54c810</t>
        </is>
      </c>
      <c r="M73" s="4" t="inlineStr">
        <is>
          <t>2026-09-23T14:23:47.137Z</t>
        </is>
      </c>
    </row>
    <row r="74">
      <c r="A74" s="4" t="inlineStr">
        <is>
          <t>ETH → SOL</t>
        </is>
      </c>
      <c r="B74" s="4" t="n">
        <v>2</v>
      </c>
      <c r="C74" s="4" t="inlineStr">
        <is>
          <t>Skip Go</t>
        </is>
      </c>
      <c r="D74" s="4" t="inlineStr">
        <is>
          <t>2026-09-23T14:23:01.562Z</t>
        </is>
      </c>
      <c r="E74" s="4" t="inlineStr">
        <is>
          <t>2026-09-23T14:23:04.496Z</t>
        </is>
      </c>
      <c r="F74" s="4" t="inlineStr">
        <is>
          <t>2026-09-23T14:23:47.179Z</t>
        </is>
      </c>
      <c r="G74" s="20" t="n">
        <v>0.001</v>
      </c>
      <c r="H74" s="19" t="n">
        <v>99.72581</v>
      </c>
      <c r="I74" s="21" t="inlineStr">
        <is>
          <t>open</t>
        </is>
      </c>
      <c r="J74" s="22" t="inlineStr">
        <is>
          <t>7d45544e66fa666339e3f38cc80257c374c931721cdcbe8254cc533ddff18587</t>
        </is>
      </c>
      <c r="K74" s="21" t="inlineStr">
        <is>
          <t>open</t>
        </is>
      </c>
      <c r="L74" s="22" t="inlineStr">
        <is>
          <t>b0398e05dfa7ec89acbea3fc65c4ff69b5a441b3f5be83555ec3cdafe8c8382c</t>
        </is>
      </c>
      <c r="M74" s="4" t="inlineStr">
        <is>
          <t>2026-09-23T14:23:47.145Z</t>
        </is>
      </c>
    </row>
    <row r="75">
      <c r="A75" s="4" t="inlineStr">
        <is>
          <t>ETH → SOL</t>
        </is>
      </c>
      <c r="B75" s="4" t="n">
        <v>2</v>
      </c>
      <c r="C75" s="4" t="inlineStr">
        <is>
          <t>Symbiosis</t>
        </is>
      </c>
      <c r="D75" s="4" t="inlineStr">
        <is>
          <t>2026-09-23T14:23:01.548Z</t>
        </is>
      </c>
      <c r="E75" s="4" t="inlineStr">
        <is>
          <t>2026-09-23T14:23:04.395Z</t>
        </is>
      </c>
      <c r="F75" s="4" t="inlineStr">
        <is>
          <t>2026-09-23T14:23:47.176Z</t>
        </is>
      </c>
      <c r="G75" s="20" t="n">
        <v>0</v>
      </c>
      <c r="H75" s="19" t="n">
        <v>98.951612</v>
      </c>
      <c r="I75" s="21" t="inlineStr">
        <is>
          <t>open</t>
        </is>
      </c>
      <c r="J75" s="22" t="inlineStr">
        <is>
          <t>f4760ebaa1832f6d670196e5c49185c9b71301b7b893a0cb703a4466d83f7b1c</t>
        </is>
      </c>
      <c r="K75" s="21" t="inlineStr">
        <is>
          <t>open</t>
        </is>
      </c>
      <c r="L75" s="22" t="inlineStr">
        <is>
          <t>809df74457cd544641254ca1d389beef0e61414114179d9ae6dff103c392375b</t>
        </is>
      </c>
      <c r="M75" s="4" t="inlineStr">
        <is>
          <t>2026-09-23T14:23:47.144Z</t>
        </is>
      </c>
    </row>
    <row r="76">
      <c r="A76" s="4" t="inlineStr">
        <is>
          <t>ETH → SOL</t>
        </is>
      </c>
      <c r="B76" s="4" t="n">
        <v>3</v>
      </c>
      <c r="C76" s="4" t="inlineStr">
        <is>
          <t>Bridg</t>
        </is>
      </c>
      <c r="D76" s="4" t="inlineStr">
        <is>
          <t>2026-09-23T14:27:21.676Z</t>
        </is>
      </c>
      <c r="E76" s="4" t="inlineStr">
        <is>
          <t>2026-09-23T14:27:23.278Z</t>
        </is>
      </c>
      <c r="F76" s="4" t="inlineStr">
        <is>
          <t>2026-09-23T14:27:28.368Z</t>
        </is>
      </c>
      <c r="G76" s="20" t="n"/>
      <c r="H76" s="19" t="n">
        <v>99.85005</v>
      </c>
      <c r="I76" s="21" t="inlineStr">
        <is>
          <t>open</t>
        </is>
      </c>
      <c r="J76" s="22" t="inlineStr">
        <is>
          <t>82be149797285aff27fff5f5ea7aba657f6b6cc2939892f5424df8fc07d0c91d</t>
        </is>
      </c>
      <c r="K76" s="21" t="inlineStr">
        <is>
          <t>open</t>
        </is>
      </c>
      <c r="L76" s="22" t="inlineStr">
        <is>
          <t>146c26e0ee6f67bc8a6cd6a5f9cc041be1ee8fee420e7cf5a7cbc1a20085255c</t>
        </is>
      </c>
      <c r="M76" s="4" t="inlineStr">
        <is>
          <t>2026-09-23T14:27:28.356Z</t>
        </is>
      </c>
    </row>
    <row r="77">
      <c r="A77" s="4" t="inlineStr">
        <is>
          <t>ETH → SOL</t>
        </is>
      </c>
      <c r="B77" s="4" t="n">
        <v>3</v>
      </c>
      <c r="C77" s="4" t="inlineStr">
        <is>
          <t>OpenSea</t>
        </is>
      </c>
      <c r="D77" s="4" t="inlineStr">
        <is>
          <t>2026-09-23T14:27:21.679Z</t>
        </is>
      </c>
      <c r="E77" s="4" t="inlineStr">
        <is>
          <t>2026-09-23T14:27:25.109Z</t>
        </is>
      </c>
      <c r="F77" s="4" t="inlineStr">
        <is>
          <t>2026-09-23T14:27:28.369Z</t>
        </is>
      </c>
      <c r="G77" s="20" t="n">
        <v>0.001</v>
      </c>
      <c r="H77" s="19" t="n">
        <v>99.7466</v>
      </c>
      <c r="I77" s="21" t="inlineStr">
        <is>
          <t>open</t>
        </is>
      </c>
      <c r="J77" s="22" t="inlineStr">
        <is>
          <t>97bcda1c63bd381fd4da04ddfc40918dd4b0cdb6727efd6b9f9b436f80adf5d3</t>
        </is>
      </c>
      <c r="K77" s="21" t="inlineStr">
        <is>
          <t>open</t>
        </is>
      </c>
      <c r="L77" s="22" t="inlineStr">
        <is>
          <t>a8df877af35cbe026f8fafd5492fe5b327f957850c282910adf46bb78ab9e31d</t>
        </is>
      </c>
      <c r="M77" s="4" t="inlineStr">
        <is>
          <t>2026-09-23T14:27:28.357Z</t>
        </is>
      </c>
    </row>
    <row r="78">
      <c r="A78" s="4" t="inlineStr">
        <is>
          <t>ETH → SOL</t>
        </is>
      </c>
      <c r="B78" s="4" t="n">
        <v>3</v>
      </c>
      <c r="C78" s="4" t="inlineStr">
        <is>
          <t>Relay</t>
        </is>
      </c>
      <c r="D78" s="4" t="inlineStr">
        <is>
          <t>2026-09-23T14:27:21.671Z</t>
        </is>
      </c>
      <c r="E78" s="4" t="inlineStr">
        <is>
          <t>2026-09-23T14:27:24.111Z</t>
        </is>
      </c>
      <c r="F78" s="4" t="inlineStr">
        <is>
          <t>2026-09-23T14:27:28.366Z</t>
        </is>
      </c>
      <c r="G78" s="20" t="n">
        <v>0.001</v>
      </c>
      <c r="H78" s="19" t="n">
        <v>99.945713</v>
      </c>
      <c r="I78" s="21" t="inlineStr">
        <is>
          <t>open</t>
        </is>
      </c>
      <c r="J78" s="22" t="inlineStr">
        <is>
          <t>678aa4da80c58c302f5fe3f0068b893f46d96ea8646c1800f5bd0fe5a80e3b04</t>
        </is>
      </c>
      <c r="K78" s="21" t="inlineStr">
        <is>
          <t>open</t>
        </is>
      </c>
      <c r="L78" s="22" t="inlineStr">
        <is>
          <t>edcacc1291cc31ffe61b57298609a45e61d00d2d8755f7d6dcd8e3ddb34c1cd5</t>
        </is>
      </c>
      <c r="M78" s="4" t="inlineStr">
        <is>
          <t>2026-09-23T14:27:28.355Z</t>
        </is>
      </c>
    </row>
    <row r="79">
      <c r="A79" s="4" t="inlineStr">
        <is>
          <t>ETH → SOL</t>
        </is>
      </c>
      <c r="B79" s="4" t="n">
        <v>3</v>
      </c>
      <c r="C79" s="4" t="inlineStr">
        <is>
          <t>deBridge</t>
        </is>
      </c>
      <c r="D79" s="4" t="inlineStr">
        <is>
          <t>2026-09-23T14:27:21.675Z</t>
        </is>
      </c>
      <c r="E79" s="4" t="inlineStr">
        <is>
          <t>2026-09-23T14:27:24.092Z</t>
        </is>
      </c>
      <c r="F79" s="4" t="inlineStr">
        <is>
          <t>2026-09-23T14:27:28.365Z</t>
        </is>
      </c>
      <c r="G79" s="20" t="n">
        <v>0.001</v>
      </c>
      <c r="H79" s="19" t="n">
        <v>99.88003500000001</v>
      </c>
      <c r="I79" s="21" t="inlineStr">
        <is>
          <t>open</t>
        </is>
      </c>
      <c r="J79" s="22" t="inlineStr">
        <is>
          <t>6a252a9b0fd37aa9905cce2e7d5d956b781eb36dce073ee0d578edd104ef4857</t>
        </is>
      </c>
      <c r="K79" s="21" t="inlineStr">
        <is>
          <t>open</t>
        </is>
      </c>
      <c r="L79" s="22" t="inlineStr">
        <is>
          <t>3475c76c0939648dd5456a4b3e60686ed17ff637cff9b961bf2323d2de4a106a</t>
        </is>
      </c>
      <c r="M79" s="4" t="inlineStr">
        <is>
          <t>2026-09-23T14:27:28.355Z</t>
        </is>
      </c>
    </row>
    <row r="80">
      <c r="A80" s="4" t="inlineStr">
        <is>
          <t>ETH → SOL</t>
        </is>
      </c>
      <c r="B80" s="4" t="n">
        <v>3</v>
      </c>
      <c r="C80" s="4" t="inlineStr">
        <is>
          <t>LI.FI (Jumper)</t>
        </is>
      </c>
      <c r="D80" s="4" t="inlineStr">
        <is>
          <t>2026-09-23T14:27:21.678Z</t>
        </is>
      </c>
      <c r="E80" s="4" t="inlineStr">
        <is>
          <t>2026-09-23T14:27:24.934Z</t>
        </is>
      </c>
      <c r="F80" s="4" t="inlineStr">
        <is>
          <t>2026-09-23T14:27:28.362Z</t>
        </is>
      </c>
      <c r="G80" s="20" t="n">
        <v>0</v>
      </c>
      <c r="H80" s="19" t="n">
        <v>99.945713</v>
      </c>
      <c r="I80" s="21" t="inlineStr">
        <is>
          <t>open</t>
        </is>
      </c>
      <c r="J80" s="22" t="inlineStr">
        <is>
          <t>7b3d9a7cd7ca3ede67bca6f3cba365aca96cf323d611bf568f6d81a7d3adb8f5</t>
        </is>
      </c>
      <c r="K80" s="21" t="inlineStr">
        <is>
          <t>open</t>
        </is>
      </c>
      <c r="L80" s="22" t="inlineStr">
        <is>
          <t>dc9346b86ffeb05534c2c3861d363d6b65b0a788ef5a7048afeb13f7fe7a1f70</t>
        </is>
      </c>
      <c r="M80" s="4" t="inlineStr">
        <is>
          <t>2026-09-23T14:27:28.356Z</t>
        </is>
      </c>
    </row>
    <row r="81">
      <c r="A81" s="4" t="inlineStr">
        <is>
          <t>ETH → SOL</t>
        </is>
      </c>
      <c r="B81" s="4" t="n">
        <v>3</v>
      </c>
      <c r="C81" s="4" t="inlineStr">
        <is>
          <t>Across</t>
        </is>
      </c>
      <c r="D81" s="4" t="inlineStr">
        <is>
          <t>2026-09-23T14:27:21.670Z</t>
        </is>
      </c>
      <c r="E81" s="4" t="inlineStr">
        <is>
          <t>2026-09-23T14:27:23.874Z</t>
        </is>
      </c>
      <c r="F81" s="4" t="inlineStr">
        <is>
          <t>2026-09-23T14:27:28.360Z</t>
        </is>
      </c>
      <c r="G81" s="20" t="n">
        <v>0.001</v>
      </c>
      <c r="H81" s="19" t="n">
        <v>99.98999999999999</v>
      </c>
      <c r="I81" s="21" t="inlineStr">
        <is>
          <t>open</t>
        </is>
      </c>
      <c r="J81" s="22" t="inlineStr">
        <is>
          <t>5c222636d245f05df7db78ce841b96079b9465c4ecd24e04168f55e76c12feb7</t>
        </is>
      </c>
      <c r="K81" s="21" t="inlineStr">
        <is>
          <t>open</t>
        </is>
      </c>
      <c r="L81" s="22" t="inlineStr">
        <is>
          <t>3eb483c94f671a03d09491001b4efb9a955548574d8180859e075f2959990ce1</t>
        </is>
      </c>
      <c r="M81" s="4" t="inlineStr">
        <is>
          <t>2026-09-23T14:27:28.355Z</t>
        </is>
      </c>
    </row>
    <row r="82">
      <c r="A82" s="4" t="inlineStr">
        <is>
          <t>ETH → SOL</t>
        </is>
      </c>
      <c r="B82" s="4" t="n">
        <v>3</v>
      </c>
      <c r="C82" s="4" t="inlineStr">
        <is>
          <t>Mayan</t>
        </is>
      </c>
      <c r="D82" s="4" t="inlineStr">
        <is>
          <t>2026-09-23T14:27:21.669Z</t>
        </is>
      </c>
      <c r="E82" s="4" t="inlineStr">
        <is>
          <t>2026-09-23T14:27:23.500Z</t>
        </is>
      </c>
      <c r="F82" s="4" t="inlineStr">
        <is>
          <t>2026-09-23T14:27:28.359Z</t>
        </is>
      </c>
      <c r="G82" s="20" t="n">
        <v>0.002</v>
      </c>
      <c r="H82" s="19" t="n">
        <v>99.0287</v>
      </c>
      <c r="I82" s="21" t="inlineStr">
        <is>
          <t>open</t>
        </is>
      </c>
      <c r="J82" s="22" t="inlineStr">
        <is>
          <t>efcc8c99d88a890ff2d35f0c9d91a064c2950d796712b8719e4ae98fdd6b7033</t>
        </is>
      </c>
      <c r="K82" s="21" t="inlineStr">
        <is>
          <t>open</t>
        </is>
      </c>
      <c r="L82" s="22" t="inlineStr">
        <is>
          <t>276763f41b5e0c201c5a5da17a5d431cea31230f9fcb23fa7e4d677b8058f63c</t>
        </is>
      </c>
      <c r="M82" s="4" t="inlineStr">
        <is>
          <t>2026-09-23T14:27:28.354Z</t>
        </is>
      </c>
    </row>
    <row r="83">
      <c r="A83" s="4" t="inlineStr">
        <is>
          <t>ETH → SOL</t>
        </is>
      </c>
      <c r="B83" s="4" t="n">
        <v>3</v>
      </c>
      <c r="C83" s="4" t="inlineStr">
        <is>
          <t>Allbridge Core</t>
        </is>
      </c>
      <c r="D83" s="4" t="inlineStr">
        <is>
          <t>2026-09-23T14:27:21.679Z</t>
        </is>
      </c>
      <c r="E83" s="4" t="inlineStr">
        <is>
          <t>2026-09-23T14:27:23.493Z</t>
        </is>
      </c>
      <c r="F83" s="4" t="inlineStr">
        <is>
          <t>2026-09-23T14:27:30.006Z</t>
        </is>
      </c>
      <c r="G83" s="20" t="n">
        <v>0.002</v>
      </c>
      <c r="H83" s="19" t="n">
        <v>99.90000000000001</v>
      </c>
      <c r="I83" s="21" t="inlineStr">
        <is>
          <t>open</t>
        </is>
      </c>
      <c r="J83" s="22" t="inlineStr">
        <is>
          <t>8ac77333b6e1ff89e9ca320ac77b173dda095a0a34ec37abf1c78bb4478f1114</t>
        </is>
      </c>
      <c r="K83" s="21" t="inlineStr">
        <is>
          <t>open</t>
        </is>
      </c>
      <c r="L83" s="22" t="inlineStr">
        <is>
          <t>50f0df2fc68990ff676e46f804967e345113e05a5cb67521210acf874ffa2c14</t>
        </is>
      </c>
      <c r="M83" s="4" t="inlineStr">
        <is>
          <t>2026-09-23T14:27:28.354Z</t>
        </is>
      </c>
    </row>
    <row r="84">
      <c r="A84" s="4" t="inlineStr">
        <is>
          <t>ETH → SOL</t>
        </is>
      </c>
      <c r="B84" s="4" t="n">
        <v>3</v>
      </c>
      <c r="C84" s="4" t="inlineStr">
        <is>
          <t>CCTP (via Portal)</t>
        </is>
      </c>
      <c r="D84" s="4" t="inlineStr">
        <is>
          <t>2026-09-23T14:27:21.679Z</t>
        </is>
      </c>
      <c r="E84" s="4" t="inlineStr">
        <is>
          <t>2026-09-23T14:27:26.203Z</t>
        </is>
      </c>
      <c r="F84" s="4" t="inlineStr">
        <is>
          <t>2026-09-23T14:27:28.363Z</t>
        </is>
      </c>
      <c r="G84" s="20" t="n">
        <v>0.003</v>
      </c>
      <c r="H84" s="19" t="n">
        <v>99.980001</v>
      </c>
      <c r="I84" s="21" t="inlineStr">
        <is>
          <t>open</t>
        </is>
      </c>
      <c r="J84" s="22" t="inlineStr">
        <is>
          <t>962db000d2f512bfada3e26b1305ca22101492cf5970591eb8c9c3c52801587d</t>
        </is>
      </c>
      <c r="K84" s="21" t="inlineStr">
        <is>
          <t>open</t>
        </is>
      </c>
      <c r="L84" s="22" t="inlineStr">
        <is>
          <t>6b7ee13f1ecef1f380733ae892028ce62d45c15095a9c49f4dbe1593b695b46e</t>
        </is>
      </c>
      <c r="M84" s="4" t="inlineStr">
        <is>
          <t>2026-09-23T14:27:28.353Z</t>
        </is>
      </c>
    </row>
    <row r="85">
      <c r="A85" s="4" t="inlineStr">
        <is>
          <t>ETH → SOL</t>
        </is>
      </c>
      <c r="B85" s="4" t="n">
        <v>3</v>
      </c>
      <c r="C85" s="4" t="inlineStr">
        <is>
          <t>Husher</t>
        </is>
      </c>
      <c r="D85" s="4" t="inlineStr">
        <is>
          <t>2026-09-23T14:27:21.680Z</t>
        </is>
      </c>
      <c r="E85" s="4" t="inlineStr">
        <is>
          <t>2026-09-23T14:27:23.502Z</t>
        </is>
      </c>
      <c r="F85" s="4" t="inlineStr">
        <is>
          <t>2026-09-23T14:27:28.365Z</t>
        </is>
      </c>
      <c r="G85" s="20" t="n">
        <v>0.002</v>
      </c>
      <c r="H85" s="19" t="n">
        <v>99.34999999999999</v>
      </c>
      <c r="I85" s="21" t="inlineStr">
        <is>
          <t>open</t>
        </is>
      </c>
      <c r="J85" s="22" t="inlineStr">
        <is>
          <t>30af934d5d36245f4d925f7e848ec40c62bf58f10ae7a3500563bcaf6f1b579b</t>
        </is>
      </c>
      <c r="K85" s="21" t="inlineStr">
        <is>
          <t>open</t>
        </is>
      </c>
      <c r="L85" s="22" t="inlineStr">
        <is>
          <t>cad886b514f2dc020f2cc08f9c2e9ea87a22368e108cd96bc8fcb67bb3b0ddc8</t>
        </is>
      </c>
      <c r="M85" s="4" t="inlineStr">
        <is>
          <t>2026-09-23T14:27:28.354Z</t>
        </is>
      </c>
    </row>
    <row r="86">
      <c r="A86" s="4" t="inlineStr">
        <is>
          <t>ETH → SOL</t>
        </is>
      </c>
      <c r="B86" s="4" t="n">
        <v>3</v>
      </c>
      <c r="C86" s="4" t="inlineStr">
        <is>
          <t>Layerswap</t>
        </is>
      </c>
      <c r="D86" s="4" t="inlineStr">
        <is>
          <t>2026-09-23T14:27:21.670Z</t>
        </is>
      </c>
      <c r="E86" s="4" t="inlineStr">
        <is>
          <t>2026-09-23T14:27:24.282Z</t>
        </is>
      </c>
      <c r="F86" s="4" t="inlineStr">
        <is>
          <t>2026-09-23T14:27:28.367Z</t>
        </is>
      </c>
      <c r="G86" s="20" t="n">
        <v>0</v>
      </c>
      <c r="H86" s="19" t="n">
        <v>99.682757</v>
      </c>
      <c r="I86" s="21" t="inlineStr">
        <is>
          <t>open</t>
        </is>
      </c>
      <c r="J86" s="22" t="inlineStr">
        <is>
          <t>e5e6e23490e2a2f2ef17db653ebdab78345791cda1f49cf660dd8bf15c557d53</t>
        </is>
      </c>
      <c r="K86" s="21" t="inlineStr">
        <is>
          <t>open</t>
        </is>
      </c>
      <c r="L86" s="22" t="inlineStr">
        <is>
          <t>231de017f0fd940164401c7b02525eca50c8b039faa8293b7c646e4a781c7454</t>
        </is>
      </c>
      <c r="M86" s="4" t="inlineStr">
        <is>
          <t>2026-09-23T14:27:28.356Z</t>
        </is>
      </c>
    </row>
    <row r="87">
      <c r="A87" s="4" t="inlineStr">
        <is>
          <t>ETH → SOL</t>
        </is>
      </c>
      <c r="B87" s="4" t="n">
        <v>3</v>
      </c>
      <c r="C87" s="4" t="inlineStr">
        <is>
          <t>Meson</t>
        </is>
      </c>
      <c r="D87" s="4" t="inlineStr">
        <is>
          <t>2026-09-23T14:27:21.681Z</t>
        </is>
      </c>
      <c r="E87" s="4" t="inlineStr">
        <is>
          <t>2026-09-23T14:27:22.613Z</t>
        </is>
      </c>
      <c r="F87" s="4" t="inlineStr">
        <is>
          <t>2026-09-23T14:27:28.361Z</t>
        </is>
      </c>
      <c r="G87" s="20" t="n">
        <v>0.002</v>
      </c>
      <c r="H87" s="19" t="n">
        <v>99.09999999999999</v>
      </c>
      <c r="I87" s="21" t="inlineStr">
        <is>
          <t>open</t>
        </is>
      </c>
      <c r="J87" s="22" t="inlineStr">
        <is>
          <t>a8a32326d59c3d46f7fed55a3b4f39afd50c8a5e4c223a57b96e865e4185afcd</t>
        </is>
      </c>
      <c r="K87" s="21" t="inlineStr">
        <is>
          <t>open</t>
        </is>
      </c>
      <c r="L87" s="22" t="inlineStr">
        <is>
          <t>4ad31bc9baca25c8644afbb682c654dedd20c0f9cf10012928785dc196c58f4d</t>
        </is>
      </c>
      <c r="M87" s="4" t="inlineStr">
        <is>
          <t>2026-09-23T14:27:28.354Z</t>
        </is>
      </c>
    </row>
    <row r="88">
      <c r="A88" s="4" t="inlineStr">
        <is>
          <t>ETH → SOL</t>
        </is>
      </c>
      <c r="B88" s="4" t="n">
        <v>3</v>
      </c>
      <c r="C88" s="4" t="inlineStr">
        <is>
          <t>SimpleSwap</t>
        </is>
      </c>
      <c r="D88" s="4" t="inlineStr">
        <is>
          <t>2026-09-23T14:27:21.681Z</t>
        </is>
      </c>
      <c r="E88" s="4" t="inlineStr">
        <is>
          <t>2026-09-23T14:27:25.024Z</t>
        </is>
      </c>
      <c r="F88" s="4" t="inlineStr">
        <is>
          <t>2026-09-23T14:27:29.298Z</t>
        </is>
      </c>
      <c r="G88" s="20" t="n">
        <v>0.001</v>
      </c>
      <c r="H88" s="19" t="n">
        <v>98.479738</v>
      </c>
      <c r="I88" s="21" t="inlineStr">
        <is>
          <t>open</t>
        </is>
      </c>
      <c r="J88" s="22" t="inlineStr">
        <is>
          <t>cbda08164ac53fe55905ad466c56e1f1d53cd7ceb92ac0008942e57e78fe6afe</t>
        </is>
      </c>
      <c r="K88" s="21" t="inlineStr">
        <is>
          <t>open</t>
        </is>
      </c>
      <c r="L88" s="22" t="inlineStr">
        <is>
          <t>408c4f6b031b985c4404bdb2b85c037147bc1350696a1f0aff081e512803bf8d</t>
        </is>
      </c>
      <c r="M88" s="4" t="inlineStr">
        <is>
          <t>2026-09-23T14:27:28.357Z</t>
        </is>
      </c>
    </row>
    <row r="89">
      <c r="A89" s="4" t="inlineStr">
        <is>
          <t>ETH → SOL</t>
        </is>
      </c>
      <c r="B89" s="4" t="n">
        <v>3</v>
      </c>
      <c r="C89" s="4" t="inlineStr">
        <is>
          <t>Skip Go</t>
        </is>
      </c>
      <c r="D89" s="4" t="inlineStr">
        <is>
          <t>2026-09-23T14:27:21.678Z</t>
        </is>
      </c>
      <c r="E89" s="4" t="inlineStr">
        <is>
          <t>2026-09-23T14:27:24.898Z</t>
        </is>
      </c>
      <c r="F89" s="4" t="inlineStr">
        <is>
          <t>2026-09-23T14:27:28.368Z</t>
        </is>
      </c>
      <c r="G89" s="20" t="n">
        <v>0.001</v>
      </c>
      <c r="H89" s="19" t="n">
        <v>99.72787</v>
      </c>
      <c r="I89" s="21" t="inlineStr">
        <is>
          <t>open</t>
        </is>
      </c>
      <c r="J89" s="22" t="inlineStr">
        <is>
          <t>fee8407d34bf776b19171c778297170d379e2a4c8b5207d809817863c1edc2c4</t>
        </is>
      </c>
      <c r="K89" s="21" t="inlineStr">
        <is>
          <t>open</t>
        </is>
      </c>
      <c r="L89" s="22" t="inlineStr">
        <is>
          <t>016f1d4b6b5d803a91022e1d3ab082705e302d322da8df0a60747de23affa3df</t>
        </is>
      </c>
      <c r="M89" s="4" t="inlineStr">
        <is>
          <t>2026-09-23T14:27:28.357Z</t>
        </is>
      </c>
    </row>
    <row r="90">
      <c r="A90" s="4" t="inlineStr">
        <is>
          <t>ETH → SOL</t>
        </is>
      </c>
      <c r="B90" s="4" t="n">
        <v>3</v>
      </c>
      <c r="C90" s="4" t="inlineStr">
        <is>
          <t>Symbiosis</t>
        </is>
      </c>
      <c r="D90" s="4" t="inlineStr">
        <is>
          <t>2026-09-23T14:27:21.673Z</t>
        </is>
      </c>
      <c r="E90" s="4" t="inlineStr">
        <is>
          <t>2026-09-23T14:27:25.245Z</t>
        </is>
      </c>
      <c r="F90" s="4" t="inlineStr">
        <is>
          <t>2026-09-23T14:27:28.369Z</t>
        </is>
      </c>
      <c r="G90" s="20" t="n">
        <v>0.001</v>
      </c>
      <c r="H90" s="19" t="n">
        <v>98.95137</v>
      </c>
      <c r="I90" s="21" t="inlineStr">
        <is>
          <t>open</t>
        </is>
      </c>
      <c r="J90" s="22" t="inlineStr">
        <is>
          <t>72422bdd7711b4aed096816090572985a70389bb3ab29a05182e3be2189a078e</t>
        </is>
      </c>
      <c r="K90" s="21" t="inlineStr">
        <is>
          <t>open</t>
        </is>
      </c>
      <c r="L90" s="22" t="inlineStr">
        <is>
          <t>72a5faf5cbf02934b0ae5daf05a379ab8a047b4adfd5063ac1902aecf1fcf219</t>
        </is>
      </c>
      <c r="M90" s="4" t="inlineStr">
        <is>
          <t>2026-09-23T14:27:28.357Z</t>
        </is>
      </c>
    </row>
    <row r="91">
      <c r="A91" s="4" t="inlineStr">
        <is>
          <t>SOL → BSC</t>
        </is>
      </c>
      <c r="B91" s="4" t="n">
        <v>1</v>
      </c>
      <c r="C91" s="4" t="inlineStr">
        <is>
          <t>Bridg</t>
        </is>
      </c>
      <c r="D91" s="4" t="inlineStr">
        <is>
          <t>2026-09-23T14:19:52.315Z</t>
        </is>
      </c>
      <c r="E91" s="4" t="inlineStr">
        <is>
          <t>2026-09-23T14:19:53.709Z</t>
        </is>
      </c>
      <c r="F91" s="4" t="inlineStr">
        <is>
          <t>2026-09-23T14:19:58.640Z</t>
        </is>
      </c>
      <c r="G91" s="20" t="n"/>
      <c r="H91" s="19" t="n">
        <v>99.87003799999999</v>
      </c>
      <c r="I91" s="21" t="inlineStr">
        <is>
          <t>open</t>
        </is>
      </c>
      <c r="J91" s="22" t="inlineStr">
        <is>
          <t>443699e32845732bfb5c3e881ce24d7842aaa255363223d6733214554965fb69</t>
        </is>
      </c>
      <c r="K91" s="21" t="inlineStr">
        <is>
          <t>open</t>
        </is>
      </c>
      <c r="L91" s="22" t="inlineStr">
        <is>
          <t>a34486116077f6ff8244090aa3f5cecced5c9c966213eff136f458a26a8f29a3</t>
        </is>
      </c>
      <c r="M91" s="4" t="inlineStr">
        <is>
          <t>2026-09-23T14:19:58.625Z</t>
        </is>
      </c>
    </row>
    <row r="92">
      <c r="A92" s="4" t="inlineStr">
        <is>
          <t>SOL → BSC</t>
        </is>
      </c>
      <c r="B92" s="4" t="n">
        <v>1</v>
      </c>
      <c r="C92" s="4" t="inlineStr">
        <is>
          <t>Relay</t>
        </is>
      </c>
      <c r="D92" s="4" t="inlineStr">
        <is>
          <t>2026-09-23T14:19:52.315Z</t>
        </is>
      </c>
      <c r="E92" s="4" t="inlineStr">
        <is>
          <t>2026-09-23T14:19:54.827Z</t>
        </is>
      </c>
      <c r="F92" s="4" t="inlineStr">
        <is>
          <t>2026-09-23T14:19:58.662Z</t>
        </is>
      </c>
      <c r="G92" s="20" t="n">
        <v>0.001</v>
      </c>
      <c r="H92" s="19" t="n">
        <v>99.651304</v>
      </c>
      <c r="I92" s="21" t="inlineStr">
        <is>
          <t>open</t>
        </is>
      </c>
      <c r="J92" s="22" t="inlineStr">
        <is>
          <t>cade892914de594a9cb7cd55b920ae3400c4e3c0530cc788906ea5fbdb8cc1bb</t>
        </is>
      </c>
      <c r="K92" s="21" t="inlineStr">
        <is>
          <t>open</t>
        </is>
      </c>
      <c r="L92" s="22" t="inlineStr">
        <is>
          <t>5b70d3ad3fc2f6a5c0699014100b4a0512930fcbfa9ffc7b53ebae614528c16b</t>
        </is>
      </c>
      <c r="M92" s="4" t="inlineStr">
        <is>
          <t>2026-09-23T14:19:58.626Z</t>
        </is>
      </c>
    </row>
    <row r="93">
      <c r="A93" s="4" t="inlineStr">
        <is>
          <t>SOL → BSC</t>
        </is>
      </c>
      <c r="B93" s="4" t="n">
        <v>1</v>
      </c>
      <c r="C93" s="4" t="inlineStr">
        <is>
          <t>deBridge</t>
        </is>
      </c>
      <c r="D93" s="4" t="inlineStr">
        <is>
          <t>2026-09-23T14:19:52.317Z</t>
        </is>
      </c>
      <c r="E93" s="4" t="inlineStr">
        <is>
          <t>2026-09-23T14:19:54.790Z</t>
        </is>
      </c>
      <c r="F93" s="4" t="inlineStr">
        <is>
          <t>2026-09-23T14:19:58.661Z</t>
        </is>
      </c>
      <c r="G93" s="20" t="n">
        <v>0.001</v>
      </c>
      <c r="H93" s="19" t="n">
        <v>99.92001500000001</v>
      </c>
      <c r="I93" s="21" t="inlineStr">
        <is>
          <t>open</t>
        </is>
      </c>
      <c r="J93" s="22" t="inlineStr">
        <is>
          <t>16befa75c3508c1dc5e3e1efcbbf2e051fac3fb62ab0ea5448704765316a643f</t>
        </is>
      </c>
      <c r="K93" s="21" t="inlineStr">
        <is>
          <t>open</t>
        </is>
      </c>
      <c r="L93" s="22" t="inlineStr">
        <is>
          <t>bb956886bcd39854d9f1e69687fa31e9d26396936cbf4cb723cebbbcd9393538</t>
        </is>
      </c>
      <c r="M93" s="4" t="inlineStr">
        <is>
          <t>2026-09-23T14:19:58.626Z</t>
        </is>
      </c>
    </row>
    <row r="94">
      <c r="A94" s="4" t="inlineStr">
        <is>
          <t>SOL → BSC</t>
        </is>
      </c>
      <c r="B94" s="4" t="n">
        <v>1</v>
      </c>
      <c r="C94" s="4" t="inlineStr">
        <is>
          <t>LI.FI (Jumper)</t>
        </is>
      </c>
      <c r="D94" s="4" t="inlineStr">
        <is>
          <t>2026-09-23T14:19:52.317Z</t>
        </is>
      </c>
      <c r="E94" s="4" t="inlineStr">
        <is>
          <t>2026-09-23T14:19:56.484Z</t>
        </is>
      </c>
      <c r="F94" s="4" t="inlineStr">
        <is>
          <t>2026-09-23T14:19:58.628Z</t>
        </is>
      </c>
      <c r="G94" s="20" t="n">
        <v>0.002</v>
      </c>
      <c r="H94" s="19" t="n">
        <v>99.93159</v>
      </c>
      <c r="I94" s="21" t="inlineStr">
        <is>
          <t>open</t>
        </is>
      </c>
      <c r="J94" s="22" t="inlineStr">
        <is>
          <t>2f3e465a250f2cfc76f8f84185d5dfbd0ecb3414bda7fda134620f25467965a7</t>
        </is>
      </c>
      <c r="K94" s="21" t="inlineStr">
        <is>
          <t>open</t>
        </is>
      </c>
      <c r="L94" s="22" t="inlineStr">
        <is>
          <t>fc2a48de6cadcf22f7b3640fb710d193a1f4af6e8da2a01bb3f32abc2f41fcc9</t>
        </is>
      </c>
      <c r="M94" s="4" t="inlineStr">
        <is>
          <t>2026-09-23T14:19:58.623Z</t>
        </is>
      </c>
    </row>
    <row r="95">
      <c r="A95" s="4" t="inlineStr">
        <is>
          <t>SOL → BSC</t>
        </is>
      </c>
      <c r="B95" s="4" t="n">
        <v>1</v>
      </c>
      <c r="C95" s="4" t="inlineStr">
        <is>
          <t>Across</t>
        </is>
      </c>
      <c r="D95" s="4" t="inlineStr">
        <is>
          <t>2026-09-23T14:19:52.315Z</t>
        </is>
      </c>
      <c r="E95" s="4" t="inlineStr">
        <is>
          <t>2026-09-23T14:19:54.082Z</t>
        </is>
      </c>
      <c r="F95" s="4" t="inlineStr">
        <is>
          <t>2026-09-23T14:19:58.633Z</t>
        </is>
      </c>
      <c r="G95" s="20" t="n">
        <v>0.001</v>
      </c>
      <c r="H95" s="19" t="n">
        <v>99.981745</v>
      </c>
      <c r="I95" s="21" t="inlineStr">
        <is>
          <t>open</t>
        </is>
      </c>
      <c r="J95" s="22" t="inlineStr">
        <is>
          <t>53ca27848a7b35479cefecdf2bee060b51362ebf36b6d5211356412de7b8491a</t>
        </is>
      </c>
      <c r="K95" s="21" t="inlineStr">
        <is>
          <t>open</t>
        </is>
      </c>
      <c r="L95" s="22" t="inlineStr">
        <is>
          <t>ef99166794839d59862d98b764be85baa99a7858a2f38a22d44f41bdd1cba0f8</t>
        </is>
      </c>
      <c r="M95" s="4" t="inlineStr">
        <is>
          <t>2026-09-23T14:19:58.624Z</t>
        </is>
      </c>
    </row>
    <row r="96">
      <c r="A96" s="4" t="inlineStr">
        <is>
          <t>SOL → BSC</t>
        </is>
      </c>
      <c r="B96" s="4" t="n">
        <v>1</v>
      </c>
      <c r="C96" s="4" t="inlineStr">
        <is>
          <t>Mayan</t>
        </is>
      </c>
      <c r="D96" s="4" t="inlineStr">
        <is>
          <t>2026-09-23T14:19:52.314Z</t>
        </is>
      </c>
      <c r="E96" s="4" t="inlineStr">
        <is>
          <t>2026-09-23T14:19:53.910Z</t>
        </is>
      </c>
      <c r="F96" s="4" t="inlineStr">
        <is>
          <t>2026-09-23T14:19:58.632Z</t>
        </is>
      </c>
      <c r="G96" s="20" t="n">
        <v>0.001</v>
      </c>
      <c r="H96" s="19" t="n">
        <v>99.931</v>
      </c>
      <c r="I96" s="21" t="inlineStr">
        <is>
          <t>open</t>
        </is>
      </c>
      <c r="J96" s="22" t="inlineStr">
        <is>
          <t>a02c86867b29c19e85582e3723303f2f85ebedee30624eeab7b598938e3ef5de</t>
        </is>
      </c>
      <c r="K96" s="21" t="inlineStr">
        <is>
          <t>open</t>
        </is>
      </c>
      <c r="L96" s="22" t="inlineStr">
        <is>
          <t>41a698e2cce0c2a548460145b34a3ceda74cd34370bd9ec54691479cb21e1c52</t>
        </is>
      </c>
      <c r="M96" s="4" t="inlineStr">
        <is>
          <t>2026-09-23T14:19:58.624Z</t>
        </is>
      </c>
    </row>
    <row r="97">
      <c r="A97" s="4" t="inlineStr">
        <is>
          <t>SOL → BSC</t>
        </is>
      </c>
      <c r="B97" s="4" t="n">
        <v>1</v>
      </c>
      <c r="C97" s="4" t="inlineStr">
        <is>
          <t>Husher</t>
        </is>
      </c>
      <c r="D97" s="4" t="inlineStr">
        <is>
          <t>2026-09-23T14:19:52.323Z</t>
        </is>
      </c>
      <c r="E97" s="4" t="inlineStr">
        <is>
          <t>2026-09-23T14:19:54.091Z</t>
        </is>
      </c>
      <c r="F97" s="4" t="inlineStr">
        <is>
          <t>2026-09-23T14:19:58.660Z</t>
        </is>
      </c>
      <c r="G97" s="20" t="n">
        <v>0.001</v>
      </c>
      <c r="H97" s="19" t="n">
        <v>99.65000000000001</v>
      </c>
      <c r="I97" s="21" t="inlineStr">
        <is>
          <t>open</t>
        </is>
      </c>
      <c r="J97" s="22" t="inlineStr">
        <is>
          <t>7417df4424d648bae07263c8594d657f364584399915f8d763a24782dd3d4f4b</t>
        </is>
      </c>
      <c r="K97" s="21" t="inlineStr">
        <is>
          <t>open</t>
        </is>
      </c>
      <c r="L97" s="22" t="inlineStr">
        <is>
          <t>1ab9edec93155b7daf6d19fc9c9feacb7f76d9f365f933507a5172ea1e4d7b56</t>
        </is>
      </c>
      <c r="M97" s="4" t="inlineStr">
        <is>
          <t>2026-09-23T14:19:58.624Z</t>
        </is>
      </c>
    </row>
    <row r="98">
      <c r="A98" s="4" t="inlineStr">
        <is>
          <t>SOL → BSC</t>
        </is>
      </c>
      <c r="B98" s="4" t="n">
        <v>1</v>
      </c>
      <c r="C98" s="4" t="inlineStr">
        <is>
          <t>Layerswap</t>
        </is>
      </c>
      <c r="D98" s="4" t="inlineStr">
        <is>
          <t>2026-09-23T14:19:52.316Z</t>
        </is>
      </c>
      <c r="E98" s="4" t="inlineStr">
        <is>
          <t>2026-09-23T14:19:55.032Z</t>
        </is>
      </c>
      <c r="F98" s="4" t="inlineStr">
        <is>
          <t>2026-09-23T14:19:58.663Z</t>
        </is>
      </c>
      <c r="G98" s="20" t="n">
        <v>0.001</v>
      </c>
      <c r="H98" s="19" t="n">
        <v>99.863113</v>
      </c>
      <c r="I98" s="21" t="inlineStr">
        <is>
          <t>open</t>
        </is>
      </c>
      <c r="J98" s="22" t="inlineStr">
        <is>
          <t>634c2f607c76a0f68b119157a7566dab2d365331c1680438e2f497258eaafeaf</t>
        </is>
      </c>
      <c r="K98" s="21" t="inlineStr">
        <is>
          <t>open</t>
        </is>
      </c>
      <c r="L98" s="22" t="inlineStr">
        <is>
          <t>a4e156dbe7e10fa1e8cd46da5a649a8a13817df34ab8ea3ebf7388ead621fb6e</t>
        </is>
      </c>
      <c r="M98" s="4" t="inlineStr">
        <is>
          <t>2026-09-23T14:19:58.626Z</t>
        </is>
      </c>
    </row>
    <row r="99">
      <c r="A99" s="4" t="inlineStr">
        <is>
          <t>SOL → BSC</t>
        </is>
      </c>
      <c r="B99" s="4" t="n">
        <v>1</v>
      </c>
      <c r="C99" s="4" t="inlineStr">
        <is>
          <t>Meson</t>
        </is>
      </c>
      <c r="D99" s="4" t="inlineStr">
        <is>
          <t>2026-09-23T14:19:52.320Z</t>
        </is>
      </c>
      <c r="E99" s="4" t="inlineStr">
        <is>
          <t>2026-09-23T14:19:52.804Z</t>
        </is>
      </c>
      <c r="F99" s="4" t="inlineStr">
        <is>
          <t>2026-09-23T14:19:58.635Z</t>
        </is>
      </c>
      <c r="G99" s="20" t="n">
        <v>0.002</v>
      </c>
      <c r="H99" s="19" t="n">
        <v>99.88</v>
      </c>
      <c r="I99" s="21" t="inlineStr">
        <is>
          <t>open</t>
        </is>
      </c>
      <c r="J99" s="22" t="inlineStr">
        <is>
          <t>f3c5717ceaddc72822b0bcd0fb927b2f6c141b811ef19d6d95f6fae4543c8073</t>
        </is>
      </c>
      <c r="K99" s="21" t="inlineStr">
        <is>
          <t>open</t>
        </is>
      </c>
      <c r="L99" s="22" t="inlineStr">
        <is>
          <t>12ffb1738ee3f6064842997839e2b2e04ce5a8fc13cbb73a50a0aca80759ef29</t>
        </is>
      </c>
      <c r="M99" s="4" t="inlineStr">
        <is>
          <t>2026-09-23T14:19:58.623Z</t>
        </is>
      </c>
    </row>
    <row r="100">
      <c r="A100" s="4" t="inlineStr">
        <is>
          <t>SOL → BSC</t>
        </is>
      </c>
      <c r="B100" s="4" t="n">
        <v>1</v>
      </c>
      <c r="C100" s="4" t="inlineStr">
        <is>
          <t>SimpleSwap</t>
        </is>
      </c>
      <c r="D100" s="4" t="inlineStr">
        <is>
          <t>2026-09-23T14:19:52.325Z</t>
        </is>
      </c>
      <c r="E100" s="4" t="inlineStr">
        <is>
          <t>2026-09-23T14:19:55.429Z</t>
        </is>
      </c>
      <c r="F100" s="4" t="inlineStr">
        <is>
          <t>2026-09-23T14:19:58.707Z</t>
        </is>
      </c>
      <c r="G100" s="20" t="n">
        <v>0.002</v>
      </c>
      <c r="H100" s="19" t="n">
        <v>98.139</v>
      </c>
      <c r="I100" s="21" t="inlineStr">
        <is>
          <t>open</t>
        </is>
      </c>
      <c r="J100" s="22" t="inlineStr">
        <is>
          <t>d7cb8ee9cb5635b15fc09e9bbba38cc7c663de360e8ef56e5f72dfe8ede47324</t>
        </is>
      </c>
      <c r="K100" s="21" t="inlineStr">
        <is>
          <t>open</t>
        </is>
      </c>
      <c r="L100" s="22" t="inlineStr">
        <is>
          <t>aa14b892df70495e05cb5b4dd946860e78677e3f7d172b506748b558ec6abbf5</t>
        </is>
      </c>
      <c r="M100" s="4" t="inlineStr">
        <is>
          <t>2026-09-23T14:19:58.627Z</t>
        </is>
      </c>
    </row>
    <row r="101">
      <c r="A101" s="4" t="inlineStr">
        <is>
          <t>SOL → BSC</t>
        </is>
      </c>
      <c r="B101" s="4" t="n">
        <v>2</v>
      </c>
      <c r="C101" s="4" t="inlineStr">
        <is>
          <t>Bridg</t>
        </is>
      </c>
      <c r="D101" s="4" t="inlineStr">
        <is>
          <t>2026-09-23T14:24:12.906Z</t>
        </is>
      </c>
      <c r="E101" s="4" t="inlineStr">
        <is>
          <t>2026-09-23T14:24:13.884Z</t>
        </is>
      </c>
      <c r="F101" s="4" t="inlineStr">
        <is>
          <t>2026-09-23T14:24:42.100Z</t>
        </is>
      </c>
      <c r="G101" s="20" t="n"/>
      <c r="H101" s="19" t="n">
        <v>99.87003799999999</v>
      </c>
      <c r="I101" s="21" t="inlineStr">
        <is>
          <t>open</t>
        </is>
      </c>
      <c r="J101" s="22" t="inlineStr">
        <is>
          <t>e6ea3ffafdeecaf3537b16804db0d920bc1b9025939b1b3aecfc325eee6f4cc0</t>
        </is>
      </c>
      <c r="K101" s="21" t="inlineStr">
        <is>
          <t>open</t>
        </is>
      </c>
      <c r="L101" s="22" t="inlineStr">
        <is>
          <t>0d4a954c3822742c23d2cd956a0e2bb773d0c77fbc1918294401df6dcb6cd6fe</t>
        </is>
      </c>
      <c r="M101" s="4" t="inlineStr">
        <is>
          <t>2026-09-23T14:24:42.081Z</t>
        </is>
      </c>
    </row>
    <row r="102">
      <c r="A102" s="4" t="inlineStr">
        <is>
          <t>SOL → BSC</t>
        </is>
      </c>
      <c r="B102" s="4" t="n">
        <v>2</v>
      </c>
      <c r="C102" s="4" t="inlineStr">
        <is>
          <t>Relay</t>
        </is>
      </c>
      <c r="D102" s="4" t="inlineStr">
        <is>
          <t>2026-09-23T14:24:12.907Z</t>
        </is>
      </c>
      <c r="E102" s="4" t="inlineStr">
        <is>
          <t>2026-09-23T14:24:15.029Z</t>
        </is>
      </c>
      <c r="F102" s="4" t="inlineStr">
        <is>
          <t>2026-09-23T14:24:42.096Z</t>
        </is>
      </c>
      <c r="G102" s="20" t="n">
        <v>0.001</v>
      </c>
      <c r="H102" s="19" t="n">
        <v>99.64081400000001</v>
      </c>
      <c r="I102" s="21" t="inlineStr">
        <is>
          <t>open</t>
        </is>
      </c>
      <c r="J102" s="22" t="inlineStr">
        <is>
          <t>069586ecaf959f4178e337e49a67f1b7395ed77fa13cb2b11283809e92584722</t>
        </is>
      </c>
      <c r="K102" s="21" t="inlineStr">
        <is>
          <t>open</t>
        </is>
      </c>
      <c r="L102" s="22" t="inlineStr">
        <is>
          <t>f94deb23f0b18bf6adf4251dabccce3afa83fc9d49c2942040e0caa24b49b1e0</t>
        </is>
      </c>
      <c r="M102" s="4" t="inlineStr">
        <is>
          <t>2026-09-23T14:24:42.080Z</t>
        </is>
      </c>
    </row>
    <row r="103">
      <c r="A103" s="4" t="inlineStr">
        <is>
          <t>SOL → BSC</t>
        </is>
      </c>
      <c r="B103" s="4" t="n">
        <v>2</v>
      </c>
      <c r="C103" s="4" t="inlineStr">
        <is>
          <t>deBridge</t>
        </is>
      </c>
      <c r="D103" s="4" t="inlineStr">
        <is>
          <t>2026-09-23T14:24:12.906Z</t>
        </is>
      </c>
      <c r="E103" s="4" t="inlineStr">
        <is>
          <t>2026-09-23T14:24:15.031Z</t>
        </is>
      </c>
      <c r="F103" s="4" t="inlineStr">
        <is>
          <t>2026-09-23T14:24:42.097Z</t>
        </is>
      </c>
      <c r="G103" s="20" t="n">
        <v>0.001</v>
      </c>
      <c r="H103" s="19" t="n">
        <v>99.92001500000001</v>
      </c>
      <c r="I103" s="21" t="inlineStr">
        <is>
          <t>open</t>
        </is>
      </c>
      <c r="J103" s="22" t="inlineStr">
        <is>
          <t>cbcb0920d8e9d3f04619581d6b67a67a8cc5c1f23291b900bc5b9b66f25d7cca</t>
        </is>
      </c>
      <c r="K103" s="21" t="inlineStr">
        <is>
          <t>open</t>
        </is>
      </c>
      <c r="L103" s="22" t="inlineStr">
        <is>
          <t>1d4b1a631a706edf37527b4384648b1e26c5b0c68ff446391aadb1d6c0ec08a8</t>
        </is>
      </c>
      <c r="M103" s="4" t="inlineStr">
        <is>
          <t>2026-09-23T14:24:42.080Z</t>
        </is>
      </c>
    </row>
    <row r="104">
      <c r="A104" s="4" t="inlineStr">
        <is>
          <t>SOL → BSC</t>
        </is>
      </c>
      <c r="B104" s="4" t="n">
        <v>2</v>
      </c>
      <c r="C104" s="4" t="inlineStr">
        <is>
          <t>LI.FI (Jumper)</t>
        </is>
      </c>
      <c r="D104" s="4" t="inlineStr">
        <is>
          <t>2026-09-23T14:24:12.910Z</t>
        </is>
      </c>
      <c r="E104" s="4" t="inlineStr">
        <is>
          <t>2026-09-23T14:24:39.934Z</t>
        </is>
      </c>
      <c r="F104" s="4" t="inlineStr">
        <is>
          <t>2026-09-23T14:24:42.083Z</t>
        </is>
      </c>
      <c r="G104" s="20" t="n">
        <v>0.004</v>
      </c>
      <c r="H104" s="19" t="n">
        <v>99.93159</v>
      </c>
      <c r="I104" s="21" t="inlineStr">
        <is>
          <t>open</t>
        </is>
      </c>
      <c r="J104" s="22" t="inlineStr">
        <is>
          <t>7e6212299e84a35d3f0d816d4d921d6a5c44bad5da5f458217869b32fef26d27</t>
        </is>
      </c>
      <c r="K104" s="21" t="inlineStr">
        <is>
          <t>open</t>
        </is>
      </c>
      <c r="L104" s="22" t="inlineStr">
        <is>
          <t>ee35d09cec6725e9f8d656923266415aa3e5ad0841e2cd6efb36471be7f98077</t>
        </is>
      </c>
      <c r="M104" s="4" t="inlineStr">
        <is>
          <t>2026-09-23T14:24:42.077Z</t>
        </is>
      </c>
    </row>
    <row r="105">
      <c r="A105" s="4" t="inlineStr">
        <is>
          <t>SOL → BSC</t>
        </is>
      </c>
      <c r="B105" s="4" t="n">
        <v>2</v>
      </c>
      <c r="C105" s="4" t="inlineStr">
        <is>
          <t>Across</t>
        </is>
      </c>
      <c r="D105" s="4" t="inlineStr">
        <is>
          <t>2026-09-23T14:24:12.906Z</t>
        </is>
      </c>
      <c r="E105" s="4" t="inlineStr">
        <is>
          <t>2026-09-23T14:24:14.756Z</t>
        </is>
      </c>
      <c r="F105" s="4" t="inlineStr">
        <is>
          <t>2026-09-23T14:24:42.085Z</t>
        </is>
      </c>
      <c r="G105" s="20" t="n">
        <v>0.002</v>
      </c>
      <c r="H105" s="19" t="n">
        <v>99.982214</v>
      </c>
      <c r="I105" s="21" t="inlineStr">
        <is>
          <t>open</t>
        </is>
      </c>
      <c r="J105" s="22" t="inlineStr">
        <is>
          <t>58f0e2c212a37bd746d8686cf0d56fb8200a035ded2b813d39fb703f92c77fe7</t>
        </is>
      </c>
      <c r="K105" s="21" t="inlineStr">
        <is>
          <t>open</t>
        </is>
      </c>
      <c r="L105" s="22" t="inlineStr">
        <is>
          <t>ec469d4451c4ad04c5614f091f8bc47850078ef2adcf542a549efedbe2ad09dc</t>
        </is>
      </c>
      <c r="M105" s="4" t="inlineStr">
        <is>
          <t>2026-09-23T14:24:42.079Z</t>
        </is>
      </c>
    </row>
    <row r="106">
      <c r="A106" s="4" t="inlineStr">
        <is>
          <t>SOL → BSC</t>
        </is>
      </c>
      <c r="B106" s="4" t="n">
        <v>2</v>
      </c>
      <c r="C106" s="4" t="inlineStr">
        <is>
          <t>Mayan</t>
        </is>
      </c>
      <c r="D106" s="4" t="inlineStr">
        <is>
          <t>2026-09-23T14:24:12.905Z</t>
        </is>
      </c>
      <c r="E106" s="4" t="inlineStr">
        <is>
          <t>2026-09-23T14:24:14.406Z</t>
        </is>
      </c>
      <c r="F106" s="4" t="inlineStr">
        <is>
          <t>2026-09-23T14:24:42.084Z</t>
        </is>
      </c>
      <c r="G106" s="20" t="n">
        <v>0.002</v>
      </c>
      <c r="H106" s="19" t="n">
        <v>99.931</v>
      </c>
      <c r="I106" s="21" t="inlineStr">
        <is>
          <t>open</t>
        </is>
      </c>
      <c r="J106" s="22" t="inlineStr">
        <is>
          <t>a02c86867b29c19e85582e3723303f2f85ebedee30624eeab7b598938e3ef5de</t>
        </is>
      </c>
      <c r="K106" s="21" t="inlineStr">
        <is>
          <t>open</t>
        </is>
      </c>
      <c r="L106" s="22" t="inlineStr">
        <is>
          <t>41a698e2cce0c2a548460145b34a3ceda74cd34370bd9ec54691479cb21e1c52</t>
        </is>
      </c>
      <c r="M106" s="4" t="inlineStr">
        <is>
          <t>2026-09-23T14:24:42.079Z</t>
        </is>
      </c>
    </row>
    <row r="107">
      <c r="A107" s="4" t="inlineStr">
        <is>
          <t>SOL → BSC</t>
        </is>
      </c>
      <c r="B107" s="4" t="n">
        <v>2</v>
      </c>
      <c r="C107" s="4" t="inlineStr">
        <is>
          <t>Husher</t>
        </is>
      </c>
      <c r="D107" s="4" t="inlineStr">
        <is>
          <t>2026-09-23T14:24:12.919Z</t>
        </is>
      </c>
      <c r="E107" s="4" t="inlineStr">
        <is>
          <t>2026-09-23T14:24:14.160Z</t>
        </is>
      </c>
      <c r="F107" s="4" t="inlineStr">
        <is>
          <t>2026-09-23T14:24:42.094Z</t>
        </is>
      </c>
      <c r="G107" s="20" t="n">
        <v>0.003</v>
      </c>
      <c r="H107" s="19" t="n">
        <v>99.65000000000001</v>
      </c>
      <c r="I107" s="21" t="inlineStr">
        <is>
          <t>open</t>
        </is>
      </c>
      <c r="J107" s="22" t="inlineStr">
        <is>
          <t>3ef99372ec84a7793d7548927614744761c9689a90286bfdb8e46cfc77e021d1</t>
        </is>
      </c>
      <c r="K107" s="21" t="inlineStr">
        <is>
          <t>open</t>
        </is>
      </c>
      <c r="L107" s="22" t="inlineStr">
        <is>
          <t>b3e9d814173bdda809e1003a2895c88a91df676cb241b8ad11beaa1d2206bdbb</t>
        </is>
      </c>
      <c r="M107" s="4" t="inlineStr">
        <is>
          <t>2026-09-23T14:24:42.078Z</t>
        </is>
      </c>
    </row>
    <row r="108">
      <c r="A108" s="4" t="inlineStr">
        <is>
          <t>SOL → BSC</t>
        </is>
      </c>
      <c r="B108" s="4" t="n">
        <v>2</v>
      </c>
      <c r="C108" s="4" t="inlineStr">
        <is>
          <t>Layerswap</t>
        </is>
      </c>
      <c r="D108" s="4" t="inlineStr">
        <is>
          <t>2026-09-23T14:24:12.906Z</t>
        </is>
      </c>
      <c r="E108" s="4" t="inlineStr">
        <is>
          <t>2026-09-23T14:24:15.415Z</t>
        </is>
      </c>
      <c r="F108" s="4" t="inlineStr">
        <is>
          <t>2026-09-23T14:24:42.098Z</t>
        </is>
      </c>
      <c r="G108" s="20" t="n">
        <v>0</v>
      </c>
      <c r="H108" s="19" t="n">
        <v>99.863123</v>
      </c>
      <c r="I108" s="21" t="inlineStr">
        <is>
          <t>open</t>
        </is>
      </c>
      <c r="J108" s="22" t="inlineStr">
        <is>
          <t>ad0257ff76271d57698ad7effd3f251f5458a58a59c86a4c9ee65f3ffbf14771</t>
        </is>
      </c>
      <c r="K108" s="21" t="inlineStr">
        <is>
          <t>open</t>
        </is>
      </c>
      <c r="L108" s="22" t="inlineStr">
        <is>
          <t>25124d90316a1e99b464cc34f719363f7fcc477418adab16e366c447289d3dce</t>
        </is>
      </c>
      <c r="M108" s="4" t="inlineStr">
        <is>
          <t>2026-09-23T14:24:42.081Z</t>
        </is>
      </c>
    </row>
    <row r="109">
      <c r="A109" s="4" t="inlineStr">
        <is>
          <t>SOL → BSC</t>
        </is>
      </c>
      <c r="B109" s="4" t="n">
        <v>2</v>
      </c>
      <c r="C109" s="4" t="inlineStr">
        <is>
          <t>Meson</t>
        </is>
      </c>
      <c r="D109" s="4" t="inlineStr">
        <is>
          <t>2026-09-23T14:24:12.919Z</t>
        </is>
      </c>
      <c r="E109" s="4" t="inlineStr">
        <is>
          <t>2026-09-23T14:24:13.695Z</t>
        </is>
      </c>
      <c r="F109" s="4" t="inlineStr">
        <is>
          <t>2026-09-23T14:24:42.087Z</t>
        </is>
      </c>
      <c r="G109" s="20" t="n">
        <v>0.003</v>
      </c>
      <c r="H109" s="19" t="n">
        <v>99.88</v>
      </c>
      <c r="I109" s="21" t="inlineStr">
        <is>
          <t>open</t>
        </is>
      </c>
      <c r="J109" s="22" t="inlineStr">
        <is>
          <t>2d479397d6044efd6fbab19e25b0022342b075c7694603002b6920af77eb5244</t>
        </is>
      </c>
      <c r="K109" s="21" t="inlineStr">
        <is>
          <t>open</t>
        </is>
      </c>
      <c r="L109" s="22" t="inlineStr">
        <is>
          <t>36deb8d5ab82085517bf050df1068742016408bec7bb4eb0eb6966b1d1f33db4</t>
        </is>
      </c>
      <c r="M109" s="4" t="inlineStr">
        <is>
          <t>2026-09-23T14:24:42.078Z</t>
        </is>
      </c>
    </row>
    <row r="110">
      <c r="A110" s="4" t="inlineStr">
        <is>
          <t>SOL → BSC</t>
        </is>
      </c>
      <c r="B110" s="4" t="n">
        <v>2</v>
      </c>
      <c r="C110" s="4" t="inlineStr">
        <is>
          <t>SimpleSwap</t>
        </is>
      </c>
      <c r="D110" s="4" t="inlineStr">
        <is>
          <t>2026-09-23T14:24:12.920Z</t>
        </is>
      </c>
      <c r="E110" s="4" t="inlineStr">
        <is>
          <t>2026-09-23T14:24:15.553Z</t>
        </is>
      </c>
      <c r="F110" s="4" t="inlineStr">
        <is>
          <t>2026-09-23T14:24:42.178Z</t>
        </is>
      </c>
      <c r="G110" s="20" t="n">
        <v>0.001</v>
      </c>
      <c r="H110" s="19" t="n">
        <v>98.139</v>
      </c>
      <c r="I110" s="21" t="inlineStr">
        <is>
          <t>open</t>
        </is>
      </c>
      <c r="J110" s="22" t="inlineStr">
        <is>
          <t>a3061d92c805869c3ae9fc1b35d2b8e34bd6cea9f466391d84a5f8007c0e348f</t>
        </is>
      </c>
      <c r="K110" s="21" t="inlineStr">
        <is>
          <t>open</t>
        </is>
      </c>
      <c r="L110" s="22" t="inlineStr">
        <is>
          <t>25c6185ff445f9f1f21e94817e0b1d9a75f03f5fb23d5e6163d1f118b5ed6c2d</t>
        </is>
      </c>
      <c r="M110" s="4" t="inlineStr">
        <is>
          <t>2026-09-23T14:24:42.082Z</t>
        </is>
      </c>
    </row>
    <row r="111">
      <c r="A111" s="4" t="inlineStr">
        <is>
          <t>SOL → BSC</t>
        </is>
      </c>
      <c r="B111" s="4" t="n">
        <v>3</v>
      </c>
      <c r="C111" s="4" t="inlineStr">
        <is>
          <t>Bridg</t>
        </is>
      </c>
      <c r="D111" s="4" t="inlineStr">
        <is>
          <t>2026-09-23T14:27:54.703Z</t>
        </is>
      </c>
      <c r="E111" s="4" t="inlineStr">
        <is>
          <t>2026-09-23T14:27:55.879Z</t>
        </is>
      </c>
      <c r="F111" s="4" t="inlineStr">
        <is>
          <t>2026-09-23T14:28:40.111Z</t>
        </is>
      </c>
      <c r="G111" s="20" t="n"/>
      <c r="H111" s="19" t="n">
        <v>99.87003799999999</v>
      </c>
      <c r="I111" s="21" t="inlineStr">
        <is>
          <t>open</t>
        </is>
      </c>
      <c r="J111" s="22" t="inlineStr">
        <is>
          <t>1d41f9af41c7f8c7f492e42cfcc6f4ccb7c6263ed48e0578b11fa7ce9717995b</t>
        </is>
      </c>
      <c r="K111" s="21" t="inlineStr">
        <is>
          <t>open</t>
        </is>
      </c>
      <c r="L111" s="22" t="inlineStr">
        <is>
          <t>9c54c0a361581c0e34943481bb8d65c4ea976bc111501dfa0d3f15d434ca0089</t>
        </is>
      </c>
      <c r="M111" s="4" t="inlineStr">
        <is>
          <t>2026-09-23T14:28:40.088Z</t>
        </is>
      </c>
    </row>
    <row r="112">
      <c r="A112" s="4" t="inlineStr">
        <is>
          <t>SOL → BSC</t>
        </is>
      </c>
      <c r="B112" s="4" t="n">
        <v>3</v>
      </c>
      <c r="C112" s="4" t="inlineStr">
        <is>
          <t>Relay</t>
        </is>
      </c>
      <c r="D112" s="4" t="inlineStr">
        <is>
          <t>2026-09-23T14:27:54.702Z</t>
        </is>
      </c>
      <c r="E112" s="4" t="inlineStr">
        <is>
          <t>2026-09-23T14:27:56.685Z</t>
        </is>
      </c>
      <c r="F112" s="4" t="inlineStr">
        <is>
          <t>2026-09-23T14:28:40.108Z</t>
        </is>
      </c>
      <c r="G112" s="20" t="n">
        <v>0.001</v>
      </c>
      <c r="H112" s="19" t="n">
        <v>99.63692</v>
      </c>
      <c r="I112" s="21" t="inlineStr">
        <is>
          <t>open</t>
        </is>
      </c>
      <c r="J112" s="22" t="inlineStr">
        <is>
          <t>87e41c044ed8c312ac00759b1237c2c64aa188e0085cf9a4b39f2aa156c75d1b</t>
        </is>
      </c>
      <c r="K112" s="21" t="inlineStr">
        <is>
          <t>open</t>
        </is>
      </c>
      <c r="L112" s="22" t="inlineStr">
        <is>
          <t>e1b4deb37ae29b98415655fe5e5a50514ef170ad38cd7ebb536ddb0058e93996</t>
        </is>
      </c>
      <c r="M112" s="4" t="inlineStr">
        <is>
          <t>2026-09-23T14:28:40.087Z</t>
        </is>
      </c>
    </row>
    <row r="113">
      <c r="A113" s="4" t="inlineStr">
        <is>
          <t>SOL → BSC</t>
        </is>
      </c>
      <c r="B113" s="4" t="n">
        <v>3</v>
      </c>
      <c r="C113" s="4" t="inlineStr">
        <is>
          <t>deBridge</t>
        </is>
      </c>
      <c r="D113" s="4" t="inlineStr">
        <is>
          <t>2026-09-23T14:27:54.705Z</t>
        </is>
      </c>
      <c r="E113" s="4" t="inlineStr">
        <is>
          <t>2026-09-23T14:27:56.433Z</t>
        </is>
      </c>
      <c r="F113" s="4" t="inlineStr">
        <is>
          <t>2026-09-23T14:28:40.102Z</t>
        </is>
      </c>
      <c r="G113" s="20" t="n">
        <v>0.002</v>
      </c>
      <c r="H113" s="19" t="n">
        <v>99.920016</v>
      </c>
      <c r="I113" s="21" t="inlineStr">
        <is>
          <t>open</t>
        </is>
      </c>
      <c r="J113" s="22" t="inlineStr">
        <is>
          <t>8a43d22d9295a9ddacfd127fe8218d7e4e300da57198e036152fcd6849ce43aa</t>
        </is>
      </c>
      <c r="K113" s="21" t="inlineStr">
        <is>
          <t>open</t>
        </is>
      </c>
      <c r="L113" s="22" t="inlineStr">
        <is>
          <t>77a90fb2f0d9671fe0138b25280a4908dc64ba21b0d7f42018ffc15f0d58333f</t>
        </is>
      </c>
      <c r="M113" s="4" t="inlineStr">
        <is>
          <t>2026-09-23T14:28:40.086Z</t>
        </is>
      </c>
    </row>
    <row r="114">
      <c r="A114" s="4" t="inlineStr">
        <is>
          <t>SOL → BSC</t>
        </is>
      </c>
      <c r="B114" s="4" t="n">
        <v>3</v>
      </c>
      <c r="C114" s="4" t="inlineStr">
        <is>
          <t>LI.FI (Jumper)</t>
        </is>
      </c>
      <c r="D114" s="4" t="inlineStr">
        <is>
          <t>2026-09-23T14:27:54.706Z</t>
        </is>
      </c>
      <c r="E114" s="4" t="inlineStr">
        <is>
          <t>2026-09-23T14:27:58.644Z</t>
        </is>
      </c>
      <c r="F114" s="4" t="inlineStr">
        <is>
          <t>2026-09-23T14:28:40.100Z</t>
        </is>
      </c>
      <c r="G114" s="20" t="n">
        <v>0.003</v>
      </c>
      <c r="H114" s="19" t="n">
        <v>99.93159900000001</v>
      </c>
      <c r="I114" s="21" t="inlineStr">
        <is>
          <t>open</t>
        </is>
      </c>
      <c r="J114" s="22" t="inlineStr">
        <is>
          <t>2fb7b2a8ff755f8308ac9187bf562eb9aa62cbe57faac75b9a877495fd5b1cca</t>
        </is>
      </c>
      <c r="K114" s="21" t="inlineStr">
        <is>
          <t>open</t>
        </is>
      </c>
      <c r="L114" s="22" t="inlineStr">
        <is>
          <t>514d06f5a9d51d56d5cda8c95a10eed81cf39b670963aa8984638fd244fa8fe7</t>
        </is>
      </c>
      <c r="M114" s="4" t="inlineStr">
        <is>
          <t>2026-09-23T14:28:40.091Z</t>
        </is>
      </c>
    </row>
    <row r="115">
      <c r="A115" s="4" t="inlineStr">
        <is>
          <t>SOL → BSC</t>
        </is>
      </c>
      <c r="B115" s="4" t="n">
        <v>3</v>
      </c>
      <c r="C115" s="4" t="inlineStr">
        <is>
          <t>Across</t>
        </is>
      </c>
      <c r="D115" s="4" t="inlineStr">
        <is>
          <t>2026-09-23T14:27:54.702Z</t>
        </is>
      </c>
      <c r="E115" s="4" t="inlineStr">
        <is>
          <t>2026-09-23T14:27:56.182Z</t>
        </is>
      </c>
      <c r="F115" s="4" t="inlineStr">
        <is>
          <t>2026-09-23T14:28:40.095Z</t>
        </is>
      </c>
      <c r="G115" s="20" t="n">
        <v>0.003</v>
      </c>
      <c r="H115" s="19" t="n">
        <v>99.972498</v>
      </c>
      <c r="I115" s="21" t="inlineStr">
        <is>
          <t>open</t>
        </is>
      </c>
      <c r="J115" s="22" t="inlineStr">
        <is>
          <t>f81785b76f14e0be1a312d3508c6db69844a7741b985cbaaa5e5f31fb604d747</t>
        </is>
      </c>
      <c r="K115" s="21" t="inlineStr">
        <is>
          <t>open</t>
        </is>
      </c>
      <c r="L115" s="22" t="inlineStr">
        <is>
          <t>f4bac09691f427be4257aefc837136155ad7aba948e4c4ed48345b1f4f75fb45</t>
        </is>
      </c>
      <c r="M115" s="4" t="inlineStr">
        <is>
          <t>2026-09-23T14:28:40.085Z</t>
        </is>
      </c>
    </row>
    <row r="116">
      <c r="A116" s="4" t="inlineStr">
        <is>
          <t>SOL → BSC</t>
        </is>
      </c>
      <c r="B116" s="4" t="n">
        <v>3</v>
      </c>
      <c r="C116" s="4" t="inlineStr">
        <is>
          <t>Mayan</t>
        </is>
      </c>
      <c r="D116" s="4" t="inlineStr">
        <is>
          <t>2026-09-23T14:27:54.701Z</t>
        </is>
      </c>
      <c r="E116" s="4" t="inlineStr">
        <is>
          <t>2026-09-23T14:27:55.940Z</t>
        </is>
      </c>
      <c r="F116" s="4" t="inlineStr">
        <is>
          <t>2026-09-23T14:28:40.093Z</t>
        </is>
      </c>
      <c r="G116" s="20" t="n">
        <v>0.004</v>
      </c>
      <c r="H116" s="19" t="n">
        <v>99.931</v>
      </c>
      <c r="I116" s="21" t="inlineStr">
        <is>
          <t>open</t>
        </is>
      </c>
      <c r="J116" s="22" t="inlineStr">
        <is>
          <t>1f7738a92eb399d2f376331d165d570baac70ddfc324f86073c4f3f3bbb3a4ce</t>
        </is>
      </c>
      <c r="K116" s="21" t="inlineStr">
        <is>
          <t>open</t>
        </is>
      </c>
      <c r="L116" s="22" t="inlineStr">
        <is>
          <t>d47d9c2ce2db5db9f1a096dbd60ed4d1c0cb9bd01c75ba013a8b4fff54cae646</t>
        </is>
      </c>
      <c r="M116" s="4" t="inlineStr">
        <is>
          <t>2026-09-23T14:28:40.084Z</t>
        </is>
      </c>
    </row>
    <row r="117">
      <c r="A117" s="4" t="inlineStr">
        <is>
          <t>SOL → BSC</t>
        </is>
      </c>
      <c r="B117" s="4" t="n">
        <v>3</v>
      </c>
      <c r="C117" s="4" t="inlineStr">
        <is>
          <t>Husher</t>
        </is>
      </c>
      <c r="D117" s="4" t="inlineStr">
        <is>
          <t>2026-09-23T14:27:54.706Z</t>
        </is>
      </c>
      <c r="E117" s="4" t="inlineStr">
        <is>
          <t>2026-09-23T14:27:56.131Z</t>
        </is>
      </c>
      <c r="F117" s="4" t="inlineStr">
        <is>
          <t>2026-09-23T14:28:40.107Z</t>
        </is>
      </c>
      <c r="G117" s="20" t="n">
        <v>0.004</v>
      </c>
      <c r="H117" s="19" t="n">
        <v>99.65000000000001</v>
      </c>
      <c r="I117" s="21" t="inlineStr">
        <is>
          <t>open</t>
        </is>
      </c>
      <c r="J117" s="22" t="inlineStr">
        <is>
          <t>c92fd22f40442e0a28876fda9d120294ac12d6ae641ec86b2402b01e048f903d</t>
        </is>
      </c>
      <c r="K117" s="21" t="inlineStr">
        <is>
          <t>open</t>
        </is>
      </c>
      <c r="L117" s="22" t="inlineStr">
        <is>
          <t>2f7be1c7bf005af2b5ae61b9456d032a582c2ed3028072efa72c6094866cfdd5</t>
        </is>
      </c>
      <c r="M117" s="4" t="inlineStr">
        <is>
          <t>2026-09-23T14:28:40.084Z</t>
        </is>
      </c>
    </row>
    <row r="118">
      <c r="A118" s="4" t="inlineStr">
        <is>
          <t>SOL → BSC</t>
        </is>
      </c>
      <c r="B118" s="4" t="n">
        <v>3</v>
      </c>
      <c r="C118" s="4" t="inlineStr">
        <is>
          <t>Layerswap</t>
        </is>
      </c>
      <c r="D118" s="4" t="inlineStr">
        <is>
          <t>2026-09-23T14:27:54.702Z</t>
        </is>
      </c>
      <c r="E118" s="4" t="inlineStr">
        <is>
          <t>2026-09-23T14:27:57.075Z</t>
        </is>
      </c>
      <c r="F118" s="4" t="inlineStr">
        <is>
          <t>2026-09-23T14:28:40.109Z</t>
        </is>
      </c>
      <c r="G118" s="20" t="n">
        <v>0.002</v>
      </c>
      <c r="H118" s="19" t="n">
        <v>99.86312700000001</v>
      </c>
      <c r="I118" s="21" t="inlineStr">
        <is>
          <t>open</t>
        </is>
      </c>
      <c r="J118" s="22" t="inlineStr">
        <is>
          <t>d035811cf2c43a49123950744a1db374b30b3a98c23fe067211caa3f29c07a4b</t>
        </is>
      </c>
      <c r="K118" s="21" t="inlineStr">
        <is>
          <t>open</t>
        </is>
      </c>
      <c r="L118" s="22" t="inlineStr">
        <is>
          <t>53b894876debd35ed93f41f9c805db02bee82c151c7c64da2c8712009f2bf51d</t>
        </is>
      </c>
      <c r="M118" s="4" t="inlineStr">
        <is>
          <t>2026-09-23T14:28:40.090Z</t>
        </is>
      </c>
    </row>
    <row r="119">
      <c r="A119" s="4" t="inlineStr">
        <is>
          <t>SOL → BSC</t>
        </is>
      </c>
      <c r="B119" s="4" t="n">
        <v>3</v>
      </c>
      <c r="C119" s="4" t="inlineStr">
        <is>
          <t>Meson</t>
        </is>
      </c>
      <c r="D119" s="4" t="inlineStr">
        <is>
          <t>2026-09-23T14:27:54.707Z</t>
        </is>
      </c>
      <c r="E119" s="4" t="inlineStr">
        <is>
          <t>2026-09-23T14:27:55.142Z</t>
        </is>
      </c>
      <c r="F119" s="4" t="inlineStr">
        <is>
          <t>2026-09-23T14:28:40.097Z</t>
        </is>
      </c>
      <c r="G119" s="20" t="n">
        <v>0.005</v>
      </c>
      <c r="H119" s="19" t="n">
        <v>99.88</v>
      </c>
      <c r="I119" s="21" t="inlineStr">
        <is>
          <t>open</t>
        </is>
      </c>
      <c r="J119" s="22" t="inlineStr">
        <is>
          <t>2d479397d6044efd6fbab19e25b0022342b075c7694603002b6920af77eb5244</t>
        </is>
      </c>
      <c r="K119" s="21" t="inlineStr">
        <is>
          <t>open</t>
        </is>
      </c>
      <c r="L119" s="22" t="inlineStr">
        <is>
          <t>825e8ee708f84314efeec36abd475776760467ffe0f2569939c95dbe637dde3d</t>
        </is>
      </c>
      <c r="M119" s="4" t="inlineStr">
        <is>
          <t>2026-09-23T14:28:40.083Z</t>
        </is>
      </c>
    </row>
    <row r="120">
      <c r="A120" s="4" t="inlineStr">
        <is>
          <t>BSC → SOL</t>
        </is>
      </c>
      <c r="B120" s="4" t="n">
        <v>1</v>
      </c>
      <c r="C120" s="4" t="inlineStr">
        <is>
          <t>Bridg</t>
        </is>
      </c>
      <c r="D120" s="4" t="inlineStr">
        <is>
          <t>2026-09-23T14:20:23.792Z</t>
        </is>
      </c>
      <c r="E120" s="4" t="inlineStr">
        <is>
          <t>2026-09-23T14:20:25.034Z</t>
        </is>
      </c>
      <c r="F120" s="4" t="inlineStr">
        <is>
          <t>2026-09-23T14:20:29.494Z</t>
        </is>
      </c>
      <c r="G120" s="20" t="n"/>
      <c r="H120" s="19" t="n">
        <v>99.64047100000001</v>
      </c>
      <c r="I120" s="21" t="inlineStr">
        <is>
          <t>open</t>
        </is>
      </c>
      <c r="J120" s="22" t="inlineStr">
        <is>
          <t>151e5dd36aea2d6220bcbd469e69304beeb8fe1c3058f2aac70a3b7178e89861</t>
        </is>
      </c>
      <c r="K120" s="21" t="inlineStr">
        <is>
          <t>open</t>
        </is>
      </c>
      <c r="L120" s="22" t="inlineStr">
        <is>
          <t>299aac9731846fec0f33a61c2b30dfa97b09e2c972294b6c8c7ccd3b1fe21838</t>
        </is>
      </c>
      <c r="M120" s="4" t="inlineStr">
        <is>
          <t>2026-09-23T14:20:29.480Z</t>
        </is>
      </c>
    </row>
    <row r="121">
      <c r="A121" s="4" t="inlineStr">
        <is>
          <t>BSC → SOL</t>
        </is>
      </c>
      <c r="B121" s="4" t="n">
        <v>1</v>
      </c>
      <c r="C121" s="4" t="inlineStr">
        <is>
          <t>Relay</t>
        </is>
      </c>
      <c r="D121" s="4" t="inlineStr">
        <is>
          <t>2026-09-23T14:20:23.791Z</t>
        </is>
      </c>
      <c r="E121" s="4" t="inlineStr">
        <is>
          <t>2026-09-23T14:20:25.793Z</t>
        </is>
      </c>
      <c r="F121" s="4" t="inlineStr">
        <is>
          <t>2026-09-23T14:20:29.496Z</t>
        </is>
      </c>
      <c r="G121" s="20" t="n">
        <v>0.002</v>
      </c>
      <c r="H121" s="19" t="n">
        <v>99.885705</v>
      </c>
      <c r="I121" s="21" t="inlineStr">
        <is>
          <t>open</t>
        </is>
      </c>
      <c r="J121" s="22" t="inlineStr">
        <is>
          <t>7dd96b7ad18a780a1db294c95a2018794fd3ba0387bf373c597701c373dc648b</t>
        </is>
      </c>
      <c r="K121" s="21" t="inlineStr">
        <is>
          <t>open</t>
        </is>
      </c>
      <c r="L121" s="22" t="inlineStr">
        <is>
          <t>27e952de5a66420a13549366b0ff41df0ab62197643a08866557f54361061c74</t>
        </is>
      </c>
      <c r="M121" s="4" t="inlineStr">
        <is>
          <t>2026-09-23T14:20:29.482Z</t>
        </is>
      </c>
    </row>
    <row r="122">
      <c r="A122" s="4" t="inlineStr">
        <is>
          <t>BSC → SOL</t>
        </is>
      </c>
      <c r="B122" s="4" t="n">
        <v>1</v>
      </c>
      <c r="C122" s="4" t="inlineStr">
        <is>
          <t>deBridge</t>
        </is>
      </c>
      <c r="D122" s="4" t="inlineStr">
        <is>
          <t>2026-09-23T14:20:23.792Z</t>
        </is>
      </c>
      <c r="E122" s="4" t="inlineStr">
        <is>
          <t>2026-09-23T14:20:26.058Z</t>
        </is>
      </c>
      <c r="F122" s="4" t="inlineStr">
        <is>
          <t>2026-09-23T14:20:29.497Z</t>
        </is>
      </c>
      <c r="G122" s="20" t="n">
        <v>0.002</v>
      </c>
      <c r="H122" s="19" t="n">
        <v>99.920017</v>
      </c>
      <c r="I122" s="21" t="inlineStr">
        <is>
          <t>open</t>
        </is>
      </c>
      <c r="J122" s="22" t="inlineStr">
        <is>
          <t>0261404934e31df17a3932321feb6d2477569f620236ee63da86448a29c9f6e4</t>
        </is>
      </c>
      <c r="K122" s="21" t="inlineStr">
        <is>
          <t>open</t>
        </is>
      </c>
      <c r="L122" s="22" t="inlineStr">
        <is>
          <t>9603441b18dc19143112b6c39eb398d05875084423e5243c85ee860bb5189829</t>
        </is>
      </c>
      <c r="M122" s="4" t="inlineStr">
        <is>
          <t>2026-09-23T14:20:29.482Z</t>
        </is>
      </c>
    </row>
    <row r="123">
      <c r="A123" s="4" t="inlineStr">
        <is>
          <t>BSC → SOL</t>
        </is>
      </c>
      <c r="B123" s="4" t="n">
        <v>1</v>
      </c>
      <c r="C123" s="4" t="inlineStr">
        <is>
          <t>LI.FI (Jumper)</t>
        </is>
      </c>
      <c r="D123" s="4" t="inlineStr">
        <is>
          <t>2026-09-23T14:20:23.793Z</t>
        </is>
      </c>
      <c r="E123" s="4" t="inlineStr">
        <is>
          <t>2026-09-23T14:20:26.598Z</t>
        </is>
      </c>
      <c r="F123" s="4" t="inlineStr">
        <is>
          <t>2026-09-23T14:20:29.490Z</t>
        </is>
      </c>
      <c r="G123" s="20" t="n">
        <v>0.004</v>
      </c>
      <c r="H123" s="19" t="n">
        <v>99.885705</v>
      </c>
      <c r="I123" s="21" t="inlineStr">
        <is>
          <t>open</t>
        </is>
      </c>
      <c r="J123" s="22" t="inlineStr">
        <is>
          <t>1138b2b6c5a002c8fe2b9f512c2d3b5e06fc5291def8c6d1933fb46d5d8366be</t>
        </is>
      </c>
      <c r="K123" s="21" t="inlineStr">
        <is>
          <t>open</t>
        </is>
      </c>
      <c r="L123" s="22" t="inlineStr">
        <is>
          <t>6e6e8bc465faf9a866e185e5cf1f923492b1214d48755e01e69b61e534adfd5a</t>
        </is>
      </c>
      <c r="M123" s="4" t="inlineStr">
        <is>
          <t>2026-09-23T14:20:29.484Z</t>
        </is>
      </c>
    </row>
    <row r="124">
      <c r="A124" s="4" t="inlineStr">
        <is>
          <t>BSC → SOL</t>
        </is>
      </c>
      <c r="B124" s="4" t="n">
        <v>1</v>
      </c>
      <c r="C124" s="4" t="inlineStr">
        <is>
          <t>Across</t>
        </is>
      </c>
      <c r="D124" s="4" t="inlineStr">
        <is>
          <t>2026-09-23T14:20:23.791Z</t>
        </is>
      </c>
      <c r="E124" s="4" t="inlineStr">
        <is>
          <t>2026-09-23T14:20:25.098Z</t>
        </is>
      </c>
      <c r="F124" s="4" t="inlineStr">
        <is>
          <t>2026-09-23T14:20:29.487Z</t>
        </is>
      </c>
      <c r="G124" s="20" t="n">
        <v>0.001</v>
      </c>
      <c r="H124" s="19" t="n">
        <v>99.981745</v>
      </c>
      <c r="I124" s="21" t="inlineStr">
        <is>
          <t>open</t>
        </is>
      </c>
      <c r="J124" s="22" t="inlineStr">
        <is>
          <t>53ca27848a7b35479cefecdf2bee060b51362ebf36b6d5211356412de7b8491a</t>
        </is>
      </c>
      <c r="K124" s="21" t="inlineStr">
        <is>
          <t>open</t>
        </is>
      </c>
      <c r="L124" s="22" t="inlineStr">
        <is>
          <t>3d4935a890786f985b24e15c5c0f0db148f5aa70a49cfea1efb00cdb472563d1</t>
        </is>
      </c>
      <c r="M124" s="4" t="inlineStr">
        <is>
          <t>2026-09-23T14:20:29.481Z</t>
        </is>
      </c>
    </row>
    <row r="125">
      <c r="A125" s="4" t="inlineStr">
        <is>
          <t>BSC → SOL</t>
        </is>
      </c>
      <c r="B125" s="4" t="n">
        <v>1</v>
      </c>
      <c r="C125" s="4" t="inlineStr">
        <is>
          <t>Mayan</t>
        </is>
      </c>
      <c r="D125" s="4" t="inlineStr">
        <is>
          <t>2026-09-23T14:20:23.791Z</t>
        </is>
      </c>
      <c r="E125" s="4" t="inlineStr">
        <is>
          <t>2026-09-23T14:20:25.519Z</t>
        </is>
      </c>
      <c r="F125" s="4" t="inlineStr">
        <is>
          <t>2026-09-23T14:20:29.488Z</t>
        </is>
      </c>
      <c r="G125" s="20" t="n">
        <v>0.001</v>
      </c>
      <c r="H125" s="19" t="n">
        <v>99.69</v>
      </c>
      <c r="I125" s="21" t="inlineStr">
        <is>
          <t>open</t>
        </is>
      </c>
      <c r="J125" s="22" t="inlineStr">
        <is>
          <t>306390d2fa2660cac17790c2e51fcf280d562781f050dd3c3f32777f56f08c64</t>
        </is>
      </c>
      <c r="K125" s="21" t="inlineStr">
        <is>
          <t>open</t>
        </is>
      </c>
      <c r="L125" s="22" t="inlineStr">
        <is>
          <t>11801c239a8aa06d64c2988b495f510cf77a52d790fbd735a9ae18432e2915e5</t>
        </is>
      </c>
      <c r="M125" s="4" t="inlineStr">
        <is>
          <t>2026-09-23T14:20:29.481Z</t>
        </is>
      </c>
    </row>
    <row r="126">
      <c r="A126" s="4" t="inlineStr">
        <is>
          <t>BSC → SOL</t>
        </is>
      </c>
      <c r="B126" s="4" t="n">
        <v>1</v>
      </c>
      <c r="C126" s="4" t="inlineStr">
        <is>
          <t>Husher</t>
        </is>
      </c>
      <c r="D126" s="4" t="inlineStr">
        <is>
          <t>2026-09-23T14:20:23.793Z</t>
        </is>
      </c>
      <c r="E126" s="4" t="inlineStr">
        <is>
          <t>2026-09-23T14:20:25.285Z</t>
        </is>
      </c>
      <c r="F126" s="4" t="inlineStr">
        <is>
          <t>2026-09-23T14:20:29.495Z</t>
        </is>
      </c>
      <c r="G126" s="20" t="n">
        <v>0.001</v>
      </c>
      <c r="H126" s="19" t="n">
        <v>99.34999999999999</v>
      </c>
      <c r="I126" s="21" t="inlineStr">
        <is>
          <t>open</t>
        </is>
      </c>
      <c r="J126" s="22" t="inlineStr">
        <is>
          <t>dfd573d19f7515d0c2725b07fe314bc359aff842fe5096bca2ba79799d452b14</t>
        </is>
      </c>
      <c r="K126" s="21" t="inlineStr">
        <is>
          <t>open</t>
        </is>
      </c>
      <c r="L126" s="22" t="inlineStr">
        <is>
          <t>cae35859767d5dad35bf7abf01d6963bb146ac09e68a0b63b59afd9575688830</t>
        </is>
      </c>
      <c r="M126" s="4" t="inlineStr">
        <is>
          <t>2026-09-23T14:20:29.481Z</t>
        </is>
      </c>
    </row>
    <row r="127">
      <c r="A127" s="4" t="inlineStr">
        <is>
          <t>BSC → SOL</t>
        </is>
      </c>
      <c r="B127" s="4" t="n">
        <v>1</v>
      </c>
      <c r="C127" s="4" t="inlineStr">
        <is>
          <t>Layerswap</t>
        </is>
      </c>
      <c r="D127" s="4" t="inlineStr">
        <is>
          <t>2026-09-23T14:20:23.792Z</t>
        </is>
      </c>
      <c r="E127" s="4" t="inlineStr">
        <is>
          <t>2026-09-23T14:20:26.199Z</t>
        </is>
      </c>
      <c r="F127" s="4" t="inlineStr">
        <is>
          <t>2026-09-23T14:20:29.498Z</t>
        </is>
      </c>
      <c r="G127" s="20" t="n">
        <v>0.004</v>
      </c>
      <c r="H127" s="19" t="n">
        <v>99.633822</v>
      </c>
      <c r="I127" s="21" t="inlineStr">
        <is>
          <t>open</t>
        </is>
      </c>
      <c r="J127" s="22" t="inlineStr">
        <is>
          <t>db17c08aa3c0bdbe50437f33f3745d3cf199f676271ffe546826af7a8ba2b934</t>
        </is>
      </c>
      <c r="K127" s="21" t="inlineStr">
        <is>
          <t>open</t>
        </is>
      </c>
      <c r="L127" s="22" t="inlineStr">
        <is>
          <t>6e81b8ffc6bc763c0b5b7408071495e250e9a44f64b7c29507cb3e072f2ff736</t>
        </is>
      </c>
      <c r="M127" s="4" t="inlineStr">
        <is>
          <t>2026-09-23T14:20:29.484Z</t>
        </is>
      </c>
    </row>
    <row r="128">
      <c r="A128" s="4" t="inlineStr">
        <is>
          <t>BSC → SOL</t>
        </is>
      </c>
      <c r="B128" s="4" t="n">
        <v>1</v>
      </c>
      <c r="C128" s="4" t="inlineStr">
        <is>
          <t>Meson</t>
        </is>
      </c>
      <c r="D128" s="4" t="inlineStr">
        <is>
          <t>2026-09-23T14:20:23.793Z</t>
        </is>
      </c>
      <c r="E128" s="4" t="inlineStr">
        <is>
          <t>2026-09-23T14:20:24.270Z</t>
        </is>
      </c>
      <c r="F128" s="4" t="inlineStr">
        <is>
          <t>2026-09-23T14:20:29.488Z</t>
        </is>
      </c>
      <c r="G128" s="20" t="n">
        <v>0</v>
      </c>
      <c r="H128" s="19" t="n">
        <v>99.59999999999999</v>
      </c>
      <c r="I128" s="21" t="inlineStr">
        <is>
          <t>open</t>
        </is>
      </c>
      <c r="J128" s="22" t="inlineStr">
        <is>
          <t>2cb0bf81bcf1ff90d087450971f89d3deddd87a2b2020eb11c264c1dd532d4be</t>
        </is>
      </c>
      <c r="K128" s="21" t="inlineStr">
        <is>
          <t>open</t>
        </is>
      </c>
      <c r="L128" s="22" t="inlineStr">
        <is>
          <t>3ce9d245c8ff7c4d5b02e3c70e9cf63700cce9251bd8c32e345f73da5254f6ea</t>
        </is>
      </c>
      <c r="M128" s="4" t="inlineStr">
        <is>
          <t>2026-09-23T14:20:29.480Z</t>
        </is>
      </c>
    </row>
    <row r="129">
      <c r="A129" s="4" t="inlineStr">
        <is>
          <t>BSC → SOL</t>
        </is>
      </c>
      <c r="B129" s="4" t="n">
        <v>1</v>
      </c>
      <c r="C129" s="4" t="inlineStr">
        <is>
          <t>SimpleSwap</t>
        </is>
      </c>
      <c r="D129" s="4" t="inlineStr">
        <is>
          <t>2026-09-23T14:20:23.795Z</t>
        </is>
      </c>
      <c r="E129" s="4" t="inlineStr">
        <is>
          <t>2026-09-23T14:20:26.630Z</t>
        </is>
      </c>
      <c r="F129" s="4" t="inlineStr">
        <is>
          <t>2026-09-23T14:20:29.634Z</t>
        </is>
      </c>
      <c r="G129" s="20" t="n">
        <v>0.004</v>
      </c>
      <c r="H129" s="19" t="n">
        <v>98.180302</v>
      </c>
      <c r="I129" s="21" t="inlineStr">
        <is>
          <t>open</t>
        </is>
      </c>
      <c r="J129" s="22" t="inlineStr">
        <is>
          <t>dc43c284cde12bf19c48dc002d368639980338dd65621ccccc2b3104325c57e8</t>
        </is>
      </c>
      <c r="K129" s="21" t="inlineStr">
        <is>
          <t>open</t>
        </is>
      </c>
      <c r="L129" s="22" t="inlineStr">
        <is>
          <t>6cfd12ca6b2244ce4023eb71c78464a67cb23477d4c4a1a00e83cadd9c8e7ee3</t>
        </is>
      </c>
      <c r="M129" s="4" t="inlineStr">
        <is>
          <t>2026-09-23T14:20:29.484Z</t>
        </is>
      </c>
    </row>
    <row r="130">
      <c r="A130" s="4" t="inlineStr">
        <is>
          <t>BSC → SOL</t>
        </is>
      </c>
      <c r="B130" s="4" t="n">
        <v>1</v>
      </c>
      <c r="C130" s="4" t="inlineStr">
        <is>
          <t>Symbiosis</t>
        </is>
      </c>
      <c r="D130" s="4" t="inlineStr">
        <is>
          <t>2026-09-23T14:20:23.792Z</t>
        </is>
      </c>
      <c r="E130" s="4" t="inlineStr">
        <is>
          <t>2026-09-23T14:20:27.336Z</t>
        </is>
      </c>
      <c r="F130" s="4" t="inlineStr">
        <is>
          <t>2026-09-23T14:20:29.492Z</t>
        </is>
      </c>
      <c r="G130" s="20" t="n">
        <v>0</v>
      </c>
      <c r="H130" s="19" t="n">
        <v>98.355626</v>
      </c>
      <c r="I130" s="21" t="inlineStr">
        <is>
          <t>open</t>
        </is>
      </c>
      <c r="J130" s="22" t="inlineStr">
        <is>
          <t>160329b97dd55d2fe061279f0d60329cf2593f2ec50902d206b7f2373caf9faa</t>
        </is>
      </c>
      <c r="K130" s="21" t="inlineStr">
        <is>
          <t>open</t>
        </is>
      </c>
      <c r="L130" s="22" t="inlineStr">
        <is>
          <t>794f8ab7ed2912d0c066c6037b06f39baee462c69ecaf5f50130864a8604d708</t>
        </is>
      </c>
      <c r="M130" s="4" t="inlineStr">
        <is>
          <t>2026-09-23T14:20:29.480Z</t>
        </is>
      </c>
    </row>
    <row r="131">
      <c r="A131" s="4" t="inlineStr">
        <is>
          <t>BSC → SOL</t>
        </is>
      </c>
      <c r="B131" s="4" t="n">
        <v>2</v>
      </c>
      <c r="C131" s="4" t="inlineStr">
        <is>
          <t>Bridg</t>
        </is>
      </c>
      <c r="D131" s="4" t="inlineStr">
        <is>
          <t>2026-09-23T14:25:07.466Z</t>
        </is>
      </c>
      <c r="E131" s="4" t="inlineStr">
        <is>
          <t>2026-09-23T14:25:08.820Z</t>
        </is>
      </c>
      <c r="F131" s="4" t="inlineStr">
        <is>
          <t>2026-09-23T14:25:12.931Z</t>
        </is>
      </c>
      <c r="G131" s="20" t="n"/>
      <c r="H131" s="19" t="n">
        <v>99.639692</v>
      </c>
      <c r="I131" s="21" t="inlineStr">
        <is>
          <t>open</t>
        </is>
      </c>
      <c r="J131" s="22" t="inlineStr">
        <is>
          <t>6344ceac9074480f13542e71b4bf8dda55566af4aea49edc034610a722761e8c</t>
        </is>
      </c>
      <c r="K131" s="21" t="inlineStr">
        <is>
          <t>open</t>
        </is>
      </c>
      <c r="L131" s="22" t="inlineStr">
        <is>
          <t>060944c031cc6654a8556c5322bec1df98993a94499df27ade92c7a452653002</t>
        </is>
      </c>
      <c r="M131" s="4" t="inlineStr">
        <is>
          <t>2026-09-23T14:25:12.872Z</t>
        </is>
      </c>
    </row>
    <row r="132">
      <c r="A132" s="4" t="inlineStr">
        <is>
          <t>BSC → SOL</t>
        </is>
      </c>
      <c r="B132" s="4" t="n">
        <v>2</v>
      </c>
      <c r="C132" s="4" t="inlineStr">
        <is>
          <t>Relay</t>
        </is>
      </c>
      <c r="D132" s="4" t="inlineStr">
        <is>
          <t>2026-09-23T14:25:07.466Z</t>
        </is>
      </c>
      <c r="E132" s="4" t="inlineStr">
        <is>
          <t>2026-09-23T14:25:09.600Z</t>
        </is>
      </c>
      <c r="F132" s="4" t="inlineStr">
        <is>
          <t>2026-09-23T14:25:12.916Z</t>
        </is>
      </c>
      <c r="G132" s="20" t="n">
        <v>0.001</v>
      </c>
      <c r="H132" s="19" t="n">
        <v>99.88570900000001</v>
      </c>
      <c r="I132" s="21" t="inlineStr">
        <is>
          <t>open</t>
        </is>
      </c>
      <c r="J132" s="22" t="inlineStr">
        <is>
          <t>5950a3114292fe6b114a6f0516700e7e5768c25f33aedddcdfa9564f255ccdc3</t>
        </is>
      </c>
      <c r="K132" s="21" t="inlineStr">
        <is>
          <t>open</t>
        </is>
      </c>
      <c r="L132" s="22" t="inlineStr">
        <is>
          <t>b98fefdd3f056281b8ea9a8e4c859d44f34fa94226bdf55e923c12cf22c5f8d3</t>
        </is>
      </c>
      <c r="M132" s="4" t="inlineStr">
        <is>
          <t>2026-09-23T14:25:12.871Z</t>
        </is>
      </c>
    </row>
    <row r="133">
      <c r="A133" s="4" t="inlineStr">
        <is>
          <t>BSC → SOL</t>
        </is>
      </c>
      <c r="B133" s="4" t="n">
        <v>2</v>
      </c>
      <c r="C133" s="4" t="inlineStr">
        <is>
          <t>deBridge</t>
        </is>
      </c>
      <c r="D133" s="4" t="inlineStr">
        <is>
          <t>2026-09-23T14:25:07.467Z</t>
        </is>
      </c>
      <c r="E133" s="4" t="inlineStr">
        <is>
          <t>2026-09-23T14:25:09.558Z</t>
        </is>
      </c>
      <c r="F133" s="4" t="inlineStr">
        <is>
          <t>2026-09-23T14:25:12.910Z</t>
        </is>
      </c>
      <c r="G133" s="20" t="n">
        <v>0.002</v>
      </c>
      <c r="H133" s="19" t="n">
        <v>99.920017</v>
      </c>
      <c r="I133" s="21" t="inlineStr">
        <is>
          <t>open</t>
        </is>
      </c>
      <c r="J133" s="22" t="inlineStr">
        <is>
          <t>ed410ea28b90b679f6acac92ea1af31c28957b530a6b3376177dd88e339f3c33</t>
        </is>
      </c>
      <c r="K133" s="21" t="inlineStr">
        <is>
          <t>open</t>
        </is>
      </c>
      <c r="L133" s="22" t="inlineStr">
        <is>
          <t>2bcaf3fce9320c6cd869209ebe4672831843d011cfcda67c7d947f90c746c766</t>
        </is>
      </c>
      <c r="M133" s="4" t="inlineStr">
        <is>
          <t>2026-09-23T14:25:12.870Z</t>
        </is>
      </c>
    </row>
    <row r="134">
      <c r="A134" s="4" t="inlineStr">
        <is>
          <t>BSC → SOL</t>
        </is>
      </c>
      <c r="B134" s="4" t="n">
        <v>2</v>
      </c>
      <c r="C134" s="4" t="inlineStr">
        <is>
          <t>LI.FI (Jumper)</t>
        </is>
      </c>
      <c r="D134" s="4" t="inlineStr">
        <is>
          <t>2026-09-23T14:25:07.476Z</t>
        </is>
      </c>
      <c r="E134" s="4" t="inlineStr">
        <is>
          <t>2026-09-23T14:25:10.200Z</t>
        </is>
      </c>
      <c r="F134" s="4" t="inlineStr">
        <is>
          <t>2026-09-23T14:25:12.896Z</t>
        </is>
      </c>
      <c r="G134" s="20" t="n">
        <v>0.001</v>
      </c>
      <c r="H134" s="19" t="n">
        <v>99.88570900000001</v>
      </c>
      <c r="I134" s="21" t="inlineStr">
        <is>
          <t>open</t>
        </is>
      </c>
      <c r="J134" s="22" t="inlineStr">
        <is>
          <t>72cb0fdb0742581514c1f5a6eca3cfd2973ba51bbe063ed27ec253c8373506f0</t>
        </is>
      </c>
      <c r="K134" s="21" t="inlineStr">
        <is>
          <t>open</t>
        </is>
      </c>
      <c r="L134" s="22" t="inlineStr">
        <is>
          <t>2f5284b121ab9119d5e7520b73c089ad7d51e2c839e29fb7af7e9477336c700a</t>
        </is>
      </c>
      <c r="M134" s="4" t="inlineStr">
        <is>
          <t>2026-09-23T14:25:12.871Z</t>
        </is>
      </c>
    </row>
    <row r="135">
      <c r="A135" s="4" t="inlineStr">
        <is>
          <t>BSC → SOL</t>
        </is>
      </c>
      <c r="B135" s="4" t="n">
        <v>2</v>
      </c>
      <c r="C135" s="4" t="inlineStr">
        <is>
          <t>Across</t>
        </is>
      </c>
      <c r="D135" s="4" t="inlineStr">
        <is>
          <t>2026-09-23T14:25:07.465Z</t>
        </is>
      </c>
      <c r="E135" s="4" t="inlineStr">
        <is>
          <t>2026-09-23T14:25:08.809Z</t>
        </is>
      </c>
      <c r="F135" s="4" t="inlineStr">
        <is>
          <t>2026-09-23T14:25:12.874Z</t>
        </is>
      </c>
      <c r="G135" s="20" t="n">
        <v>0.003</v>
      </c>
      <c r="H135" s="19" t="n">
        <v>99.98218799999999</v>
      </c>
      <c r="I135" s="21" t="inlineStr">
        <is>
          <t>open</t>
        </is>
      </c>
      <c r="J135" s="22" t="inlineStr">
        <is>
          <t>95d33301a6febf0c5b30c67ca4b255e332b8f3e0a8567240e60cf0778a94fc9e</t>
        </is>
      </c>
      <c r="K135" s="21" t="inlineStr">
        <is>
          <t>open</t>
        </is>
      </c>
      <c r="L135" s="22" t="inlineStr">
        <is>
          <t>09d6844ec37a6ad1a98dd97be32c422b5597bf37fa09df3699f99546091a0c8a</t>
        </is>
      </c>
      <c r="M135" s="4" t="inlineStr">
        <is>
          <t>2026-09-23T14:25:12.869Z</t>
        </is>
      </c>
    </row>
    <row r="136">
      <c r="A136" s="4" t="inlineStr">
        <is>
          <t>BSC → SOL</t>
        </is>
      </c>
      <c r="B136" s="4" t="n">
        <v>2</v>
      </c>
      <c r="C136" s="4" t="inlineStr">
        <is>
          <t>Mayan</t>
        </is>
      </c>
      <c r="D136" s="4" t="inlineStr">
        <is>
          <t>2026-09-23T14:25:07.457Z</t>
        </is>
      </c>
      <c r="E136" s="4" t="inlineStr">
        <is>
          <t>2026-09-23T14:25:09.066Z</t>
        </is>
      </c>
      <c r="F136" s="4" t="inlineStr">
        <is>
          <t>2026-09-23T14:25:12.875Z</t>
        </is>
      </c>
      <c r="G136" s="20" t="n">
        <v>0.002</v>
      </c>
      <c r="H136" s="19" t="n">
        <v>99.68899999999999</v>
      </c>
      <c r="I136" s="21" t="inlineStr">
        <is>
          <t>open</t>
        </is>
      </c>
      <c r="J136" s="22" t="inlineStr">
        <is>
          <t>607a009f0bd18551ba7acda18d3bf1fd89b07e8ae10520bc8faa025433b11455</t>
        </is>
      </c>
      <c r="K136" s="21" t="inlineStr">
        <is>
          <t>open</t>
        </is>
      </c>
      <c r="L136" s="22" t="inlineStr">
        <is>
          <t>0a6fa8f818aad60803954edeed291cfb071197419819c59392b46879c70d15be</t>
        </is>
      </c>
      <c r="M136" s="4" t="inlineStr">
        <is>
          <t>2026-09-23T14:25:12.870Z</t>
        </is>
      </c>
    </row>
    <row r="137">
      <c r="A137" s="4" t="inlineStr">
        <is>
          <t>BSC → SOL</t>
        </is>
      </c>
      <c r="B137" s="4" t="n">
        <v>2</v>
      </c>
      <c r="C137" s="4" t="inlineStr">
        <is>
          <t>Husher</t>
        </is>
      </c>
      <c r="D137" s="4" t="inlineStr">
        <is>
          <t>2026-09-23T14:25:07.480Z</t>
        </is>
      </c>
      <c r="E137" s="4" t="inlineStr">
        <is>
          <t>2026-09-23T14:25:09.067Z</t>
        </is>
      </c>
      <c r="F137" s="4" t="inlineStr">
        <is>
          <t>2026-09-23T14:25:12.910Z</t>
        </is>
      </c>
      <c r="G137" s="20" t="n">
        <v>0.002</v>
      </c>
      <c r="H137" s="19" t="n">
        <v>99.34999999999999</v>
      </c>
      <c r="I137" s="21" t="inlineStr">
        <is>
          <t>open</t>
        </is>
      </c>
      <c r="J137" s="22" t="inlineStr">
        <is>
          <t>61ad5e55b6689b809b8c3f2e7795c2534d1f8afa911f9a81c81e526b5a921522</t>
        </is>
      </c>
      <c r="K137" s="21" t="inlineStr">
        <is>
          <t>open</t>
        </is>
      </c>
      <c r="L137" s="22" t="inlineStr">
        <is>
          <t>b4ca50bd8aab7380e0e6e825798e4aa7b1f7dcfcd5f41681b08a7fab99a8497e</t>
        </is>
      </c>
      <c r="M137" s="4" t="inlineStr">
        <is>
          <t>2026-09-23T14:25:12.870Z</t>
        </is>
      </c>
    </row>
    <row r="138">
      <c r="A138" s="4" t="inlineStr">
        <is>
          <t>BSC → SOL</t>
        </is>
      </c>
      <c r="B138" s="4" t="n">
        <v>2</v>
      </c>
      <c r="C138" s="4" t="inlineStr">
        <is>
          <t>Layerswap</t>
        </is>
      </c>
      <c r="D138" s="4" t="inlineStr">
        <is>
          <t>2026-09-23T14:25:07.465Z</t>
        </is>
      </c>
      <c r="E138" s="4" t="inlineStr">
        <is>
          <t>2026-09-23T14:25:09.779Z</t>
        </is>
      </c>
      <c r="F138" s="4" t="inlineStr">
        <is>
          <t>2026-09-23T14:25:12.925Z</t>
        </is>
      </c>
      <c r="G138" s="20" t="n">
        <v>0.001</v>
      </c>
      <c r="H138" s="19" t="n">
        <v>99.63508899999999</v>
      </c>
      <c r="I138" s="21" t="inlineStr">
        <is>
          <t>open</t>
        </is>
      </c>
      <c r="J138" s="22" t="inlineStr">
        <is>
          <t>c34e72b5298fbbbab98d696c744252b87ddfb22b9ac4a0e65beb356e3b499be4</t>
        </is>
      </c>
      <c r="K138" s="21" t="inlineStr">
        <is>
          <t>open</t>
        </is>
      </c>
      <c r="L138" s="22" t="inlineStr">
        <is>
          <t>05485d1beab78ce9716292281d008ba949c23480a74f259ac4394784b97d05fb</t>
        </is>
      </c>
      <c r="M138" s="4" t="inlineStr">
        <is>
          <t>2026-09-23T14:25:12.871Z</t>
        </is>
      </c>
    </row>
    <row r="139">
      <c r="A139" s="4" t="inlineStr">
        <is>
          <t>BSC → SOL</t>
        </is>
      </c>
      <c r="B139" s="4" t="n">
        <v>2</v>
      </c>
      <c r="C139" s="4" t="inlineStr">
        <is>
          <t>Meson</t>
        </is>
      </c>
      <c r="D139" s="4" t="inlineStr">
        <is>
          <t>2026-09-23T14:25:07.480Z</t>
        </is>
      </c>
      <c r="E139" s="4" t="inlineStr">
        <is>
          <t>2026-09-23T14:25:08.525Z</t>
        </is>
      </c>
      <c r="F139" s="4" t="inlineStr">
        <is>
          <t>2026-09-23T14:25:12.876Z</t>
        </is>
      </c>
      <c r="G139" s="20" t="n">
        <v>0.003</v>
      </c>
      <c r="H139" s="19" t="n">
        <v>99.59999999999999</v>
      </c>
      <c r="I139" s="21" t="inlineStr">
        <is>
          <t>open</t>
        </is>
      </c>
      <c r="J139" s="22" t="inlineStr">
        <is>
          <t>7744c2337af8b4bb834e8a337fae11dc17db73f06b0f28ecea5f8eb83fb879db</t>
        </is>
      </c>
      <c r="K139" s="21" t="inlineStr">
        <is>
          <t>open</t>
        </is>
      </c>
      <c r="L139" s="22" t="inlineStr">
        <is>
          <t>5909668052c38bc56b3deb6317265dac085d1dcf7cef8ca55cd4abf336b31df5</t>
        </is>
      </c>
      <c r="M139" s="4" t="inlineStr">
        <is>
          <t>2026-09-23T14:25:12.869Z</t>
        </is>
      </c>
    </row>
    <row r="140">
      <c r="A140" s="4" t="inlineStr">
        <is>
          <t>BSC → SOL</t>
        </is>
      </c>
      <c r="B140" s="4" t="n">
        <v>2</v>
      </c>
      <c r="C140" s="4" t="inlineStr">
        <is>
          <t>SimpleSwap</t>
        </is>
      </c>
      <c r="D140" s="4" t="inlineStr">
        <is>
          <t>2026-09-23T14:25:07.479Z</t>
        </is>
      </c>
      <c r="E140" s="4" t="inlineStr">
        <is>
          <t>2026-09-23T14:25:10.219Z</t>
        </is>
      </c>
      <c r="F140" s="4" t="inlineStr">
        <is>
          <t>2026-09-23T14:25:12.961Z</t>
        </is>
      </c>
      <c r="G140" s="20" t="n">
        <v>0</v>
      </c>
      <c r="H140" s="19" t="n">
        <v>98.180302</v>
      </c>
      <c r="I140" s="21" t="inlineStr">
        <is>
          <t>open</t>
        </is>
      </c>
      <c r="J140" s="22" t="inlineStr">
        <is>
          <t>cd905d1deca45e205a5086f79c61b35d54f409743f4a76c9d80325d5cb8c2450</t>
        </is>
      </c>
      <c r="K140" s="21" t="inlineStr">
        <is>
          <t>open</t>
        </is>
      </c>
      <c r="L140" s="22" t="inlineStr">
        <is>
          <t>ced97aabb004e150cd9ab247f8856131064b6df81ead81a84fafe359445a9795</t>
        </is>
      </c>
      <c r="M140" s="4" t="inlineStr">
        <is>
          <t>2026-09-23T14:25:12.872Z</t>
        </is>
      </c>
    </row>
    <row r="141">
      <c r="A141" s="4" t="inlineStr">
        <is>
          <t>BSC → SOL</t>
        </is>
      </c>
      <c r="B141" s="4" t="n">
        <v>2</v>
      </c>
      <c r="C141" s="4" t="inlineStr">
        <is>
          <t>Symbiosis</t>
        </is>
      </c>
      <c r="D141" s="4" t="inlineStr">
        <is>
          <t>2026-09-23T14:25:07.466Z</t>
        </is>
      </c>
      <c r="E141" s="4" t="inlineStr">
        <is>
          <t>2026-09-23T14:25:10.704Z</t>
        </is>
      </c>
      <c r="F141" s="4" t="inlineStr">
        <is>
          <t>2026-09-23T14:25:12.906Z</t>
        </is>
      </c>
      <c r="G141" s="20" t="n">
        <v>0.003</v>
      </c>
      <c r="H141" s="19" t="n">
        <v>98.360523</v>
      </c>
      <c r="I141" s="21" t="inlineStr">
        <is>
          <t>open</t>
        </is>
      </c>
      <c r="J141" s="22" t="inlineStr">
        <is>
          <t>ab537ac93db0d65b5719b55c7803c5e1c43323e023f271eba3e326bd68f52da2</t>
        </is>
      </c>
      <c r="K141" s="21" t="inlineStr">
        <is>
          <t>open</t>
        </is>
      </c>
      <c r="L141" s="22" t="inlineStr">
        <is>
          <t>e1e480600879e541670c072a7ddb92cd27b215b16099777cad8ea927be4c70f2</t>
        </is>
      </c>
      <c r="M141" s="4" t="inlineStr">
        <is>
          <t>2026-09-23T14:25:12.869Z</t>
        </is>
      </c>
    </row>
    <row r="142">
      <c r="A142" s="4" t="inlineStr">
        <is>
          <t>BSC → SOL</t>
        </is>
      </c>
      <c r="B142" s="4" t="n">
        <v>3</v>
      </c>
      <c r="C142" s="4" t="inlineStr">
        <is>
          <t>Bridg</t>
        </is>
      </c>
      <c r="D142" s="4" t="inlineStr">
        <is>
          <t>2026-09-23T14:29:03.643Z</t>
        </is>
      </c>
      <c r="E142" s="4" t="inlineStr">
        <is>
          <t>2026-09-23T14:29:04.725Z</t>
        </is>
      </c>
      <c r="F142" s="4" t="inlineStr">
        <is>
          <t>2026-09-23T14:29:48.319Z</t>
        </is>
      </c>
      <c r="G142" s="20" t="n"/>
      <c r="H142" s="19" t="n">
        <v>99.640843</v>
      </c>
      <c r="I142" s="21" t="inlineStr">
        <is>
          <t>open</t>
        </is>
      </c>
      <c r="J142" s="22" t="inlineStr">
        <is>
          <t>9d1482198c3549aaa535306048c8d7e9d2346fc514f4e6eb39ede13da392ada3</t>
        </is>
      </c>
      <c r="K142" s="21" t="inlineStr">
        <is>
          <t>open</t>
        </is>
      </c>
      <c r="L142" s="22" t="inlineStr">
        <is>
          <t>fd261c44583d30f096da26f0b97e7356b79263a47ee6134a4b8398ff89f6a9f2</t>
        </is>
      </c>
      <c r="M142" s="4" t="inlineStr">
        <is>
          <t>2026-09-23T14:29:48.304Z</t>
        </is>
      </c>
    </row>
    <row r="143">
      <c r="A143" s="4" t="inlineStr">
        <is>
          <t>BSC → SOL</t>
        </is>
      </c>
      <c r="B143" s="4" t="n">
        <v>3</v>
      </c>
      <c r="C143" s="4" t="inlineStr">
        <is>
          <t>Relay</t>
        </is>
      </c>
      <c r="D143" s="4" t="inlineStr">
        <is>
          <t>2026-09-23T14:29:03.643Z</t>
        </is>
      </c>
      <c r="E143" s="4" t="inlineStr">
        <is>
          <t>2026-09-23T14:29:06.058Z</t>
        </is>
      </c>
      <c r="F143" s="4" t="inlineStr">
        <is>
          <t>2026-09-23T14:29:48.314Z</t>
        </is>
      </c>
      <c r="G143" s="20" t="n">
        <v>0</v>
      </c>
      <c r="H143" s="19" t="n">
        <v>99.885718</v>
      </c>
      <c r="I143" s="21" t="inlineStr">
        <is>
          <t>open</t>
        </is>
      </c>
      <c r="J143" s="22" t="inlineStr">
        <is>
          <t>ac31e477fb631f9856c22b45bfe9de1e13ab12fef6ef068d551845da3120d81e</t>
        </is>
      </c>
      <c r="K143" s="21" t="inlineStr">
        <is>
          <t>open</t>
        </is>
      </c>
      <c r="L143" s="22" t="inlineStr">
        <is>
          <t>8a469a305632c9890bd8700b397d680da4b336d42a41ee0e4e96b76e478168f2</t>
        </is>
      </c>
      <c r="M143" s="4" t="inlineStr">
        <is>
          <t>2026-09-23T14:29:48.304Z</t>
        </is>
      </c>
    </row>
    <row r="144">
      <c r="A144" s="4" t="inlineStr">
        <is>
          <t>BSC → SOL</t>
        </is>
      </c>
      <c r="B144" s="4" t="n">
        <v>3</v>
      </c>
      <c r="C144" s="4" t="inlineStr">
        <is>
          <t>deBridge</t>
        </is>
      </c>
      <c r="D144" s="4" t="inlineStr">
        <is>
          <t>2026-09-23T14:29:03.645Z</t>
        </is>
      </c>
      <c r="E144" s="4" t="inlineStr">
        <is>
          <t>2026-09-23T14:29:05.660Z</t>
        </is>
      </c>
      <c r="F144" s="4" t="inlineStr">
        <is>
          <t>2026-09-23T14:29:48.312Z</t>
        </is>
      </c>
      <c r="G144" s="20" t="n">
        <v>0.001</v>
      </c>
      <c r="H144" s="19" t="n">
        <v>99.880032</v>
      </c>
      <c r="I144" s="21" t="inlineStr">
        <is>
          <t>open</t>
        </is>
      </c>
      <c r="J144" s="22" t="inlineStr">
        <is>
          <t>5d0ffe9c81862803a6a2695037677ccfd47f44a1a0d63a80d514b608f2802dc8</t>
        </is>
      </c>
      <c r="K144" s="21" t="inlineStr">
        <is>
          <t>open</t>
        </is>
      </c>
      <c r="L144" s="22" t="inlineStr">
        <is>
          <t>a2d9c80f342fa064c2b8fff93c234e7d0176cff516ea4612e6f8cae6be006fd7</t>
        </is>
      </c>
      <c r="M144" s="4" t="inlineStr">
        <is>
          <t>2026-09-23T14:29:48.303Z</t>
        </is>
      </c>
    </row>
    <row r="145">
      <c r="A145" s="4" t="inlineStr">
        <is>
          <t>BSC → SOL</t>
        </is>
      </c>
      <c r="B145" s="4" t="n">
        <v>3</v>
      </c>
      <c r="C145" s="4" t="inlineStr">
        <is>
          <t>LI.FI (Jumper)</t>
        </is>
      </c>
      <c r="D145" s="4" t="inlineStr">
        <is>
          <t>2026-09-23T14:29:03.645Z</t>
        </is>
      </c>
      <c r="E145" s="4" t="inlineStr">
        <is>
          <t>2026-09-23T14:29:46.158Z</t>
        </is>
      </c>
      <c r="F145" s="4" t="inlineStr">
        <is>
          <t>2026-09-23T14:29:48.305Z</t>
        </is>
      </c>
      <c r="G145" s="20" t="n">
        <v>0.003</v>
      </c>
      <c r="H145" s="19" t="n">
        <v>99.885718</v>
      </c>
      <c r="I145" s="21" t="inlineStr">
        <is>
          <t>open</t>
        </is>
      </c>
      <c r="J145" s="22" t="inlineStr">
        <is>
          <t>17ec7c9e5274a8340b6a41bfdd7494ea7b83b6c4f175a91956e3b1543150b0b9</t>
        </is>
      </c>
      <c r="K145" s="21" t="inlineStr">
        <is>
          <t>open</t>
        </is>
      </c>
      <c r="L145" s="22" t="inlineStr">
        <is>
          <t>aedda36d8a8d2307e3a7efbb1ceed1f9fd7360912014925f00164a3d850890b4</t>
        </is>
      </c>
      <c r="M145" s="4" t="inlineStr">
        <is>
          <t>2026-09-23T14:29:48.301Z</t>
        </is>
      </c>
    </row>
    <row r="146">
      <c r="A146" s="4" t="inlineStr">
        <is>
          <t>BSC → SOL</t>
        </is>
      </c>
      <c r="B146" s="4" t="n">
        <v>3</v>
      </c>
      <c r="C146" s="4" t="inlineStr">
        <is>
          <t>Across</t>
        </is>
      </c>
      <c r="D146" s="4" t="inlineStr">
        <is>
          <t>2026-09-23T14:29:03.643Z</t>
        </is>
      </c>
      <c r="E146" s="4" t="inlineStr">
        <is>
          <t>2026-09-23T14:29:04.869Z</t>
        </is>
      </c>
      <c r="F146" s="4" t="inlineStr">
        <is>
          <t>2026-09-23T14:29:48.306Z</t>
        </is>
      </c>
      <c r="G146" s="20" t="n">
        <v>0.002</v>
      </c>
      <c r="H146" s="19" t="n">
        <v>99.972442</v>
      </c>
      <c r="I146" s="21" t="inlineStr">
        <is>
          <t>open</t>
        </is>
      </c>
      <c r="J146" s="22" t="inlineStr">
        <is>
          <t>784daeb9f66d8ad302e762dc67db265a4a62a196c513269beb9ec3b5766cd300</t>
        </is>
      </c>
      <c r="K146" s="21" t="inlineStr">
        <is>
          <t>open</t>
        </is>
      </c>
      <c r="L146" s="22" t="inlineStr">
        <is>
          <t>11bcbc519d687a170534047ab6d12821c86732e96df3fa7b1b89f1bb2225dfe5</t>
        </is>
      </c>
      <c r="M146" s="4" t="inlineStr">
        <is>
          <t>2026-09-23T14:29:48.302Z</t>
        </is>
      </c>
    </row>
    <row r="147">
      <c r="A147" s="4" t="inlineStr">
        <is>
          <t>BSC → SOL</t>
        </is>
      </c>
      <c r="B147" s="4" t="n">
        <v>3</v>
      </c>
      <c r="C147" s="4" t="inlineStr">
        <is>
          <t>Mayan</t>
        </is>
      </c>
      <c r="D147" s="4" t="inlineStr">
        <is>
          <t>2026-09-23T14:29:03.642Z</t>
        </is>
      </c>
      <c r="E147" s="4" t="inlineStr">
        <is>
          <t>2026-09-23T14:29:04.973Z</t>
        </is>
      </c>
      <c r="F147" s="4" t="inlineStr">
        <is>
          <t>2026-09-23T14:29:48.306Z</t>
        </is>
      </c>
      <c r="G147" s="20" t="n">
        <v>0.002</v>
      </c>
      <c r="H147" s="19" t="n">
        <v>99.69</v>
      </c>
      <c r="I147" s="21" t="inlineStr">
        <is>
          <t>open</t>
        </is>
      </c>
      <c r="J147" s="22" t="inlineStr">
        <is>
          <t>306390d2fa2660cac17790c2e51fcf280d562781f050dd3c3f32777f56f08c64</t>
        </is>
      </c>
      <c r="K147" s="21" t="inlineStr">
        <is>
          <t>open</t>
        </is>
      </c>
      <c r="L147" s="22" t="inlineStr">
        <is>
          <t>11801c239a8aa06d64c2988b495f510cf77a52d790fbd735a9ae18432e2915e5</t>
        </is>
      </c>
      <c r="M147" s="4" t="inlineStr">
        <is>
          <t>2026-09-23T14:29:48.302Z</t>
        </is>
      </c>
    </row>
    <row r="148">
      <c r="A148" s="4" t="inlineStr">
        <is>
          <t>BSC → SOL</t>
        </is>
      </c>
      <c r="B148" s="4" t="n">
        <v>3</v>
      </c>
      <c r="C148" s="4" t="inlineStr">
        <is>
          <t>Husher</t>
        </is>
      </c>
      <c r="D148" s="4" t="inlineStr">
        <is>
          <t>2026-09-23T14:29:03.646Z</t>
        </is>
      </c>
      <c r="E148" s="4" t="inlineStr">
        <is>
          <t>2026-09-23T14:29:04.976Z</t>
        </is>
      </c>
      <c r="F148" s="4" t="inlineStr">
        <is>
          <t>2026-09-23T14:29:48.311Z</t>
        </is>
      </c>
      <c r="G148" s="20" t="n">
        <v>0.002</v>
      </c>
      <c r="H148" s="19" t="n">
        <v>99.34999999999999</v>
      </c>
      <c r="I148" s="21" t="inlineStr">
        <is>
          <t>open</t>
        </is>
      </c>
      <c r="J148" s="22" t="inlineStr">
        <is>
          <t>d7855d4879e3f7f7dec7900210995fde8d367ef0bf620e78ce0d615983714747</t>
        </is>
      </c>
      <c r="K148" s="21" t="inlineStr">
        <is>
          <t>open</t>
        </is>
      </c>
      <c r="L148" s="22" t="inlineStr">
        <is>
          <t>51dd9c222ac36e0f298cdf99ff9b5e3b9b53730d5e09db3ca809bab394ac3559</t>
        </is>
      </c>
      <c r="M148" s="4" t="inlineStr">
        <is>
          <t>2026-09-23T14:29:48.302Z</t>
        </is>
      </c>
    </row>
    <row r="149">
      <c r="A149" s="4" t="inlineStr">
        <is>
          <t>BSC → SOL</t>
        </is>
      </c>
      <c r="B149" s="4" t="n">
        <v>3</v>
      </c>
      <c r="C149" s="4" t="inlineStr">
        <is>
          <t>Layerswap</t>
        </is>
      </c>
      <c r="D149" s="4" t="inlineStr">
        <is>
          <t>2026-09-23T14:29:03.642Z</t>
        </is>
      </c>
      <c r="E149" s="4" t="inlineStr">
        <is>
          <t>2026-09-23T14:29:05.768Z</t>
        </is>
      </c>
      <c r="F149" s="4" t="inlineStr">
        <is>
          <t>2026-09-23T14:29:48.312Z</t>
        </is>
      </c>
      <c r="G149" s="20" t="n">
        <v>0.001</v>
      </c>
      <c r="H149" s="19" t="n">
        <v>99.634899</v>
      </c>
      <c r="I149" s="21" t="inlineStr">
        <is>
          <t>open</t>
        </is>
      </c>
      <c r="J149" s="22" t="inlineStr">
        <is>
          <t>a997e95fed01de09822cf690d3d8149abbbd464bd0e63fa4414bc68f087435e7</t>
        </is>
      </c>
      <c r="K149" s="21" t="inlineStr">
        <is>
          <t>open</t>
        </is>
      </c>
      <c r="L149" s="22" t="inlineStr">
        <is>
          <t>5543e58fbd86d32be7ef79bc6915245fe151c575e25dee451f7986284849d271</t>
        </is>
      </c>
      <c r="M149" s="4" t="inlineStr">
        <is>
          <t>2026-09-23T14:29:48.303Z</t>
        </is>
      </c>
    </row>
    <row r="150">
      <c r="A150" s="4" t="inlineStr">
        <is>
          <t>BSC → SOL</t>
        </is>
      </c>
      <c r="B150" s="4" t="n">
        <v>3</v>
      </c>
      <c r="C150" s="4" t="inlineStr">
        <is>
          <t>Meson</t>
        </is>
      </c>
      <c r="D150" s="4" t="inlineStr">
        <is>
          <t>2026-09-23T14:29:03.646Z</t>
        </is>
      </c>
      <c r="E150" s="4" t="inlineStr">
        <is>
          <t>2026-09-23T14:29:04.034Z</t>
        </is>
      </c>
      <c r="F150" s="4" t="inlineStr">
        <is>
          <t>2026-09-23T14:29:48.308Z</t>
        </is>
      </c>
      <c r="G150" s="20" t="n">
        <v>0.002</v>
      </c>
      <c r="H150" s="19" t="n">
        <v>99.59999999999999</v>
      </c>
      <c r="I150" s="21" t="inlineStr">
        <is>
          <t>open</t>
        </is>
      </c>
      <c r="J150" s="22" t="inlineStr">
        <is>
          <t>7744c2337af8b4bb834e8a337fae11dc17db73f06b0f28ecea5f8eb83fb879db</t>
        </is>
      </c>
      <c r="K150" s="21" t="inlineStr">
        <is>
          <t>open</t>
        </is>
      </c>
      <c r="L150" s="22" t="inlineStr">
        <is>
          <t>7c616a68663a8846b5144920ba640a761e31dd9c8a203e8649b7adf56fd52787</t>
        </is>
      </c>
      <c r="M150" s="4" t="inlineStr">
        <is>
          <t>2026-09-23T14:29:48.302Z</t>
        </is>
      </c>
    </row>
    <row r="151">
      <c r="A151" s="4" t="inlineStr">
        <is>
          <t>BSC → SOL</t>
        </is>
      </c>
      <c r="B151" s="4" t="n">
        <v>3</v>
      </c>
      <c r="C151" s="4" t="inlineStr">
        <is>
          <t>SimpleSwap</t>
        </is>
      </c>
      <c r="D151" s="4" t="inlineStr">
        <is>
          <t>2026-09-23T14:29:03.647Z</t>
        </is>
      </c>
      <c r="E151" s="4" t="inlineStr">
        <is>
          <t>2026-09-23T14:29:06.111Z</t>
        </is>
      </c>
      <c r="F151" s="4" t="inlineStr">
        <is>
          <t>2026-09-23T14:29:48.356Z</t>
        </is>
      </c>
      <c r="G151" s="20" t="n">
        <v>0</v>
      </c>
      <c r="H151" s="19" t="n">
        <v>98.180302</v>
      </c>
      <c r="I151" s="21" t="inlineStr">
        <is>
          <t>open</t>
        </is>
      </c>
      <c r="J151" s="22" t="inlineStr">
        <is>
          <t>a824c173e4ac00e443e526ea5c7592abe66d8b2ee99957650dd5d9e6c3f243de</t>
        </is>
      </c>
      <c r="K151" s="21" t="inlineStr">
        <is>
          <t>open</t>
        </is>
      </c>
      <c r="L151" s="22" t="inlineStr">
        <is>
          <t>94254f717a484caf7f907f88524a48c22dc460d883728a985c9987493967e374</t>
        </is>
      </c>
      <c r="M151" s="4" t="inlineStr">
        <is>
          <t>2026-09-23T14:29:48.304Z</t>
        </is>
      </c>
    </row>
    <row r="152">
      <c r="A152" s="4" t="inlineStr">
        <is>
          <t>BSC → SOL</t>
        </is>
      </c>
      <c r="B152" s="4" t="n">
        <v>3</v>
      </c>
      <c r="C152" s="4" t="inlineStr">
        <is>
          <t>Symbiosis</t>
        </is>
      </c>
      <c r="D152" s="4" t="inlineStr">
        <is>
          <t>2026-09-23T14:29:03.644Z</t>
        </is>
      </c>
      <c r="E152" s="4" t="inlineStr">
        <is>
          <t>2026-09-23T14:29:06.743Z</t>
        </is>
      </c>
      <c r="F152" s="4" t="inlineStr">
        <is>
          <t>2026-09-23T14:29:48.323Z</t>
        </is>
      </c>
      <c r="G152" s="20" t="n">
        <v>0.001</v>
      </c>
      <c r="H152" s="19" t="n">
        <v>98.357827</v>
      </c>
      <c r="I152" s="21" t="inlineStr">
        <is>
          <t>open</t>
        </is>
      </c>
      <c r="J152" s="22" t="inlineStr">
        <is>
          <t>e0a740c6cbda84e24feb3e5e7f5bfb50aa063bc4bed2cfd8b065963415a057f6</t>
        </is>
      </c>
      <c r="K152" s="21" t="inlineStr">
        <is>
          <t>open</t>
        </is>
      </c>
      <c r="L152" s="22" t="inlineStr">
        <is>
          <t>afea993cd776a64fa88c3029bc6749c718603d8f5f7a123c46fad055925df3a9</t>
        </is>
      </c>
      <c r="M152" s="4" t="inlineStr">
        <is>
          <t>2026-09-23T14:29:48.305Z</t>
        </is>
      </c>
    </row>
    <row r="153">
      <c r="A153" s="4" t="inlineStr">
        <is>
          <t>SOL → Base</t>
        </is>
      </c>
      <c r="B153" s="4" t="n">
        <v>1</v>
      </c>
      <c r="C153" s="4" t="inlineStr">
        <is>
          <t>Bridg</t>
        </is>
      </c>
      <c r="D153" s="4" t="inlineStr">
        <is>
          <t>2026-09-23T14:21:02.757Z</t>
        </is>
      </c>
      <c r="E153" s="4" t="inlineStr">
        <is>
          <t>2026-09-23T14:21:03.882Z</t>
        </is>
      </c>
      <c r="F153" s="4" t="inlineStr">
        <is>
          <t>2026-09-23T14:21:09.361Z</t>
        </is>
      </c>
      <c r="G153" s="20" t="n"/>
      <c r="H153" s="19" t="n">
        <v>99.943099</v>
      </c>
      <c r="I153" s="21" t="inlineStr">
        <is>
          <t>open</t>
        </is>
      </c>
      <c r="J153" s="22" t="inlineStr">
        <is>
          <t>2a21ebc220c7498582c604f49267390258c0cec2831d91eef2feee1162e9e236</t>
        </is>
      </c>
      <c r="K153" s="21" t="inlineStr">
        <is>
          <t>open</t>
        </is>
      </c>
      <c r="L153" s="22" t="inlineStr">
        <is>
          <t>f7cf32bac1d66572d00fbd3c86d20edf357765fac88092e1c22ae0bea7405ce0</t>
        </is>
      </c>
      <c r="M153" s="4" t="inlineStr">
        <is>
          <t>2026-09-23T14:21:09.321Z</t>
        </is>
      </c>
    </row>
    <row r="154">
      <c r="A154" s="4" t="inlineStr">
        <is>
          <t>SOL → Base</t>
        </is>
      </c>
      <c r="B154" s="4" t="n">
        <v>1</v>
      </c>
      <c r="C154" s="4" t="inlineStr">
        <is>
          <t>OpenSea</t>
        </is>
      </c>
      <c r="D154" s="4" t="inlineStr">
        <is>
          <t>2026-09-23T14:21:02.758Z</t>
        </is>
      </c>
      <c r="E154" s="4" t="inlineStr">
        <is>
          <t>2026-09-23T14:21:05.886Z</t>
        </is>
      </c>
      <c r="F154" s="4" t="inlineStr">
        <is>
          <t>2026-09-23T14:21:09.367Z</t>
        </is>
      </c>
      <c r="G154" s="20" t="n">
        <v>0.001</v>
      </c>
      <c r="H154" s="19" t="n">
        <v>99.9332</v>
      </c>
      <c r="I154" s="21" t="inlineStr">
        <is>
          <t>open</t>
        </is>
      </c>
      <c r="J154" s="22" t="inlineStr">
        <is>
          <t>3120aaa9c2b3257c704801264441ea9d68c225649b35a94fd504cdd1ab907bdf</t>
        </is>
      </c>
      <c r="K154" s="21" t="inlineStr">
        <is>
          <t>open</t>
        </is>
      </c>
      <c r="L154" s="22" t="inlineStr">
        <is>
          <t>b885b6faf9304f4a65d6a34018ebf3921669a509038555dd8849d2b9ce9576e4</t>
        </is>
      </c>
      <c r="M154" s="4" t="inlineStr">
        <is>
          <t>2026-09-23T14:21:09.322Z</t>
        </is>
      </c>
    </row>
    <row r="155">
      <c r="A155" s="4" t="inlineStr">
        <is>
          <t>SOL → Base</t>
        </is>
      </c>
      <c r="B155" s="4" t="n">
        <v>1</v>
      </c>
      <c r="C155" s="4" t="inlineStr">
        <is>
          <t>Relay</t>
        </is>
      </c>
      <c r="D155" s="4" t="inlineStr">
        <is>
          <t>2026-09-23T14:21:02.755Z</t>
        </is>
      </c>
      <c r="E155" s="4" t="inlineStr">
        <is>
          <t>2026-09-23T14:21:04.473Z</t>
        </is>
      </c>
      <c r="F155" s="4" t="inlineStr">
        <is>
          <t>2026-09-23T14:21:09.339Z</t>
        </is>
      </c>
      <c r="G155" s="20" t="n">
        <v>0.003</v>
      </c>
      <c r="H155" s="19" t="n">
        <v>99.937898</v>
      </c>
      <c r="I155" s="21" t="inlineStr">
        <is>
          <t>open</t>
        </is>
      </c>
      <c r="J155" s="22" t="inlineStr">
        <is>
          <t>1f7fe73d0b934b4e6a27e7c6846f3f1d7993d27fba393204c123de3ee553a9f9</t>
        </is>
      </c>
      <c r="K155" s="21" t="inlineStr">
        <is>
          <t>open</t>
        </is>
      </c>
      <c r="L155" s="22" t="inlineStr">
        <is>
          <t>87abded526fb1e4b7fa79c50aaffcc048939d90db180a5a55911e110a10a7e49</t>
        </is>
      </c>
      <c r="M155" s="4" t="inlineStr">
        <is>
          <t>2026-09-23T14:21:09.318Z</t>
        </is>
      </c>
    </row>
    <row r="156">
      <c r="A156" s="4" t="inlineStr">
        <is>
          <t>SOL → Base</t>
        </is>
      </c>
      <c r="B156" s="4" t="n">
        <v>1</v>
      </c>
      <c r="C156" s="4" t="inlineStr">
        <is>
          <t>deBridge</t>
        </is>
      </c>
      <c r="D156" s="4" t="inlineStr">
        <is>
          <t>2026-09-23T14:21:02.756Z</t>
        </is>
      </c>
      <c r="E156" s="4" t="inlineStr">
        <is>
          <t>2026-09-23T14:21:05.343Z</t>
        </is>
      </c>
      <c r="F156" s="4" t="inlineStr">
        <is>
          <t>2026-09-23T14:21:09.346Z</t>
        </is>
      </c>
      <c r="G156" s="20" t="n">
        <v>0.001</v>
      </c>
      <c r="H156" s="19" t="n">
        <v>99.880033</v>
      </c>
      <c r="I156" s="21" t="inlineStr">
        <is>
          <t>open</t>
        </is>
      </c>
      <c r="J156" s="22" t="inlineStr">
        <is>
          <t>90d2da2f16d1924a197cde36a236a40e677b24a70cb99f5a751c8854e5466da8</t>
        </is>
      </c>
      <c r="K156" s="21" t="inlineStr">
        <is>
          <t>open</t>
        </is>
      </c>
      <c r="L156" s="22" t="inlineStr">
        <is>
          <t>acf337d17ac9df8cf06e72fcb0c3f4e9ce96050ce651d4768ba9f045b6d7bf0d</t>
        </is>
      </c>
      <c r="M156" s="4" t="inlineStr">
        <is>
          <t>2026-09-23T14:21:09.320Z</t>
        </is>
      </c>
    </row>
    <row r="157">
      <c r="A157" s="4" t="inlineStr">
        <is>
          <t>SOL → Base</t>
        </is>
      </c>
      <c r="B157" s="4" t="n">
        <v>1</v>
      </c>
      <c r="C157" s="4" t="inlineStr">
        <is>
          <t>LI.FI (Jumper)</t>
        </is>
      </c>
      <c r="D157" s="4" t="inlineStr">
        <is>
          <t>2026-09-23T14:21:02.757Z</t>
        </is>
      </c>
      <c r="E157" s="4" t="inlineStr">
        <is>
          <t>2026-09-23T14:21:07.186Z</t>
        </is>
      </c>
      <c r="F157" s="4" t="inlineStr">
        <is>
          <t>2026-09-23T14:21:09.323Z</t>
        </is>
      </c>
      <c r="G157" s="20" t="n">
        <v>0.005</v>
      </c>
      <c r="H157" s="19" t="n">
        <v>100</v>
      </c>
      <c r="I157" s="21" t="inlineStr">
        <is>
          <t>open</t>
        </is>
      </c>
      <c r="J157" s="22" t="inlineStr">
        <is>
          <t>f2f5e7098b92ed9e6e8b77c30d8f16b94b0a7ee3329e539e2fb86d0ca6a73c24</t>
        </is>
      </c>
      <c r="K157" s="21" t="inlineStr">
        <is>
          <t>open</t>
        </is>
      </c>
      <c r="L157" s="22" t="inlineStr">
        <is>
          <t>74e24662f1da5a7128d3f062dde497218e6968cbdc166c87e735db5d0163b1bf</t>
        </is>
      </c>
      <c r="M157" s="4" t="inlineStr">
        <is>
          <t>2026-09-23T14:21:09.316Z</t>
        </is>
      </c>
    </row>
    <row r="158">
      <c r="A158" s="4" t="inlineStr">
        <is>
          <t>SOL → Base</t>
        </is>
      </c>
      <c r="B158" s="4" t="n">
        <v>1</v>
      </c>
      <c r="C158" s="4" t="inlineStr">
        <is>
          <t>Across</t>
        </is>
      </c>
      <c r="D158" s="4" t="inlineStr">
        <is>
          <t>2026-09-23T14:21:02.756Z</t>
        </is>
      </c>
      <c r="E158" s="4" t="inlineStr">
        <is>
          <t>2026-09-23T14:21:04.200Z</t>
        </is>
      </c>
      <c r="F158" s="4" t="inlineStr">
        <is>
          <t>2026-09-23T14:21:09.325Z</t>
        </is>
      </c>
      <c r="G158" s="20" t="n">
        <v>0.004</v>
      </c>
      <c r="H158" s="19" t="n">
        <v>99.98999999999999</v>
      </c>
      <c r="I158" s="21" t="inlineStr">
        <is>
          <t>open</t>
        </is>
      </c>
      <c r="J158" s="22" t="inlineStr">
        <is>
          <t>1a8cb194f967d84de78bb71694170c5c681466b8f619602818186c9eb4477026</t>
        </is>
      </c>
      <c r="K158" s="21" t="inlineStr">
        <is>
          <t>open</t>
        </is>
      </c>
      <c r="L158" s="22" t="inlineStr">
        <is>
          <t>060b9f61c21256dc48e00acc71a6cc4f53d8de31236c26770e4d1dc73e2432fe</t>
        </is>
      </c>
      <c r="M158" s="4" t="inlineStr">
        <is>
          <t>2026-09-23T14:21:09.317Z</t>
        </is>
      </c>
    </row>
    <row r="159">
      <c r="A159" s="4" t="inlineStr">
        <is>
          <t>SOL → Base</t>
        </is>
      </c>
      <c r="B159" s="4" t="n">
        <v>1</v>
      </c>
      <c r="C159" s="4" t="inlineStr">
        <is>
          <t>Mayan</t>
        </is>
      </c>
      <c r="D159" s="4" t="inlineStr">
        <is>
          <t>2026-09-23T14:21:02.754Z</t>
        </is>
      </c>
      <c r="E159" s="4" t="inlineStr">
        <is>
          <t>2026-09-23T14:21:04.081Z</t>
        </is>
      </c>
      <c r="F159" s="4" t="inlineStr">
        <is>
          <t>2026-09-23T14:21:09.324Z</t>
        </is>
      </c>
      <c r="G159" s="20" t="n">
        <v>0.005</v>
      </c>
      <c r="H159" s="19" t="n">
        <v>99.93300000000001</v>
      </c>
      <c r="I159" s="21" t="inlineStr">
        <is>
          <t>open</t>
        </is>
      </c>
      <c r="J159" s="22" t="inlineStr">
        <is>
          <t>0a92b24062731ef2a17e722aa4127ef9ace15bc75092bc7dfb1df41bd7e4c9e6</t>
        </is>
      </c>
      <c r="K159" s="21" t="inlineStr">
        <is>
          <t>open</t>
        </is>
      </c>
      <c r="L159" s="22" t="inlineStr">
        <is>
          <t>e8cabc54e391fecd19f96b9c3e62e4188ecd1999e2a62219fe248f58ac9a3baa</t>
        </is>
      </c>
      <c r="M159" s="4" t="inlineStr">
        <is>
          <t>2026-09-23T14:21:09.316Z</t>
        </is>
      </c>
    </row>
    <row r="160">
      <c r="A160" s="4" t="inlineStr">
        <is>
          <t>SOL → Base</t>
        </is>
      </c>
      <c r="B160" s="4" t="n">
        <v>1</v>
      </c>
      <c r="C160" s="4" t="inlineStr">
        <is>
          <t>Allbridge Core</t>
        </is>
      </c>
      <c r="D160" s="4" t="inlineStr">
        <is>
          <t>2026-09-23T14:21:02.757Z</t>
        </is>
      </c>
      <c r="E160" s="4" t="inlineStr">
        <is>
          <t>2026-09-23T14:21:04.267Z</t>
        </is>
      </c>
      <c r="F160" s="4" t="inlineStr">
        <is>
          <t>2026-09-23T14:21:09.608Z</t>
        </is>
      </c>
      <c r="G160" s="20" t="n">
        <v>0.004</v>
      </c>
      <c r="H160" s="19" t="n">
        <v>99.90000000000001</v>
      </c>
      <c r="I160" s="21" t="inlineStr">
        <is>
          <t>open</t>
        </is>
      </c>
      <c r="J160" s="22" t="inlineStr">
        <is>
          <t>e265962ca5e1aab05f31eae7bd749b0e9799c2acf67d30e5077b06edd8efd184</t>
        </is>
      </c>
      <c r="K160" s="21" t="inlineStr">
        <is>
          <t>open</t>
        </is>
      </c>
      <c r="L160" s="22" t="inlineStr">
        <is>
          <t>98810cc6e4e2fedc50a3941874f670bb247c4e0b5341136e2bdee6bc82def80b</t>
        </is>
      </c>
      <c r="M160" s="4" t="inlineStr">
        <is>
          <t>2026-09-23T14:21:09.317Z</t>
        </is>
      </c>
    </row>
    <row r="161">
      <c r="A161" s="4" t="inlineStr">
        <is>
          <t>SOL → Base</t>
        </is>
      </c>
      <c r="B161" s="4" t="n">
        <v>1</v>
      </c>
      <c r="C161" s="4" t="inlineStr">
        <is>
          <t>CCTP (via Portal)</t>
        </is>
      </c>
      <c r="D161" s="4" t="inlineStr">
        <is>
          <t>2026-09-23T14:21:02.755Z</t>
        </is>
      </c>
      <c r="E161" s="4" t="inlineStr">
        <is>
          <t>2026-09-23T14:21:05.721Z</t>
        </is>
      </c>
      <c r="F161" s="4" t="inlineStr">
        <is>
          <t>2026-09-23T14:21:09.364Z</t>
        </is>
      </c>
      <c r="G161" s="20" t="n">
        <v>0.001</v>
      </c>
      <c r="H161" s="19" t="n">
        <v>99.98999999999999</v>
      </c>
      <c r="I161" s="21" t="inlineStr">
        <is>
          <t>open</t>
        </is>
      </c>
      <c r="J161" s="22" t="inlineStr">
        <is>
          <t>122b552af859464f7f24bc94037552edc9159f22bbf24b5ce3cfa3e2de4344ff</t>
        </is>
      </c>
      <c r="K161" s="21" t="inlineStr">
        <is>
          <t>open</t>
        </is>
      </c>
      <c r="L161" s="22" t="inlineStr">
        <is>
          <t>40e7a99c02695f3b19c6396a9df6e649333681f12568a1c24ebd8d70e1cfccab</t>
        </is>
      </c>
      <c r="M161" s="4" t="inlineStr">
        <is>
          <t>2026-09-23T14:21:09.322Z</t>
        </is>
      </c>
    </row>
    <row r="162">
      <c r="A162" s="4" t="inlineStr">
        <is>
          <t>SOL → Base</t>
        </is>
      </c>
      <c r="B162" s="4" t="n">
        <v>1</v>
      </c>
      <c r="C162" s="4" t="inlineStr">
        <is>
          <t>Husher</t>
        </is>
      </c>
      <c r="D162" s="4" t="inlineStr">
        <is>
          <t>2026-09-23T14:21:02.759Z</t>
        </is>
      </c>
      <c r="E162" s="4" t="inlineStr">
        <is>
          <t>2026-09-23T14:21:04.147Z</t>
        </is>
      </c>
      <c r="F162" s="4" t="inlineStr">
        <is>
          <t>2026-09-23T14:21:09.336Z</t>
        </is>
      </c>
      <c r="G162" s="20" t="n">
        <v>0.004</v>
      </c>
      <c r="H162" s="19" t="n">
        <v>99.45</v>
      </c>
      <c r="I162" s="21" t="inlineStr">
        <is>
          <t>open</t>
        </is>
      </c>
      <c r="J162" s="22" t="inlineStr">
        <is>
          <t>adacea7c1a4e0e28e5a7b40cccfb01d77879511169cd1fee51742be2f2ea0d82</t>
        </is>
      </c>
      <c r="K162" s="21" t="inlineStr">
        <is>
          <t>open</t>
        </is>
      </c>
      <c r="L162" s="22" t="inlineStr">
        <is>
          <t>ee88b1e978137e623bba0b74dccf770ac7bb2d2f761c72b2a440d3e8b73bf051</t>
        </is>
      </c>
      <c r="M162" s="4" t="inlineStr">
        <is>
          <t>2026-09-23T14:21:09.317Z</t>
        </is>
      </c>
    </row>
    <row r="163">
      <c r="A163" s="4" t="inlineStr">
        <is>
          <t>SOL → Base</t>
        </is>
      </c>
      <c r="B163" s="4" t="n">
        <v>1</v>
      </c>
      <c r="C163" s="4" t="inlineStr">
        <is>
          <t>Layerswap</t>
        </is>
      </c>
      <c r="D163" s="4" t="inlineStr">
        <is>
          <t>2026-09-23T14:21:02.756Z</t>
        </is>
      </c>
      <c r="E163" s="4" t="inlineStr">
        <is>
          <t>2026-09-23T14:21:05.390Z</t>
        </is>
      </c>
      <c r="F163" s="4" t="inlineStr">
        <is>
          <t>2026-09-23T14:21:09.358Z</t>
        </is>
      </c>
      <c r="G163" s="20" t="n">
        <v>0</v>
      </c>
      <c r="H163" s="19" t="n">
        <v>99.864045</v>
      </c>
      <c r="I163" s="21" t="inlineStr">
        <is>
          <t>open</t>
        </is>
      </c>
      <c r="J163" s="22" t="inlineStr">
        <is>
          <t>337bad2cc418e9b7ee62885bb6e325544c8d73e68b35f240605f3baa0a8722ec</t>
        </is>
      </c>
      <c r="K163" s="21" t="inlineStr">
        <is>
          <t>open</t>
        </is>
      </c>
      <c r="L163" s="22" t="inlineStr">
        <is>
          <t>a3dbaac4e9df12c1d740badc6e052a8df0817740aaa808d9d9fefde5a9a90b9e</t>
        </is>
      </c>
      <c r="M163" s="4" t="inlineStr">
        <is>
          <t>2026-09-23T14:21:09.321Z</t>
        </is>
      </c>
    </row>
    <row r="164">
      <c r="A164" s="4" t="inlineStr">
        <is>
          <t>SOL → Base</t>
        </is>
      </c>
      <c r="B164" s="4" t="n">
        <v>1</v>
      </c>
      <c r="C164" s="4" t="inlineStr">
        <is>
          <t>Meson</t>
        </is>
      </c>
      <c r="D164" s="4" t="inlineStr">
        <is>
          <t>2026-09-23T14:21:02.759Z</t>
        </is>
      </c>
      <c r="E164" s="4" t="inlineStr">
        <is>
          <t>2026-09-23T14:21:03.426Z</t>
        </is>
      </c>
      <c r="F164" s="4" t="inlineStr">
        <is>
          <t>2026-09-23T14:21:09.328Z</t>
        </is>
      </c>
      <c r="G164" s="20" t="n">
        <v>0.005</v>
      </c>
      <c r="H164" s="19" t="n">
        <v>99.84</v>
      </c>
      <c r="I164" s="21" t="inlineStr">
        <is>
          <t>open</t>
        </is>
      </c>
      <c r="J164" s="22" t="inlineStr">
        <is>
          <t>31fd21c55eb51627dd512736b8e5b46528bf67af4a99dc92399d65d0c22fd2c0</t>
        </is>
      </c>
      <c r="K164" s="21" t="inlineStr">
        <is>
          <t>open</t>
        </is>
      </c>
      <c r="L164" s="22" t="inlineStr">
        <is>
          <t>529059ff6b97932046e8b4b8eff5d9a49ddd5f10408d2eaec8177609e28f33d0</t>
        </is>
      </c>
      <c r="M164" s="4" t="inlineStr">
        <is>
          <t>2026-09-23T14:21:09.316Z</t>
        </is>
      </c>
    </row>
    <row r="165">
      <c r="A165" s="4" t="inlineStr">
        <is>
          <t>SOL → Base</t>
        </is>
      </c>
      <c r="B165" s="4" t="n">
        <v>1</v>
      </c>
      <c r="C165" s="4" t="inlineStr">
        <is>
          <t>SimpleSwap</t>
        </is>
      </c>
      <c r="D165" s="4" t="inlineStr">
        <is>
          <t>2026-09-23T14:21:02.758Z</t>
        </is>
      </c>
      <c r="E165" s="4" t="inlineStr">
        <is>
          <t>2026-09-23T14:21:05.710Z</t>
        </is>
      </c>
      <c r="F165" s="4" t="inlineStr">
        <is>
          <t>2026-09-23T14:21:09.555Z</t>
        </is>
      </c>
      <c r="G165" s="20" t="n">
        <v>0.001</v>
      </c>
      <c r="H165" s="19" t="n">
        <v>98.49149199999999</v>
      </c>
      <c r="I165" s="21" t="inlineStr">
        <is>
          <t>open</t>
        </is>
      </c>
      <c r="J165" s="22" t="inlineStr">
        <is>
          <t>16f3e6698b3887255177b27718a51a4beaadb17b7d3b0d5b8ab2371681bc3410</t>
        </is>
      </c>
      <c r="K165" s="21" t="inlineStr">
        <is>
          <t>open</t>
        </is>
      </c>
      <c r="L165" s="22" t="inlineStr">
        <is>
          <t>3f078702d8add61ab952df08524aec92164c759ba19d010b01c9892ada9d5b54</t>
        </is>
      </c>
      <c r="M165" s="4" t="inlineStr">
        <is>
          <t>2026-09-23T14:21:09.322Z</t>
        </is>
      </c>
    </row>
    <row r="166">
      <c r="A166" s="4" t="inlineStr">
        <is>
          <t>SOL → Base</t>
        </is>
      </c>
      <c r="B166" s="4" t="n">
        <v>1</v>
      </c>
      <c r="C166" s="4" t="inlineStr">
        <is>
          <t>Skip Go</t>
        </is>
      </c>
      <c r="D166" s="4" t="inlineStr">
        <is>
          <t>2026-09-23T14:21:02.755Z</t>
        </is>
      </c>
      <c r="E166" s="4" t="inlineStr">
        <is>
          <t>2026-09-23T14:21:05.309Z</t>
        </is>
      </c>
      <c r="F166" s="4" t="inlineStr">
        <is>
          <t>2026-09-23T14:21:09.342Z</t>
        </is>
      </c>
      <c r="G166" s="20" t="n">
        <v>0.002</v>
      </c>
      <c r="H166" s="19" t="n">
        <v>99.9811</v>
      </c>
      <c r="I166" s="21" t="inlineStr">
        <is>
          <t>open</t>
        </is>
      </c>
      <c r="J166" s="22" t="inlineStr">
        <is>
          <t>2028cfc1f1368af8934aba7b18aaf2de01515371121acebfa0e8cd7b62d033e5</t>
        </is>
      </c>
      <c r="K166" s="21" t="inlineStr">
        <is>
          <t>open</t>
        </is>
      </c>
      <c r="L166" s="22" t="inlineStr">
        <is>
          <t>9b9c7703d9f34d188140f44510e47677d1f3b2214898acc16eccc729d537afbc</t>
        </is>
      </c>
      <c r="M166" s="4" t="inlineStr">
        <is>
          <t>2026-09-23T14:21:09.319Z</t>
        </is>
      </c>
    </row>
    <row r="167">
      <c r="A167" s="4" t="inlineStr">
        <is>
          <t>SOL → Base</t>
        </is>
      </c>
      <c r="B167" s="4" t="n">
        <v>2</v>
      </c>
      <c r="C167" s="4" t="inlineStr">
        <is>
          <t>Bridg</t>
        </is>
      </c>
      <c r="D167" s="4" t="inlineStr">
        <is>
          <t>2026-09-23T14:25:40.428Z</t>
        </is>
      </c>
      <c r="E167" s="4" t="inlineStr">
        <is>
          <t>2026-09-23T14:25:41.751Z</t>
        </is>
      </c>
      <c r="F167" s="4" t="inlineStr">
        <is>
          <t>2026-09-23T14:25:46.692Z</t>
        </is>
      </c>
      <c r="G167" s="20" t="n"/>
      <c r="H167" s="19" t="n">
        <v>99.943099</v>
      </c>
      <c r="I167" s="21" t="inlineStr">
        <is>
          <t>open</t>
        </is>
      </c>
      <c r="J167" s="22" t="inlineStr">
        <is>
          <t>9b4ea0eccd72165c5fe2e18c76df2399dea2a3ccaff5ffca0d2a2c5f179e618b</t>
        </is>
      </c>
      <c r="K167" s="21" t="inlineStr">
        <is>
          <t>open</t>
        </is>
      </c>
      <c r="L167" s="22" t="inlineStr">
        <is>
          <t>90bcac2f96b4336d136620ace0125154738decd22f74b305c98ffff98a7588f8</t>
        </is>
      </c>
      <c r="M167" s="4" t="inlineStr">
        <is>
          <t>2026-09-23T14:25:46.682Z</t>
        </is>
      </c>
    </row>
    <row r="168">
      <c r="A168" s="4" t="inlineStr">
        <is>
          <t>SOL → Base</t>
        </is>
      </c>
      <c r="B168" s="4" t="n">
        <v>2</v>
      </c>
      <c r="C168" s="4" t="inlineStr">
        <is>
          <t>OpenSea</t>
        </is>
      </c>
      <c r="D168" s="4" t="inlineStr">
        <is>
          <t>2026-09-23T14:25:40.430Z</t>
        </is>
      </c>
      <c r="E168" s="4" t="inlineStr">
        <is>
          <t>2026-09-23T14:25:43.569Z</t>
        </is>
      </c>
      <c r="F168" s="4" t="inlineStr">
        <is>
          <t>2026-09-23T14:25:46.694Z</t>
        </is>
      </c>
      <c r="G168" s="20" t="n">
        <v>0.001</v>
      </c>
      <c r="H168" s="19" t="n">
        <v>99.9254</v>
      </c>
      <c r="I168" s="21" t="inlineStr">
        <is>
          <t>open</t>
        </is>
      </c>
      <c r="J168" s="22" t="inlineStr">
        <is>
          <t>ddedc450b3071b1a0afb224552aa7a55b5c8e3a2edce48d0fc583a549998f827</t>
        </is>
      </c>
      <c r="K168" s="21" t="inlineStr">
        <is>
          <t>open</t>
        </is>
      </c>
      <c r="L168" s="22" t="inlineStr">
        <is>
          <t>7747db1b918b03e0c93b0773bab624455def8193eb2d6bfbbbb8f4d947c3db0d</t>
        </is>
      </c>
      <c r="M168" s="4" t="inlineStr">
        <is>
          <t>2026-09-23T14:25:46.683Z</t>
        </is>
      </c>
    </row>
    <row r="169">
      <c r="A169" s="4" t="inlineStr">
        <is>
          <t>SOL → Base</t>
        </is>
      </c>
      <c r="B169" s="4" t="n">
        <v>2</v>
      </c>
      <c r="C169" s="4" t="inlineStr">
        <is>
          <t>Relay</t>
        </is>
      </c>
      <c r="D169" s="4" t="inlineStr">
        <is>
          <t>2026-09-23T14:25:40.427Z</t>
        </is>
      </c>
      <c r="E169" s="4" t="inlineStr">
        <is>
          <t>2026-09-23T14:25:42.354Z</t>
        </is>
      </c>
      <c r="F169" s="4" t="inlineStr">
        <is>
          <t>2026-09-23T14:25:46.691Z</t>
        </is>
      </c>
      <c r="G169" s="20" t="n">
        <v>0</v>
      </c>
      <c r="H169" s="19" t="n">
        <v>99.93352899999999</v>
      </c>
      <c r="I169" s="21" t="inlineStr">
        <is>
          <t>open</t>
        </is>
      </c>
      <c r="J169" s="22" t="inlineStr">
        <is>
          <t>359842e6305617e8d0cb53d7b58bbba34f400f05531b67210d01f35568090a09</t>
        </is>
      </c>
      <c r="K169" s="21" t="inlineStr">
        <is>
          <t>open</t>
        </is>
      </c>
      <c r="L169" s="22" t="inlineStr">
        <is>
          <t>7895a637f95db60c3e972d59019825b9ddb99c384efe540970627b02101da73a</t>
        </is>
      </c>
      <c r="M169" s="4" t="inlineStr">
        <is>
          <t>2026-09-23T14:25:46.682Z</t>
        </is>
      </c>
    </row>
    <row r="170">
      <c r="A170" s="4" t="inlineStr">
        <is>
          <t>SOL → Base</t>
        </is>
      </c>
      <c r="B170" s="4" t="n">
        <v>2</v>
      </c>
      <c r="C170" s="4" t="inlineStr">
        <is>
          <t>deBridge</t>
        </is>
      </c>
      <c r="D170" s="4" t="inlineStr">
        <is>
          <t>2026-09-23T14:25:40.428Z</t>
        </is>
      </c>
      <c r="E170" s="4" t="inlineStr">
        <is>
          <t>2026-09-23T14:25:42.127Z</t>
        </is>
      </c>
      <c r="F170" s="4" t="inlineStr">
        <is>
          <t>2026-09-23T14:25:46.690Z</t>
        </is>
      </c>
      <c r="G170" s="20" t="n">
        <v>0.001</v>
      </c>
      <c r="H170" s="19" t="n">
        <v>99.920018</v>
      </c>
      <c r="I170" s="21" t="inlineStr">
        <is>
          <t>open</t>
        </is>
      </c>
      <c r="J170" s="22" t="inlineStr">
        <is>
          <t>8f6b64359473d8dec46cf69cb65dafebf0d1ba4840282f0863b6a817c5836472</t>
        </is>
      </c>
      <c r="K170" s="21" t="inlineStr">
        <is>
          <t>open</t>
        </is>
      </c>
      <c r="L170" s="22" t="inlineStr">
        <is>
          <t>6ac8a415a2525eb42afafb86ca6645cdde1356e81d9c48bab43eaacca66d5e7b</t>
        </is>
      </c>
      <c r="M170" s="4" t="inlineStr">
        <is>
          <t>2026-09-23T14:25:46.681Z</t>
        </is>
      </c>
    </row>
    <row r="171">
      <c r="A171" s="4" t="inlineStr">
        <is>
          <t>SOL → Base</t>
        </is>
      </c>
      <c r="B171" s="4" t="n">
        <v>2</v>
      </c>
      <c r="C171" s="4" t="inlineStr">
        <is>
          <t>LI.FI (Jumper)</t>
        </is>
      </c>
      <c r="D171" s="4" t="inlineStr">
        <is>
          <t>2026-09-23T14:25:40.429Z</t>
        </is>
      </c>
      <c r="E171" s="4" t="inlineStr">
        <is>
          <t>2026-09-23T14:25:44.523Z</t>
        </is>
      </c>
      <c r="F171" s="4" t="inlineStr">
        <is>
          <t>2026-09-23T14:25:46.685Z</t>
        </is>
      </c>
      <c r="G171" s="20" t="n">
        <v>0.002</v>
      </c>
      <c r="H171" s="19" t="n">
        <v>100</v>
      </c>
      <c r="I171" s="21" t="inlineStr">
        <is>
          <t>open</t>
        </is>
      </c>
      <c r="J171" s="22" t="inlineStr">
        <is>
          <t>3ef4d9362d94874ce599f605706d43e84e97b2d58b7646ea6d01597d44f0381a</t>
        </is>
      </c>
      <c r="K171" s="21" t="inlineStr">
        <is>
          <t>open</t>
        </is>
      </c>
      <c r="L171" s="22" t="inlineStr">
        <is>
          <t>2067c198e34df211f72b04a87374ca54107d32677317b241083955ac9db486cb</t>
        </is>
      </c>
      <c r="M171" s="4" t="inlineStr">
        <is>
          <t>2026-09-23T14:25:46.680Z</t>
        </is>
      </c>
    </row>
    <row r="172">
      <c r="A172" s="4" t="inlineStr">
        <is>
          <t>SOL → Base</t>
        </is>
      </c>
      <c r="B172" s="4" t="n">
        <v>2</v>
      </c>
      <c r="C172" s="4" t="inlineStr">
        <is>
          <t>Across</t>
        </is>
      </c>
      <c r="D172" s="4" t="inlineStr">
        <is>
          <t>2026-09-23T14:25:40.427Z</t>
        </is>
      </c>
      <c r="E172" s="4" t="inlineStr">
        <is>
          <t>2026-09-23T14:25:42.104Z</t>
        </is>
      </c>
      <c r="F172" s="4" t="inlineStr">
        <is>
          <t>2026-09-23T14:25:46.686Z</t>
        </is>
      </c>
      <c r="G172" s="20" t="n">
        <v>0.001</v>
      </c>
      <c r="H172" s="19" t="n">
        <v>99.98999999999999</v>
      </c>
      <c r="I172" s="21" t="inlineStr">
        <is>
          <t>open</t>
        </is>
      </c>
      <c r="J172" s="22" t="inlineStr">
        <is>
          <t>1a8cb194f967d84de78bb71694170c5c681466b8f619602818186c9eb4477026</t>
        </is>
      </c>
      <c r="K172" s="21" t="inlineStr">
        <is>
          <t>open</t>
        </is>
      </c>
      <c r="L172" s="22" t="inlineStr">
        <is>
          <t>90e220ebd301e4a3c7ea8d66cf43d4e18ba4c98d6c4f98bd3c35ea28b7f5e0b7</t>
        </is>
      </c>
      <c r="M172" s="4" t="inlineStr">
        <is>
          <t>2026-09-23T14:25:46.681Z</t>
        </is>
      </c>
    </row>
    <row r="173">
      <c r="A173" s="4" t="inlineStr">
        <is>
          <t>SOL → Base</t>
        </is>
      </c>
      <c r="B173" s="4" t="n">
        <v>2</v>
      </c>
      <c r="C173" s="4" t="inlineStr">
        <is>
          <t>Mayan</t>
        </is>
      </c>
      <c r="D173" s="4" t="inlineStr">
        <is>
          <t>2026-09-23T14:25:40.424Z</t>
        </is>
      </c>
      <c r="E173" s="4" t="inlineStr">
        <is>
          <t>2026-09-23T14:25:42.103Z</t>
        </is>
      </c>
      <c r="F173" s="4" t="inlineStr">
        <is>
          <t>2026-09-23T14:25:46.685Z</t>
        </is>
      </c>
      <c r="G173" s="20" t="n">
        <v>0.001</v>
      </c>
      <c r="H173" s="19" t="n">
        <v>99.93300000000001</v>
      </c>
      <c r="I173" s="21" t="inlineStr">
        <is>
          <t>open</t>
        </is>
      </c>
      <c r="J173" s="22" t="inlineStr">
        <is>
          <t>d16900757e3231f6ac471de95865a23a7d538313371a1863a31dc63a9f1c09c3</t>
        </is>
      </c>
      <c r="K173" s="21" t="inlineStr">
        <is>
          <t>open</t>
        </is>
      </c>
      <c r="L173" s="22" t="inlineStr">
        <is>
          <t>2cb023047af77abf078e82bafc24b6f2936fcc34d171265158b070a6fca674f5</t>
        </is>
      </c>
      <c r="M173" s="4" t="inlineStr">
        <is>
          <t>2026-09-23T14:25:46.681Z</t>
        </is>
      </c>
    </row>
    <row r="174">
      <c r="A174" s="4" t="inlineStr">
        <is>
          <t>SOL → Base</t>
        </is>
      </c>
      <c r="B174" s="4" t="n">
        <v>2</v>
      </c>
      <c r="C174" s="4" t="inlineStr">
        <is>
          <t>Allbridge Core</t>
        </is>
      </c>
      <c r="D174" s="4" t="inlineStr">
        <is>
          <t>2026-09-23T14:25:40.429Z</t>
        </is>
      </c>
      <c r="E174" s="4" t="inlineStr">
        <is>
          <t>2026-09-23T14:25:41.884Z</t>
        </is>
      </c>
      <c r="F174" s="4" t="inlineStr">
        <is>
          <t>2026-09-23T14:25:47.221Z</t>
        </is>
      </c>
      <c r="G174" s="20" t="n">
        <v>0</v>
      </c>
      <c r="H174" s="19" t="n">
        <v>99.90000000000001</v>
      </c>
      <c r="I174" s="21" t="inlineStr">
        <is>
          <t>open</t>
        </is>
      </c>
      <c r="J174" s="22" t="inlineStr">
        <is>
          <t>42ca6d1885083048ba6b2b4604f797eefea89bb9bd2472aafc9a9741b0442ba1</t>
        </is>
      </c>
      <c r="K174" s="21" t="inlineStr">
        <is>
          <t>open</t>
        </is>
      </c>
      <c r="L174" s="22" t="inlineStr">
        <is>
          <t>e5cf331c6ac97991dcb92b4325808a4968cd5335d8007d773798e64f3c3569a8</t>
        </is>
      </c>
      <c r="M174" s="4" t="inlineStr">
        <is>
          <t>2026-09-23T14:25:46.682Z</t>
        </is>
      </c>
    </row>
    <row r="175">
      <c r="A175" s="4" t="inlineStr">
        <is>
          <t>SOL → Base</t>
        </is>
      </c>
      <c r="B175" s="4" t="n">
        <v>2</v>
      </c>
      <c r="C175" s="4" t="inlineStr">
        <is>
          <t>CCTP (via Portal)</t>
        </is>
      </c>
      <c r="D175" s="4" t="inlineStr">
        <is>
          <t>2026-09-23T14:25:40.430Z</t>
        </is>
      </c>
      <c r="E175" s="4" t="inlineStr">
        <is>
          <t>2026-09-23T14:25:44.327Z</t>
        </is>
      </c>
      <c r="F175" s="4" t="inlineStr">
        <is>
          <t>2026-09-23T14:25:46.694Z</t>
        </is>
      </c>
      <c r="G175" s="20" t="n">
        <v>0.002</v>
      </c>
      <c r="H175" s="19" t="n">
        <v>99.98999999999999</v>
      </c>
      <c r="I175" s="21" t="inlineStr">
        <is>
          <t>open</t>
        </is>
      </c>
      <c r="J175" s="22" t="inlineStr">
        <is>
          <t>40977836b00b75854f6ed64b96ecc6fde5f1266644d64d2b30220776ea4dde03</t>
        </is>
      </c>
      <c r="K175" s="21" t="inlineStr">
        <is>
          <t>open</t>
        </is>
      </c>
      <c r="L175" s="22" t="inlineStr">
        <is>
          <t>7e3e18361f195e8222ae58ed74f48dd94ae8a7e92d592c1580f918f1d74cddae</t>
        </is>
      </c>
      <c r="M175" s="4" t="inlineStr">
        <is>
          <t>2026-09-23T14:25:46.684Z</t>
        </is>
      </c>
    </row>
    <row r="176">
      <c r="A176" s="4" t="inlineStr">
        <is>
          <t>SOL → Base</t>
        </is>
      </c>
      <c r="B176" s="4" t="n">
        <v>2</v>
      </c>
      <c r="C176" s="4" t="inlineStr">
        <is>
          <t>Husher</t>
        </is>
      </c>
      <c r="D176" s="4" t="inlineStr">
        <is>
          <t>2026-09-23T14:25:40.431Z</t>
        </is>
      </c>
      <c r="E176" s="4" t="inlineStr">
        <is>
          <t>2026-09-23T14:25:42.118Z</t>
        </is>
      </c>
      <c r="F176" s="4" t="inlineStr">
        <is>
          <t>2026-09-23T14:25:46.690Z</t>
        </is>
      </c>
      <c r="G176" s="20" t="n">
        <v>0</v>
      </c>
      <c r="H176" s="19" t="n">
        <v>99.45</v>
      </c>
      <c r="I176" s="21" t="inlineStr">
        <is>
          <t>open</t>
        </is>
      </c>
      <c r="J176" s="22" t="inlineStr">
        <is>
          <t>e65822331a94cbc0f164881bf2693f1a601f811e543ecc15079090da76cc65e8</t>
        </is>
      </c>
      <c r="K176" s="21" t="inlineStr">
        <is>
          <t>open</t>
        </is>
      </c>
      <c r="L176" s="22" t="inlineStr">
        <is>
          <t>ccd3dee34f430fa65644ffdda198e0db28ca6b387503b20d5eb50456c7463a2f</t>
        </is>
      </c>
      <c r="M176" s="4" t="inlineStr">
        <is>
          <t>2026-09-23T14:25:46.682Z</t>
        </is>
      </c>
    </row>
    <row r="177">
      <c r="A177" s="4" t="inlineStr">
        <is>
          <t>SOL → Base</t>
        </is>
      </c>
      <c r="B177" s="4" t="n">
        <v>2</v>
      </c>
      <c r="C177" s="4" t="inlineStr">
        <is>
          <t>Layerswap</t>
        </is>
      </c>
      <c r="D177" s="4" t="inlineStr">
        <is>
          <t>2026-09-23T14:25:40.426Z</t>
        </is>
      </c>
      <c r="E177" s="4" t="inlineStr">
        <is>
          <t>2026-09-23T14:25:43.019Z</t>
        </is>
      </c>
      <c r="F177" s="4" t="inlineStr">
        <is>
          <t>2026-09-23T14:25:46.692Z</t>
        </is>
      </c>
      <c r="G177" s="20" t="n">
        <v>0</v>
      </c>
      <c r="H177" s="19" t="n">
        <v>99.864047</v>
      </c>
      <c r="I177" s="21" t="inlineStr">
        <is>
          <t>open</t>
        </is>
      </c>
      <c r="J177" s="22" t="inlineStr">
        <is>
          <t>4906881ddf6c774737ad5f6172832233de08d6cca5344d90bc624ec4e34b77b8</t>
        </is>
      </c>
      <c r="K177" s="21" t="inlineStr">
        <is>
          <t>open</t>
        </is>
      </c>
      <c r="L177" s="22" t="inlineStr">
        <is>
          <t>15a19d8817e9f0c09c5cde0b7e0e5c197712ddfdc1624ea8a4596a7a22f069ba</t>
        </is>
      </c>
      <c r="M177" s="4" t="inlineStr">
        <is>
          <t>2026-09-23T14:25:46.682Z</t>
        </is>
      </c>
    </row>
    <row r="178">
      <c r="A178" s="4" t="inlineStr">
        <is>
          <t>SOL → Base</t>
        </is>
      </c>
      <c r="B178" s="4" t="n">
        <v>2</v>
      </c>
      <c r="C178" s="4" t="inlineStr">
        <is>
          <t>Meson</t>
        </is>
      </c>
      <c r="D178" s="4" t="inlineStr">
        <is>
          <t>2026-09-23T14:25:40.431Z</t>
        </is>
      </c>
      <c r="E178" s="4" t="inlineStr">
        <is>
          <t>2026-09-23T14:25:40.981Z</t>
        </is>
      </c>
      <c r="F178" s="4" t="inlineStr">
        <is>
          <t>2026-09-23T14:25:46.688Z</t>
        </is>
      </c>
      <c r="G178" s="20" t="n">
        <v>0.001</v>
      </c>
      <c r="H178" s="19" t="n">
        <v>99.84</v>
      </c>
      <c r="I178" s="21" t="inlineStr">
        <is>
          <t>open</t>
        </is>
      </c>
      <c r="J178" s="22" t="inlineStr">
        <is>
          <t>31fd21c55eb51627dd512736b8e5b46528bf67af4a99dc92399d65d0c22fd2c0</t>
        </is>
      </c>
      <c r="K178" s="21" t="inlineStr">
        <is>
          <t>open</t>
        </is>
      </c>
      <c r="L178" s="22" t="inlineStr">
        <is>
          <t>37b09220cbd7f5e0f3c773241b160a6a5ec23d663c694cd9982aceb74dcbf318</t>
        </is>
      </c>
      <c r="M178" s="4" t="inlineStr">
        <is>
          <t>2026-09-23T14:25:46.681Z</t>
        </is>
      </c>
    </row>
    <row r="179">
      <c r="A179" s="4" t="inlineStr">
        <is>
          <t>SOL → Base</t>
        </is>
      </c>
      <c r="B179" s="4" t="n">
        <v>2</v>
      </c>
      <c r="C179" s="4" t="inlineStr">
        <is>
          <t>SimpleSwap</t>
        </is>
      </c>
      <c r="D179" s="4" t="inlineStr">
        <is>
          <t>2026-09-23T14:25:40.432Z</t>
        </is>
      </c>
      <c r="E179" s="4" t="inlineStr">
        <is>
          <t>2026-09-23T14:25:43.482Z</t>
        </is>
      </c>
      <c r="F179" s="4" t="inlineStr">
        <is>
          <t>2026-09-23T14:25:47.171Z</t>
        </is>
      </c>
      <c r="G179" s="20" t="n">
        <v>0.002</v>
      </c>
      <c r="H179" s="19" t="n">
        <v>98.49247699999999</v>
      </c>
      <c r="I179" s="21" t="inlineStr">
        <is>
          <t>open</t>
        </is>
      </c>
      <c r="J179" s="22" t="inlineStr">
        <is>
          <t>d5968d2c952e80861ee503755c8acda45b51fadf15d674d973b2a4d251a36c02</t>
        </is>
      </c>
      <c r="K179" s="21" t="inlineStr">
        <is>
          <t>open</t>
        </is>
      </c>
      <c r="L179" s="22" t="inlineStr">
        <is>
          <t>b92d50b5147daac88424c27191a6b711b6bb24090190f45db43a993565ccbfb4</t>
        </is>
      </c>
      <c r="M179" s="4" t="inlineStr">
        <is>
          <t>2026-09-23T14:25:46.684Z</t>
        </is>
      </c>
    </row>
    <row r="180">
      <c r="A180" s="4" t="inlineStr">
        <is>
          <t>SOL → Base</t>
        </is>
      </c>
      <c r="B180" s="4" t="n">
        <v>2</v>
      </c>
      <c r="C180" s="4" t="inlineStr">
        <is>
          <t>Skip Go</t>
        </is>
      </c>
      <c r="D180" s="4" t="inlineStr">
        <is>
          <t>2026-09-23T14:25:40.429Z</t>
        </is>
      </c>
      <c r="E180" s="4" t="inlineStr">
        <is>
          <t>2026-09-23T14:25:43.164Z</t>
        </is>
      </c>
      <c r="F180" s="4" t="inlineStr">
        <is>
          <t>2026-09-23T14:25:46.693Z</t>
        </is>
      </c>
      <c r="G180" s="20" t="n">
        <v>0.001</v>
      </c>
      <c r="H180" s="19" t="n">
        <v>99.9811</v>
      </c>
      <c r="I180" s="21" t="inlineStr">
        <is>
          <t>open</t>
        </is>
      </c>
      <c r="J180" s="22" t="inlineStr">
        <is>
          <t>80b3377bc14ca963336d8041dd7ec956abe4d2c716f0bedc0800f0ed4bedc05c</t>
        </is>
      </c>
      <c r="K180" s="21" t="inlineStr">
        <is>
          <t>open</t>
        </is>
      </c>
      <c r="L180" s="22" t="inlineStr">
        <is>
          <t>67488577bec884f788ab80f5b5ec1f59c85a22e4e7a5d09d56af3191956ddb9d</t>
        </is>
      </c>
      <c r="M180" s="4" t="inlineStr">
        <is>
          <t>2026-09-23T14:25:46.683Z</t>
        </is>
      </c>
    </row>
    <row r="181">
      <c r="A181" s="4" t="inlineStr">
        <is>
          <t>SOL → Base</t>
        </is>
      </c>
      <c r="B181" s="4" t="n">
        <v>3</v>
      </c>
      <c r="C181" s="4" t="inlineStr">
        <is>
          <t>Bridg</t>
        </is>
      </c>
      <c r="D181" s="4" t="inlineStr">
        <is>
          <t>2026-09-23T14:30:16.483Z</t>
        </is>
      </c>
      <c r="E181" s="4" t="inlineStr">
        <is>
          <t>2026-09-23T14:30:18.135Z</t>
        </is>
      </c>
      <c r="F181" s="4" t="inlineStr">
        <is>
          <t>2026-09-23T14:30:23.918Z</t>
        </is>
      </c>
      <c r="G181" s="20" t="n"/>
      <c r="H181" s="19" t="n">
        <v>99.943883</v>
      </c>
      <c r="I181" s="21" t="inlineStr">
        <is>
          <t>open</t>
        </is>
      </c>
      <c r="J181" s="22" t="inlineStr">
        <is>
          <t>bd4de4f20ad74ad74deb2d4b974475de55058b96cb4e55a08cbcb70a6a98358c</t>
        </is>
      </c>
      <c r="K181" s="21" t="inlineStr">
        <is>
          <t>open</t>
        </is>
      </c>
      <c r="L181" s="22" t="inlineStr">
        <is>
          <t>ada9afc790a807a82c408d997402ea69e96edc0bd41e72c04ada50e52c3a60d3</t>
        </is>
      </c>
      <c r="M181" s="4" t="inlineStr">
        <is>
          <t>2026-09-23T14:30:23.906Z</t>
        </is>
      </c>
    </row>
    <row r="182">
      <c r="A182" s="4" t="inlineStr">
        <is>
          <t>SOL → Base</t>
        </is>
      </c>
      <c r="B182" s="4" t="n">
        <v>3</v>
      </c>
      <c r="C182" s="4" t="inlineStr">
        <is>
          <t>OpenSea</t>
        </is>
      </c>
      <c r="D182" s="4" t="inlineStr">
        <is>
          <t>2026-09-23T14:30:16.482Z</t>
        </is>
      </c>
      <c r="E182" s="4" t="inlineStr">
        <is>
          <t>2026-09-23T14:30:20.135Z</t>
        </is>
      </c>
      <c r="F182" s="4" t="inlineStr">
        <is>
          <t>2026-09-23T14:30:23.932Z</t>
        </is>
      </c>
      <c r="G182" s="20" t="n">
        <v>0</v>
      </c>
      <c r="H182" s="19" t="n">
        <v>99.9409</v>
      </c>
      <c r="I182" s="21" t="inlineStr">
        <is>
          <t>open</t>
        </is>
      </c>
      <c r="J182" s="22" t="inlineStr">
        <is>
          <t>ab5eea77d0806e53b8765ecdc51a93ac34c9246a8f5f449d35e3972cc8736649</t>
        </is>
      </c>
      <c r="K182" s="21" t="inlineStr">
        <is>
          <t>open</t>
        </is>
      </c>
      <c r="L182" s="22" t="inlineStr">
        <is>
          <t>ccba00f2da7127a45020fa82249c5d1bbb5c3b7bab9dbbb7a95c8238a2758b39</t>
        </is>
      </c>
      <c r="M182" s="4" t="inlineStr">
        <is>
          <t>2026-09-23T14:30:23.906Z</t>
        </is>
      </c>
    </row>
    <row r="183">
      <c r="A183" s="4" t="inlineStr">
        <is>
          <t>SOL → Base</t>
        </is>
      </c>
      <c r="B183" s="4" t="n">
        <v>3</v>
      </c>
      <c r="C183" s="4" t="inlineStr">
        <is>
          <t>Relay</t>
        </is>
      </c>
      <c r="D183" s="4" t="inlineStr">
        <is>
          <t>2026-09-23T14:30:16.476Z</t>
        </is>
      </c>
      <c r="E183" s="4" t="inlineStr">
        <is>
          <t>2026-09-23T14:30:18.758Z</t>
        </is>
      </c>
      <c r="F183" s="4" t="inlineStr">
        <is>
          <t>2026-09-23T14:30:23.914Z</t>
        </is>
      </c>
      <c r="G183" s="20" t="n">
        <v>0.002</v>
      </c>
      <c r="H183" s="19" t="n">
        <v>99.93512</v>
      </c>
      <c r="I183" s="21" t="inlineStr">
        <is>
          <t>open</t>
        </is>
      </c>
      <c r="J183" s="22" t="inlineStr">
        <is>
          <t>d851726b8a7daa2a82e753f9d49471665dd4b5895f8559b1d45745b8c8ff02a2</t>
        </is>
      </c>
      <c r="K183" s="21" t="inlineStr">
        <is>
          <t>open</t>
        </is>
      </c>
      <c r="L183" s="22" t="inlineStr">
        <is>
          <t>a6ccc22d4b6548a30a4ec48f78b621c3afd9ab10aed4975708077b2d20df2e3e</t>
        </is>
      </c>
      <c r="M183" s="4" t="inlineStr">
        <is>
          <t>2026-09-23T14:30:23.904Z</t>
        </is>
      </c>
    </row>
    <row r="184">
      <c r="A184" s="4" t="inlineStr">
        <is>
          <t>SOL → Base</t>
        </is>
      </c>
      <c r="B184" s="4" t="n">
        <v>3</v>
      </c>
      <c r="C184" s="4" t="inlineStr">
        <is>
          <t>deBridge</t>
        </is>
      </c>
      <c r="D184" s="4" t="inlineStr">
        <is>
          <t>2026-09-23T14:30:16.485Z</t>
        </is>
      </c>
      <c r="E184" s="4" t="inlineStr">
        <is>
          <t>2026-09-23T14:30:19.480Z</t>
        </is>
      </c>
      <c r="F184" s="4" t="inlineStr">
        <is>
          <t>2026-09-23T14:30:23.915Z</t>
        </is>
      </c>
      <c r="G184" s="20" t="n">
        <v>0.001</v>
      </c>
      <c r="H184" s="19" t="n">
        <v>99.880032</v>
      </c>
      <c r="I184" s="21" t="inlineStr">
        <is>
          <t>open</t>
        </is>
      </c>
      <c r="J184" s="22" t="inlineStr">
        <is>
          <t>43a7ca615a7f001a412a42c74010ea91464da8db89704efda7795fa436757c49</t>
        </is>
      </c>
      <c r="K184" s="21" t="inlineStr">
        <is>
          <t>open</t>
        </is>
      </c>
      <c r="L184" s="22" t="inlineStr">
        <is>
          <t>a9da325020539b2d5e0e65417bde444edeff939f497d4d226921ae116de086f6</t>
        </is>
      </c>
      <c r="M184" s="4" t="inlineStr">
        <is>
          <t>2026-09-23T14:30:23.905Z</t>
        </is>
      </c>
    </row>
    <row r="185">
      <c r="A185" s="4" t="inlineStr">
        <is>
          <t>SOL → Base</t>
        </is>
      </c>
      <c r="B185" s="4" t="n">
        <v>3</v>
      </c>
      <c r="C185" s="4" t="inlineStr">
        <is>
          <t>LI.FI (Jumper)</t>
        </is>
      </c>
      <c r="D185" s="4" t="inlineStr">
        <is>
          <t>2026-09-23T14:30:16.489Z</t>
        </is>
      </c>
      <c r="E185" s="4" t="inlineStr">
        <is>
          <t>2026-09-23T14:30:21.772Z</t>
        </is>
      </c>
      <c r="F185" s="4" t="inlineStr">
        <is>
          <t>2026-09-23T14:30:23.907Z</t>
        </is>
      </c>
      <c r="G185" s="20" t="n">
        <v>0.003</v>
      </c>
      <c r="H185" s="19" t="n">
        <v>100</v>
      </c>
      <c r="I185" s="21" t="inlineStr">
        <is>
          <t>open</t>
        </is>
      </c>
      <c r="J185" s="22" t="inlineStr">
        <is>
          <t>2acca217a7394e87c63c5e3c6e9d8f486b42ef785b6b2dc415522c3e022ac8fd</t>
        </is>
      </c>
      <c r="K185" s="21" t="inlineStr">
        <is>
          <t>open</t>
        </is>
      </c>
      <c r="L185" s="22" t="inlineStr">
        <is>
          <t>922ef6585c1f98079f3cae4206e028bf6065f449ba765e2668aafa02dee60cbf</t>
        </is>
      </c>
      <c r="M185" s="4" t="inlineStr">
        <is>
          <t>2026-09-23T14:30:23.903Z</t>
        </is>
      </c>
    </row>
    <row r="186">
      <c r="A186" s="4" t="inlineStr">
        <is>
          <t>SOL → Base</t>
        </is>
      </c>
      <c r="B186" s="4" t="n">
        <v>3</v>
      </c>
      <c r="C186" s="4" t="inlineStr">
        <is>
          <t>Across</t>
        </is>
      </c>
      <c r="D186" s="4" t="inlineStr">
        <is>
          <t>2026-09-23T14:30:16.480Z</t>
        </is>
      </c>
      <c r="E186" s="4" t="inlineStr">
        <is>
          <t>2026-09-23T14:30:18.970Z</t>
        </is>
      </c>
      <c r="F186" s="4" t="inlineStr">
        <is>
          <t>2026-09-23T14:30:23.908Z</t>
        </is>
      </c>
      <c r="G186" s="20" t="n">
        <v>0.002</v>
      </c>
      <c r="H186" s="19" t="n">
        <v>99.98999999999999</v>
      </c>
      <c r="I186" s="21" t="inlineStr">
        <is>
          <t>open</t>
        </is>
      </c>
      <c r="J186" s="22" t="inlineStr">
        <is>
          <t>1a8cb194f967d84de78bb71694170c5c681466b8f619602818186c9eb4477026</t>
        </is>
      </c>
      <c r="K186" s="21" t="inlineStr">
        <is>
          <t>open</t>
        </is>
      </c>
      <c r="L186" s="22" t="inlineStr">
        <is>
          <t>51c7896782370b5bbf32e888109859059a82ec052ff66ffdc607c2ad68acb6b8</t>
        </is>
      </c>
      <c r="M186" s="4" t="inlineStr">
        <is>
          <t>2026-09-23T14:30:23.904Z</t>
        </is>
      </c>
    </row>
    <row r="187">
      <c r="A187" s="4" t="inlineStr">
        <is>
          <t>SOL → Base</t>
        </is>
      </c>
      <c r="B187" s="4" t="n">
        <v>3</v>
      </c>
      <c r="C187" s="4" t="inlineStr">
        <is>
          <t>Mayan</t>
        </is>
      </c>
      <c r="D187" s="4" t="inlineStr">
        <is>
          <t>2026-09-23T14:30:16.475Z</t>
        </is>
      </c>
      <c r="E187" s="4" t="inlineStr">
        <is>
          <t>2026-09-23T14:30:18.682Z</t>
        </is>
      </c>
      <c r="F187" s="4" t="inlineStr">
        <is>
          <t>2026-09-23T14:30:23.908Z</t>
        </is>
      </c>
      <c r="G187" s="20" t="n">
        <v>0.002</v>
      </c>
      <c r="H187" s="19" t="n">
        <v>99.94</v>
      </c>
      <c r="I187" s="21" t="inlineStr">
        <is>
          <t>open</t>
        </is>
      </c>
      <c r="J187" s="22" t="inlineStr">
        <is>
          <t>773564450b3d25704d5c0592f4f2a571ca60d4e77c85fba84c1a5dde3b1b22aa</t>
        </is>
      </c>
      <c r="K187" s="21" t="inlineStr">
        <is>
          <t>open</t>
        </is>
      </c>
      <c r="L187" s="22" t="inlineStr">
        <is>
          <t>b638e5ebd2a19b1948321c5aedc058622f9a8142145cbcd256cd35d6e1ec891a</t>
        </is>
      </c>
      <c r="M187" s="4" t="inlineStr">
        <is>
          <t>2026-09-23T14:30:23.904Z</t>
        </is>
      </c>
    </row>
    <row r="188">
      <c r="A188" s="4" t="inlineStr">
        <is>
          <t>SOL → Base</t>
        </is>
      </c>
      <c r="B188" s="4" t="n">
        <v>3</v>
      </c>
      <c r="C188" s="4" t="inlineStr">
        <is>
          <t>Allbridge Core</t>
        </is>
      </c>
      <c r="D188" s="4" t="inlineStr">
        <is>
          <t>2026-09-23T14:30:16.490Z</t>
        </is>
      </c>
      <c r="E188" s="4" t="inlineStr">
        <is>
          <t>2026-09-23T14:30:19.084Z</t>
        </is>
      </c>
      <c r="F188" s="4" t="inlineStr">
        <is>
          <t>2026-09-23T14:30:24.190Z</t>
        </is>
      </c>
      <c r="G188" s="20" t="n">
        <v>0.002</v>
      </c>
      <c r="H188" s="19" t="n">
        <v>99.90000000000001</v>
      </c>
      <c r="I188" s="21" t="inlineStr">
        <is>
          <t>open</t>
        </is>
      </c>
      <c r="J188" s="22" t="inlineStr">
        <is>
          <t>451f86471681f0122689bbca37fd36f49460abee294a76f252684bd9a6db259e</t>
        </is>
      </c>
      <c r="K188" s="21" t="inlineStr">
        <is>
          <t>open</t>
        </is>
      </c>
      <c r="L188" s="22" t="inlineStr">
        <is>
          <t>4ccc6cb6863ca59cc41c8edf91875f089a0193d842c96ec715ae5c80be4f2050</t>
        </is>
      </c>
      <c r="M188" s="4" t="inlineStr">
        <is>
          <t>2026-09-23T14:30:23.904Z</t>
        </is>
      </c>
    </row>
    <row r="189">
      <c r="A189" s="4" t="inlineStr">
        <is>
          <t>SOL → Base</t>
        </is>
      </c>
      <c r="B189" s="4" t="n">
        <v>3</v>
      </c>
      <c r="C189" s="4" t="inlineStr">
        <is>
          <t>CCTP (via Portal)</t>
        </is>
      </c>
      <c r="D189" s="4" t="inlineStr">
        <is>
          <t>2026-09-23T14:30:16.490Z</t>
        </is>
      </c>
      <c r="E189" s="4" t="inlineStr">
        <is>
          <t>2026-09-23T14:30:21.373Z</t>
        </is>
      </c>
      <c r="F189" s="4" t="inlineStr">
        <is>
          <t>2026-09-23T14:30:23.934Z</t>
        </is>
      </c>
      <c r="G189" s="20" t="n">
        <v>0.001</v>
      </c>
      <c r="H189" s="19" t="n">
        <v>99.98999999999999</v>
      </c>
      <c r="I189" s="21" t="inlineStr">
        <is>
          <t>open</t>
        </is>
      </c>
      <c r="J189" s="22" t="inlineStr">
        <is>
          <t>61b28f4c7f5b282484b003707719ff446895f87e0d85bdce457f063eaa84c16c</t>
        </is>
      </c>
      <c r="K189" s="21" t="inlineStr">
        <is>
          <t>open</t>
        </is>
      </c>
      <c r="L189" s="22" t="inlineStr">
        <is>
          <t>40e7a99c02695f3b19c6396a9df6e649333681f12568a1c24ebd8d70e1cfccab</t>
        </is>
      </c>
      <c r="M189" s="4" t="inlineStr">
        <is>
          <t>2026-09-23T14:30:23.907Z</t>
        </is>
      </c>
    </row>
    <row r="190">
      <c r="A190" s="4" t="inlineStr">
        <is>
          <t>SOL → Base</t>
        </is>
      </c>
      <c r="B190" s="4" t="n">
        <v>3</v>
      </c>
      <c r="C190" s="4" t="inlineStr">
        <is>
          <t>Husher</t>
        </is>
      </c>
      <c r="D190" s="4" t="inlineStr">
        <is>
          <t>2026-09-23T14:30:16.491Z</t>
        </is>
      </c>
      <c r="E190" s="4" t="inlineStr">
        <is>
          <t>2026-09-23T14:30:19.244Z</t>
        </is>
      </c>
      <c r="F190" s="4" t="inlineStr">
        <is>
          <t>2026-09-23T14:30:23.914Z</t>
        </is>
      </c>
      <c r="G190" s="20" t="n">
        <v>0.001</v>
      </c>
      <c r="H190" s="19" t="n">
        <v>99.45</v>
      </c>
      <c r="I190" s="21" t="inlineStr">
        <is>
          <t>open</t>
        </is>
      </c>
      <c r="J190" s="22" t="inlineStr">
        <is>
          <t>470665f23995dcd97f36b4e224c46c402be159303f4c8fa71dd7f8ed0127f029</t>
        </is>
      </c>
      <c r="K190" s="21" t="inlineStr">
        <is>
          <t>open</t>
        </is>
      </c>
      <c r="L190" s="22" t="inlineStr">
        <is>
          <t>914a681688cdb40725e566d2726a4e814ed1a9a3b2b86ca55c015a7ba0bf7661</t>
        </is>
      </c>
      <c r="M190" s="4" t="inlineStr">
        <is>
          <t>2026-09-23T14:30:23.905Z</t>
        </is>
      </c>
    </row>
    <row r="191">
      <c r="A191" s="4" t="inlineStr">
        <is>
          <t>SOL → Base</t>
        </is>
      </c>
      <c r="B191" s="4" t="n">
        <v>3</v>
      </c>
      <c r="C191" s="4" t="inlineStr">
        <is>
          <t>Layerswap</t>
        </is>
      </c>
      <c r="D191" s="4" t="inlineStr">
        <is>
          <t>2026-09-23T14:30:16.476Z</t>
        </is>
      </c>
      <c r="E191" s="4" t="inlineStr">
        <is>
          <t>2026-09-23T14:30:19.562Z</t>
        </is>
      </c>
      <c r="F191" s="4" t="inlineStr">
        <is>
          <t>2026-09-23T14:30:23.920Z</t>
        </is>
      </c>
      <c r="G191" s="20" t="n">
        <v>0.001</v>
      </c>
      <c r="H191" s="19" t="n">
        <v>99.864051</v>
      </c>
      <c r="I191" s="21" t="inlineStr">
        <is>
          <t>open</t>
        </is>
      </c>
      <c r="J191" s="22" t="inlineStr">
        <is>
          <t>1bb80b7a9dcaeec9d66cc02589324424502507bd59fe1a6e7d1488ea27131df2</t>
        </is>
      </c>
      <c r="K191" s="21" t="inlineStr">
        <is>
          <t>open</t>
        </is>
      </c>
      <c r="L191" s="22" t="inlineStr">
        <is>
          <t>3585bb5c27c93f6f62773770a4632da247b037ec78a1bcaebc9ee84f68fa23b6</t>
        </is>
      </c>
      <c r="M191" s="4" t="inlineStr">
        <is>
          <t>2026-09-23T14:30:23.905Z</t>
        </is>
      </c>
    </row>
    <row r="192">
      <c r="A192" s="4" t="inlineStr">
        <is>
          <t>SOL → Base</t>
        </is>
      </c>
      <c r="B192" s="4" t="n">
        <v>3</v>
      </c>
      <c r="C192" s="4" t="inlineStr">
        <is>
          <t>Meson</t>
        </is>
      </c>
      <c r="D192" s="4" t="inlineStr">
        <is>
          <t>2026-09-23T14:30:16.492Z</t>
        </is>
      </c>
      <c r="E192" s="4" t="inlineStr">
        <is>
          <t>2026-09-23T14:30:18.157Z</t>
        </is>
      </c>
      <c r="F192" s="4" t="inlineStr">
        <is>
          <t>2026-09-23T14:30:23.910Z</t>
        </is>
      </c>
      <c r="G192" s="20" t="n">
        <v>0.003</v>
      </c>
      <c r="H192" s="19" t="n">
        <v>99.84</v>
      </c>
      <c r="I192" s="21" t="inlineStr">
        <is>
          <t>open</t>
        </is>
      </c>
      <c r="J192" s="22" t="inlineStr">
        <is>
          <t>31fd21c55eb51627dd512736b8e5b46528bf67af4a99dc92399d65d0c22fd2c0</t>
        </is>
      </c>
      <c r="K192" s="21" t="inlineStr">
        <is>
          <t>open</t>
        </is>
      </c>
      <c r="L192" s="22" t="inlineStr">
        <is>
          <t>01a0128c9b5ec0c475736912b54e154a8753357b7ed28c315b67bfb8e1454d28</t>
        </is>
      </c>
      <c r="M192" s="4" t="inlineStr">
        <is>
          <t>2026-09-23T14:30:23.903Z</t>
        </is>
      </c>
    </row>
    <row r="193">
      <c r="A193" s="4" t="inlineStr">
        <is>
          <t>SOL → Base</t>
        </is>
      </c>
      <c r="B193" s="4" t="n">
        <v>3</v>
      </c>
      <c r="C193" s="4" t="inlineStr">
        <is>
          <t>SimpleSwap</t>
        </is>
      </c>
      <c r="D193" s="4" t="inlineStr">
        <is>
          <t>2026-09-23T14:30:16.493Z</t>
        </is>
      </c>
      <c r="E193" s="4" t="inlineStr">
        <is>
          <t>2026-09-23T14:30:20.064Z</t>
        </is>
      </c>
      <c r="F193" s="4" t="inlineStr">
        <is>
          <t>2026-09-23T14:30:24.020Z</t>
        </is>
      </c>
      <c r="G193" s="20" t="n">
        <v>0</v>
      </c>
      <c r="H193" s="19" t="n">
        <v>98.49159</v>
      </c>
      <c r="I193" s="21" t="inlineStr">
        <is>
          <t>open</t>
        </is>
      </c>
      <c r="J193" s="22" t="inlineStr">
        <is>
          <t>9443a1cd85835bf18209b870600fcc33f9870de5dd0e82b9417b5d483824226d</t>
        </is>
      </c>
      <c r="K193" s="21" t="inlineStr">
        <is>
          <t>open</t>
        </is>
      </c>
      <c r="L193" s="22" t="inlineStr">
        <is>
          <t>5cc478a10e157f2607bb251e04530505fc792918bc23111efe2e5c25ec47460b</t>
        </is>
      </c>
      <c r="M193" s="4" t="inlineStr">
        <is>
          <t>2026-09-23T14:30:23.906Z</t>
        </is>
      </c>
    </row>
    <row r="194">
      <c r="A194" s="4" t="inlineStr">
        <is>
          <t>SOL → Base</t>
        </is>
      </c>
      <c r="B194" s="4" t="n">
        <v>3</v>
      </c>
      <c r="C194" s="4" t="inlineStr">
        <is>
          <t>Skip Go</t>
        </is>
      </c>
      <c r="D194" s="4" t="inlineStr">
        <is>
          <t>2026-09-23T14:30:16.485Z</t>
        </is>
      </c>
      <c r="E194" s="4" t="inlineStr">
        <is>
          <t>2026-09-23T14:30:19.480Z</t>
        </is>
      </c>
      <c r="F194" s="4" t="inlineStr">
        <is>
          <t>2026-09-23T14:30:23.915Z</t>
        </is>
      </c>
      <c r="G194" s="20" t="n">
        <v>0.001</v>
      </c>
      <c r="H194" s="19" t="n">
        <v>99.98308</v>
      </c>
      <c r="I194" s="21" t="inlineStr">
        <is>
          <t>open</t>
        </is>
      </c>
      <c r="J194" s="22" t="inlineStr">
        <is>
          <t>36b31021064dc6db0ee952707bb27e97fde1baf7c5c7d54d491d792a537e621e</t>
        </is>
      </c>
      <c r="K194" s="21" t="inlineStr">
        <is>
          <t>open</t>
        </is>
      </c>
      <c r="L194" s="22" t="inlineStr">
        <is>
          <t>b2b47bd49c30a9d799efa884c1606a0631deb23f62ccfa04048360089988b5ca</t>
        </is>
      </c>
      <c r="M194" s="4" t="inlineStr">
        <is>
          <t>2026-09-23T14:30:23.905Z</t>
        </is>
      </c>
    </row>
    <row r="195">
      <c r="A195" s="4" t="inlineStr">
        <is>
          <t>Base → SOL</t>
        </is>
      </c>
      <c r="B195" s="4" t="n">
        <v>1</v>
      </c>
      <c r="C195" s="4" t="inlineStr">
        <is>
          <t>Bridg</t>
        </is>
      </c>
      <c r="D195" s="4" t="inlineStr">
        <is>
          <t>2026-09-23T14:21:37.200Z</t>
        </is>
      </c>
      <c r="E195" s="4" t="inlineStr">
        <is>
          <t>2026-09-23T14:21:39.376Z</t>
        </is>
      </c>
      <c r="F195" s="4" t="inlineStr">
        <is>
          <t>2026-09-23T14:21:44.840Z</t>
        </is>
      </c>
      <c r="G195" s="20" t="n"/>
      <c r="H195" s="19" t="n">
        <v>99.85005</v>
      </c>
      <c r="I195" s="21" t="inlineStr">
        <is>
          <t>open</t>
        </is>
      </c>
      <c r="J195" s="22" t="inlineStr">
        <is>
          <t>c08ccef510a2f9b0b5a3ba05766e987c0a07ac20b28339d09c49c3bc5f623f97</t>
        </is>
      </c>
      <c r="K195" s="21" t="inlineStr">
        <is>
          <t>open</t>
        </is>
      </c>
      <c r="L195" s="22" t="inlineStr">
        <is>
          <t>f7f0c5c76466ae765dcab1d1404300f696c2f92d785c35aa3b11e7838e854d0d</t>
        </is>
      </c>
      <c r="M195" s="4" t="inlineStr">
        <is>
          <t>2026-09-23T14:21:44.562Z</t>
        </is>
      </c>
    </row>
    <row r="196">
      <c r="A196" s="4" t="inlineStr">
        <is>
          <t>Base → SOL</t>
        </is>
      </c>
      <c r="B196" s="4" t="n">
        <v>1</v>
      </c>
      <c r="C196" s="4" t="inlineStr">
        <is>
          <t>OpenSea</t>
        </is>
      </c>
      <c r="D196" s="4" t="inlineStr">
        <is>
          <t>2026-09-23T14:21:37.195Z</t>
        </is>
      </c>
      <c r="E196" s="4" t="inlineStr">
        <is>
          <t>2026-09-23T14:21:41.545Z</t>
        </is>
      </c>
      <c r="F196" s="4" t="inlineStr">
        <is>
          <t>2026-09-23T14:21:44.908Z</t>
        </is>
      </c>
      <c r="G196" s="20" t="n">
        <v>0.002</v>
      </c>
      <c r="H196" s="19" t="n">
        <v>99.7453</v>
      </c>
      <c r="I196" s="21" t="inlineStr">
        <is>
          <t>open</t>
        </is>
      </c>
      <c r="J196" s="22" t="inlineStr">
        <is>
          <t>57a53ed8643020240815227efcbfbb1f3531c7c101c482d80ab1e5f271555c82</t>
        </is>
      </c>
      <c r="K196" s="21" t="inlineStr">
        <is>
          <t>open</t>
        </is>
      </c>
      <c r="L196" s="22" t="inlineStr">
        <is>
          <t>0841a43cfd74384cdde722871d686dd17ea262fee89a8eb1d687260885dbec91</t>
        </is>
      </c>
      <c r="M196" s="4" t="inlineStr">
        <is>
          <t>2026-09-23T14:21:44.564Z</t>
        </is>
      </c>
    </row>
    <row r="197">
      <c r="A197" s="4" t="inlineStr">
        <is>
          <t>Base → SOL</t>
        </is>
      </c>
      <c r="B197" s="4" t="n">
        <v>1</v>
      </c>
      <c r="C197" s="4" t="inlineStr">
        <is>
          <t>Relay</t>
        </is>
      </c>
      <c r="D197" s="4" t="inlineStr">
        <is>
          <t>2026-09-23T14:21:37.181Z</t>
        </is>
      </c>
      <c r="E197" s="4" t="inlineStr">
        <is>
          <t>2026-09-23T14:21:40.533Z</t>
        </is>
      </c>
      <c r="F197" s="4" t="inlineStr">
        <is>
          <t>2026-09-23T14:21:44.781Z</t>
        </is>
      </c>
      <c r="G197" s="20" t="n">
        <v>0.003</v>
      </c>
      <c r="H197" s="19" t="n">
        <v>99.945701</v>
      </c>
      <c r="I197" s="21" t="inlineStr">
        <is>
          <t>open</t>
        </is>
      </c>
      <c r="J197" s="22" t="inlineStr">
        <is>
          <t>24d65db55ac4403b413c60525385f38634247a0261c6e3206c60449323eb14bd</t>
        </is>
      </c>
      <c r="K197" s="21" t="inlineStr">
        <is>
          <t>open</t>
        </is>
      </c>
      <c r="L197" s="22" t="inlineStr">
        <is>
          <t>c2a66362e3ceb3b25d9bdd7e287f3f43bb86575b0b34b2d3f0c212bc7e2cb125</t>
        </is>
      </c>
      <c r="M197" s="4" t="inlineStr">
        <is>
          <t>2026-09-23T14:21:44.559Z</t>
        </is>
      </c>
    </row>
    <row r="198">
      <c r="A198" s="4" t="inlineStr">
        <is>
          <t>Base → SOL</t>
        </is>
      </c>
      <c r="B198" s="4" t="n">
        <v>1</v>
      </c>
      <c r="C198" s="4" t="inlineStr">
        <is>
          <t>deBridge</t>
        </is>
      </c>
      <c r="D198" s="4" t="inlineStr">
        <is>
          <t>2026-09-23T14:21:37.189Z</t>
        </is>
      </c>
      <c r="E198" s="4" t="inlineStr">
        <is>
          <t>2026-09-23T14:21:40.569Z</t>
        </is>
      </c>
      <c r="F198" s="4" t="inlineStr">
        <is>
          <t>2026-09-23T14:21:44.781Z</t>
        </is>
      </c>
      <c r="G198" s="20" t="n">
        <v>0.002</v>
      </c>
      <c r="H198" s="19" t="n">
        <v>99.880032</v>
      </c>
      <c r="I198" s="21" t="inlineStr">
        <is>
          <t>open</t>
        </is>
      </c>
      <c r="J198" s="22" t="inlineStr">
        <is>
          <t>39918900df3404cf3eb4251617c49882d0c98ebe08ec15afb5819c8ae846800f</t>
        </is>
      </c>
      <c r="K198" s="21" t="inlineStr">
        <is>
          <t>open</t>
        </is>
      </c>
      <c r="L198" s="22" t="inlineStr">
        <is>
          <t>96771394c25c961b916a194a8590a3fa37bc3364d5f538bc815bdc1c9c99eb96</t>
        </is>
      </c>
      <c r="M198" s="4" t="inlineStr">
        <is>
          <t>2026-09-23T14:21:44.560Z</t>
        </is>
      </c>
    </row>
    <row r="199">
      <c r="A199" s="4" t="inlineStr">
        <is>
          <t>Base → SOL</t>
        </is>
      </c>
      <c r="B199" s="4" t="n">
        <v>1</v>
      </c>
      <c r="C199" s="4" t="inlineStr">
        <is>
          <t>LI.FI (Jumper)</t>
        </is>
      </c>
      <c r="D199" s="4" t="inlineStr">
        <is>
          <t>2026-09-23T14:21:37.203Z</t>
        </is>
      </c>
      <c r="E199" s="4" t="inlineStr">
        <is>
          <t>2026-09-23T14:21:40.400Z</t>
        </is>
      </c>
      <c r="F199" s="4" t="inlineStr">
        <is>
          <t>2026-09-23T14:21:44.594Z</t>
        </is>
      </c>
      <c r="G199" s="20" t="n">
        <v>0.004</v>
      </c>
      <c r="H199" s="19" t="n">
        <v>100</v>
      </c>
      <c r="I199" s="21" t="inlineStr">
        <is>
          <t>open</t>
        </is>
      </c>
      <c r="J199" s="22" t="inlineStr">
        <is>
          <t>7db94db1eefc3794ed562d45bdba38131696cbb48df84939bdf6c7fb24952c2e</t>
        </is>
      </c>
      <c r="K199" s="21" t="inlineStr">
        <is>
          <t>open</t>
        </is>
      </c>
      <c r="L199" s="22" t="inlineStr">
        <is>
          <t>bd1980d8b1380748be65a5bd5e6a46bc8d6042b7bdcd46d61159c48b2cde7b37</t>
        </is>
      </c>
      <c r="M199" s="4" t="inlineStr">
        <is>
          <t>2026-09-23T14:21:44.558Z</t>
        </is>
      </c>
    </row>
    <row r="200">
      <c r="A200" s="4" t="inlineStr">
        <is>
          <t>Base → SOL</t>
        </is>
      </c>
      <c r="B200" s="4" t="n">
        <v>1</v>
      </c>
      <c r="C200" s="4" t="inlineStr">
        <is>
          <t>Across</t>
        </is>
      </c>
      <c r="D200" s="4" t="inlineStr">
        <is>
          <t>2026-09-23T14:21:37.183Z</t>
        </is>
      </c>
      <c r="E200" s="4" t="inlineStr">
        <is>
          <t>2026-09-23T14:21:39.362Z</t>
        </is>
      </c>
      <c r="F200" s="4" t="inlineStr">
        <is>
          <t>2026-09-23T14:21:44.590Z</t>
        </is>
      </c>
      <c r="G200" s="20" t="n">
        <v>0.004</v>
      </c>
      <c r="H200" s="19" t="n">
        <v>99.98699999999999</v>
      </c>
      <c r="I200" s="21" t="inlineStr">
        <is>
          <t>open</t>
        </is>
      </c>
      <c r="J200" s="22" t="inlineStr">
        <is>
          <t>da6c7f4de10275412f87a58a86794be9e97d691a1edd276807d23c6b362c9380</t>
        </is>
      </c>
      <c r="K200" s="21" t="inlineStr">
        <is>
          <t>open</t>
        </is>
      </c>
      <c r="L200" s="22" t="inlineStr">
        <is>
          <t>0f5ff6ecab35edc4810edacddb7b71b261cd4c66cd06b23f0b95bf18924fe3ed</t>
        </is>
      </c>
      <c r="M200" s="4" t="inlineStr">
        <is>
          <t>2026-09-23T14:21:44.558Z</t>
        </is>
      </c>
    </row>
    <row r="201">
      <c r="A201" s="4" t="inlineStr">
        <is>
          <t>Base → SOL</t>
        </is>
      </c>
      <c r="B201" s="4" t="n">
        <v>1</v>
      </c>
      <c r="C201" s="4" t="inlineStr">
        <is>
          <t>Mayan</t>
        </is>
      </c>
      <c r="D201" s="4" t="inlineStr">
        <is>
          <t>2026-09-23T14:21:37.180Z</t>
        </is>
      </c>
      <c r="E201" s="4" t="inlineStr">
        <is>
          <t>2026-09-23T14:21:38.952Z</t>
        </is>
      </c>
      <c r="F201" s="4" t="inlineStr">
        <is>
          <t>2026-09-23T14:21:44.585Z</t>
        </is>
      </c>
      <c r="G201" s="20" t="n">
        <v>0.005</v>
      </c>
      <c r="H201" s="19" t="n">
        <v>99.685</v>
      </c>
      <c r="I201" s="21" t="inlineStr">
        <is>
          <t>open</t>
        </is>
      </c>
      <c r="J201" s="22" t="inlineStr">
        <is>
          <t>d060bd037256b79967e1d216c2ecc5fe153d9bdd872b382bff5fcbabd127adf8</t>
        </is>
      </c>
      <c r="K201" s="21" t="inlineStr">
        <is>
          <t>open</t>
        </is>
      </c>
      <c r="L201" s="22" t="inlineStr">
        <is>
          <t>25bc007e3fbad3312c1c8db5752111551fc16f76a6dbb2c10c3b31afa0adc873</t>
        </is>
      </c>
      <c r="M201" s="4" t="inlineStr">
        <is>
          <t>2026-09-23T14:21:44.557Z</t>
        </is>
      </c>
    </row>
    <row r="202">
      <c r="A202" s="4" t="inlineStr">
        <is>
          <t>Base → SOL</t>
        </is>
      </c>
      <c r="B202" s="4" t="n">
        <v>1</v>
      </c>
      <c r="C202" s="4" t="inlineStr">
        <is>
          <t>Allbridge Core</t>
        </is>
      </c>
      <c r="D202" s="4" t="inlineStr">
        <is>
          <t>2026-09-23T14:21:37.192Z</t>
        </is>
      </c>
      <c r="E202" s="4" t="inlineStr">
        <is>
          <t>2026-09-23T14:21:40.259Z</t>
        </is>
      </c>
      <c r="F202" s="4" t="inlineStr">
        <is>
          <t>2026-09-23T14:21:45.658Z</t>
        </is>
      </c>
      <c r="G202" s="20" t="n">
        <v>0.001</v>
      </c>
      <c r="H202" s="19" t="n">
        <v>99.90000000000001</v>
      </c>
      <c r="I202" s="21" t="inlineStr">
        <is>
          <t>open</t>
        </is>
      </c>
      <c r="J202" s="22" t="inlineStr">
        <is>
          <t>51177077b4c22bdabdd64fa3ab09e00290b74cc29c3cb4b1b9c5995c2a6bcd38</t>
        </is>
      </c>
      <c r="K202" s="21" t="inlineStr">
        <is>
          <t>open</t>
        </is>
      </c>
      <c r="L202" s="22" t="inlineStr">
        <is>
          <t>4d2818d96cf51e17dc74bb5b491e4189fd9ad42ecd5e51d5a8de4249660fab7a</t>
        </is>
      </c>
      <c r="M202" s="4" t="inlineStr">
        <is>
          <t>2026-09-23T14:21:44.563Z</t>
        </is>
      </c>
    </row>
    <row r="203">
      <c r="A203" s="4" t="inlineStr">
        <is>
          <t>Base → SOL</t>
        </is>
      </c>
      <c r="B203" s="4" t="n">
        <v>1</v>
      </c>
      <c r="C203" s="4" t="inlineStr">
        <is>
          <t>CCTP (via Portal)</t>
        </is>
      </c>
      <c r="D203" s="4" t="inlineStr">
        <is>
          <t>2026-09-23T14:21:37.234Z</t>
        </is>
      </c>
      <c r="E203" s="4" t="inlineStr">
        <is>
          <t>2026-09-23T14:21:42.201Z</t>
        </is>
      </c>
      <c r="F203" s="4" t="inlineStr">
        <is>
          <t>2026-09-23T14:21:44.731Z</t>
        </is>
      </c>
      <c r="G203" s="20" t="n">
        <v>0.006</v>
      </c>
      <c r="H203" s="19" t="n">
        <v>99.977001</v>
      </c>
      <c r="I203" s="21" t="inlineStr">
        <is>
          <t>open</t>
        </is>
      </c>
      <c r="J203" s="22" t="inlineStr">
        <is>
          <t>b5a30387b07f39b68111662c0114846a8577444d8025f14b51e03d183d1a13df</t>
        </is>
      </c>
      <c r="K203" s="21" t="inlineStr">
        <is>
          <t>open</t>
        </is>
      </c>
      <c r="L203" s="22" t="inlineStr">
        <is>
          <t>d405163afd8620874709d400e9e6c6fc0cda91902db7716ea9be14fe7b8aae97</t>
        </is>
      </c>
      <c r="M203" s="4" t="inlineStr">
        <is>
          <t>2026-09-23T14:21:44.556Z</t>
        </is>
      </c>
    </row>
    <row r="204">
      <c r="A204" s="4" t="inlineStr">
        <is>
          <t>Base → SOL</t>
        </is>
      </c>
      <c r="B204" s="4" t="n">
        <v>1</v>
      </c>
      <c r="C204" s="4" t="inlineStr">
        <is>
          <t>Husher</t>
        </is>
      </c>
      <c r="D204" s="4" t="inlineStr">
        <is>
          <t>2026-09-23T14:21:37.206Z</t>
        </is>
      </c>
      <c r="E204" s="4" t="inlineStr">
        <is>
          <t>2026-09-23T14:21:40.560Z</t>
        </is>
      </c>
      <c r="F204" s="4" t="inlineStr">
        <is>
          <t>2026-09-23T14:21:44.783Z</t>
        </is>
      </c>
      <c r="G204" s="20" t="n">
        <v>0.002</v>
      </c>
      <c r="H204" s="19" t="n">
        <v>99.34999999999999</v>
      </c>
      <c r="I204" s="21" t="inlineStr">
        <is>
          <t>open</t>
        </is>
      </c>
      <c r="J204" s="22" t="inlineStr">
        <is>
          <t>f33dc75bea3bb83bacc5b557b03366982de0d40c208749d148f0541f9e41fbf4</t>
        </is>
      </c>
      <c r="K204" s="21" t="inlineStr">
        <is>
          <t>open</t>
        </is>
      </c>
      <c r="L204" s="22" t="inlineStr">
        <is>
          <t>ae5470aeec3b2126fdc19f6bc2f3d12286c0feca05d313a0ab0ef85599a399d6</t>
        </is>
      </c>
      <c r="M204" s="4" t="inlineStr">
        <is>
          <t>2026-09-23T14:21:44.560Z</t>
        </is>
      </c>
    </row>
    <row r="205">
      <c r="A205" s="4" t="inlineStr">
        <is>
          <t>Base → SOL</t>
        </is>
      </c>
      <c r="B205" s="4" t="n">
        <v>1</v>
      </c>
      <c r="C205" s="4" t="inlineStr">
        <is>
          <t>Layerswap</t>
        </is>
      </c>
      <c r="D205" s="4" t="inlineStr">
        <is>
          <t>2026-09-23T14:21:37.190Z</t>
        </is>
      </c>
      <c r="E205" s="4" t="inlineStr">
        <is>
          <t>2026-09-23T14:21:41.380Z</t>
        </is>
      </c>
      <c r="F205" s="4" t="inlineStr">
        <is>
          <t>2026-09-23T14:21:44.815Z</t>
        </is>
      </c>
      <c r="G205" s="20" t="n">
        <v>0.001</v>
      </c>
      <c r="H205" s="19" t="n">
        <v>99.68203099999999</v>
      </c>
      <c r="I205" s="21" t="inlineStr">
        <is>
          <t>open</t>
        </is>
      </c>
      <c r="J205" s="22" t="inlineStr">
        <is>
          <t>c605be3044c522b4b2b6817642199ee187b155f90977bfbfc27d1549b001eec6</t>
        </is>
      </c>
      <c r="K205" s="21" t="inlineStr">
        <is>
          <t>open</t>
        </is>
      </c>
      <c r="L205" s="22" t="inlineStr">
        <is>
          <t>55a02acd52a0eeff93c9b619078c7accc633630b74a1aebc4e42204cc4fe0d54</t>
        </is>
      </c>
      <c r="M205" s="4" t="inlineStr">
        <is>
          <t>2026-09-23T14:21:44.563Z</t>
        </is>
      </c>
    </row>
    <row r="206">
      <c r="A206" s="4" t="inlineStr">
        <is>
          <t>Base → SOL</t>
        </is>
      </c>
      <c r="B206" s="4" t="n">
        <v>1</v>
      </c>
      <c r="C206" s="4" t="inlineStr">
        <is>
          <t>Meson</t>
        </is>
      </c>
      <c r="D206" s="4" t="inlineStr">
        <is>
          <t>2026-09-23T14:21:37.204Z</t>
        </is>
      </c>
      <c r="E206" s="4" t="inlineStr">
        <is>
          <t>2026-09-23T14:21:38.379Z</t>
        </is>
      </c>
      <c r="F206" s="4" t="inlineStr">
        <is>
          <t>2026-09-23T14:21:44.590Z</t>
        </is>
      </c>
      <c r="G206" s="20" t="n">
        <v>0.005</v>
      </c>
      <c r="H206" s="19" t="n">
        <v>99.59999999999999</v>
      </c>
      <c r="I206" s="21" t="inlineStr">
        <is>
          <t>open</t>
        </is>
      </c>
      <c r="J206" s="22" t="inlineStr">
        <is>
          <t>5cd2b7d2d5bcb980939fa42abb219a3558debaa2a6d6038533649a522a4d426e</t>
        </is>
      </c>
      <c r="K206" s="21" t="inlineStr">
        <is>
          <t>open</t>
        </is>
      </c>
      <c r="L206" s="22" t="inlineStr">
        <is>
          <t>4d3b0e3cd8c84b155080d377e138dea0a72f7e2adfe7dcc44821e309ca3a2a3c</t>
        </is>
      </c>
      <c r="M206" s="4" t="inlineStr">
        <is>
          <t>2026-09-23T14:21:44.557Z</t>
        </is>
      </c>
    </row>
    <row r="207">
      <c r="A207" s="4" t="inlineStr">
        <is>
          <t>Base → SOL</t>
        </is>
      </c>
      <c r="B207" s="4" t="n">
        <v>1</v>
      </c>
      <c r="C207" s="4" t="inlineStr">
        <is>
          <t>SimpleSwap</t>
        </is>
      </c>
      <c r="D207" s="4" t="inlineStr">
        <is>
          <t>2026-09-23T14:21:37.207Z</t>
        </is>
      </c>
      <c r="E207" s="4" t="inlineStr">
        <is>
          <t>2026-09-23T14:21:40.852Z</t>
        </is>
      </c>
      <c r="F207" s="4" t="inlineStr">
        <is>
          <t>2026-09-23T14:21:45.628Z</t>
        </is>
      </c>
      <c r="G207" s="20" t="n">
        <v>0.001</v>
      </c>
      <c r="H207" s="19" t="n">
        <v>98.485001</v>
      </c>
      <c r="I207" s="21" t="inlineStr">
        <is>
          <t>open</t>
        </is>
      </c>
      <c r="J207" s="22" t="inlineStr">
        <is>
          <t>9086df002d70aabc725b4f28c7c6c37d8e1a666fef7e559aa74fb1505022f12f</t>
        </is>
      </c>
      <c r="K207" s="21" t="inlineStr">
        <is>
          <t>open</t>
        </is>
      </c>
      <c r="L207" s="22" t="inlineStr">
        <is>
          <t>732fa8424d44eccb57cac642476d79793f6f0cfe01ab7bac21f68207926adf9c</t>
        </is>
      </c>
      <c r="M207" s="4" t="inlineStr">
        <is>
          <t>2026-09-23T14:21:44.561Z</t>
        </is>
      </c>
    </row>
    <row r="208">
      <c r="A208" s="4" t="inlineStr">
        <is>
          <t>Base → SOL</t>
        </is>
      </c>
      <c r="B208" s="4" t="n">
        <v>1</v>
      </c>
      <c r="C208" s="4" t="inlineStr">
        <is>
          <t>Skip Go</t>
        </is>
      </c>
      <c r="D208" s="4" t="inlineStr">
        <is>
          <t>2026-09-23T14:21:37.186Z</t>
        </is>
      </c>
      <c r="E208" s="4" t="inlineStr">
        <is>
          <t>2026-09-23T14:21:40.571Z</t>
        </is>
      </c>
      <c r="F208" s="4" t="inlineStr">
        <is>
          <t>2026-09-23T14:21:44.782Z</t>
        </is>
      </c>
      <c r="G208" s="20" t="n">
        <v>0.001</v>
      </c>
      <c r="H208" s="19" t="n">
        <v>99.72471</v>
      </c>
      <c r="I208" s="21" t="inlineStr">
        <is>
          <t>open</t>
        </is>
      </c>
      <c r="J208" s="22" t="inlineStr">
        <is>
          <t>a5e764d4c8f160e185c7fd3ba3c58447738faeb666e01d5ad99887a560d9d49f</t>
        </is>
      </c>
      <c r="K208" s="21" t="inlineStr">
        <is>
          <t>open</t>
        </is>
      </c>
      <c r="L208" s="22" t="inlineStr">
        <is>
          <t>c2b35d17b3245523bfe2bbc1abcad9c0fdde0cc4edb298adea116e67084e0732</t>
        </is>
      </c>
      <c r="M208" s="4" t="inlineStr">
        <is>
          <t>2026-09-23T14:21:44.561Z</t>
        </is>
      </c>
    </row>
    <row r="209">
      <c r="A209" s="4" t="inlineStr">
        <is>
          <t>Base → SOL</t>
        </is>
      </c>
      <c r="B209" s="4" t="n">
        <v>1</v>
      </c>
      <c r="C209" s="4" t="inlineStr">
        <is>
          <t>Symbiosis</t>
        </is>
      </c>
      <c r="D209" s="4" t="inlineStr">
        <is>
          <t>2026-09-23T14:21:37.183Z</t>
        </is>
      </c>
      <c r="E209" s="4" t="inlineStr">
        <is>
          <t>2026-09-23T14:21:41.535Z</t>
        </is>
      </c>
      <c r="F209" s="4" t="inlineStr">
        <is>
          <t>2026-09-23T14:21:44.899Z</t>
        </is>
      </c>
      <c r="G209" s="20" t="n">
        <v>0.001</v>
      </c>
      <c r="H209" s="19" t="n">
        <v>98.351938</v>
      </c>
      <c r="I209" s="21" t="inlineStr">
        <is>
          <t>open</t>
        </is>
      </c>
      <c r="J209" s="22" t="inlineStr">
        <is>
          <t>1f405899e042a361b6da30013a5e19fedbd9c6a2c16511e036e9e6d7a28d8e81</t>
        </is>
      </c>
      <c r="K209" s="21" t="inlineStr">
        <is>
          <t>open</t>
        </is>
      </c>
      <c r="L209" s="22" t="inlineStr">
        <is>
          <t>a55855bc70f0edbc89ddc64f9c83388beca093850d0ed6c02a009560ca2af157</t>
        </is>
      </c>
      <c r="M209" s="4" t="inlineStr">
        <is>
          <t>2026-09-23T14:21:44.563Z</t>
        </is>
      </c>
    </row>
    <row r="210">
      <c r="A210" s="4" t="inlineStr">
        <is>
          <t>Base → SOL</t>
        </is>
      </c>
      <c r="B210" s="4" t="n">
        <v>2</v>
      </c>
      <c r="C210" s="4" t="inlineStr">
        <is>
          <t>Bridg</t>
        </is>
      </c>
      <c r="D210" s="4" t="inlineStr">
        <is>
          <t>2026-09-23T14:26:14.638Z</t>
        </is>
      </c>
      <c r="E210" s="4" t="inlineStr">
        <is>
          <t>2026-09-23T14:26:15.769Z</t>
        </is>
      </c>
      <c r="F210" s="4" t="inlineStr">
        <is>
          <t>2026-09-23T14:26:20.633Z</t>
        </is>
      </c>
      <c r="G210" s="20" t="n"/>
      <c r="H210" s="19" t="n">
        <v>99.85005</v>
      </c>
      <c r="I210" s="21" t="inlineStr">
        <is>
          <t>open</t>
        </is>
      </c>
      <c r="J210" s="22" t="inlineStr">
        <is>
          <t>5f30393f4f8920dac21398e8e43019debac3adaf483dac66447766b0986e1406</t>
        </is>
      </c>
      <c r="K210" s="21" t="inlineStr">
        <is>
          <t>open</t>
        </is>
      </c>
      <c r="L210" s="22" t="inlineStr">
        <is>
          <t>5376fe389206a1761cc8558b4c04587378a68b88771ab68b89ef6f86e3a9a6a2</t>
        </is>
      </c>
      <c r="M210" s="4" t="inlineStr">
        <is>
          <t>2026-09-23T14:26:20.602Z</t>
        </is>
      </c>
    </row>
    <row r="211">
      <c r="A211" s="4" t="inlineStr">
        <is>
          <t>Base → SOL</t>
        </is>
      </c>
      <c r="B211" s="4" t="n">
        <v>2</v>
      </c>
      <c r="C211" s="4" t="inlineStr">
        <is>
          <t>OpenSea</t>
        </is>
      </c>
      <c r="D211" s="4" t="inlineStr">
        <is>
          <t>2026-09-23T14:26:14.639Z</t>
        </is>
      </c>
      <c r="E211" s="4" t="inlineStr">
        <is>
          <t>2026-09-23T14:26:17.789Z</t>
        </is>
      </c>
      <c r="F211" s="4" t="inlineStr">
        <is>
          <t>2026-09-23T14:26:20.641Z</t>
        </is>
      </c>
      <c r="G211" s="20" t="n">
        <v>0</v>
      </c>
      <c r="H211" s="19" t="n">
        <v>99.7452</v>
      </c>
      <c r="I211" s="21" t="inlineStr">
        <is>
          <t>open</t>
        </is>
      </c>
      <c r="J211" s="22" t="inlineStr">
        <is>
          <t>be7b04ba5d7fc237ba6f81acc92e7724bb24671e9684350c93540f09c40b3975</t>
        </is>
      </c>
      <c r="K211" s="21" t="inlineStr">
        <is>
          <t>open</t>
        </is>
      </c>
      <c r="L211" s="22" t="inlineStr">
        <is>
          <t>e6068e5cdbdf45d713d1fa8f39118493630fa53ac264856e8f92377db562db06</t>
        </is>
      </c>
      <c r="M211" s="4" t="inlineStr">
        <is>
          <t>2026-09-23T14:26:20.602Z</t>
        </is>
      </c>
    </row>
    <row r="212">
      <c r="A212" s="4" t="inlineStr">
        <is>
          <t>Base → SOL</t>
        </is>
      </c>
      <c r="B212" s="4" t="n">
        <v>2</v>
      </c>
      <c r="C212" s="4" t="inlineStr">
        <is>
          <t>Relay</t>
        </is>
      </c>
      <c r="D212" s="4" t="inlineStr">
        <is>
          <t>2026-09-23T14:26:14.636Z</t>
        </is>
      </c>
      <c r="E212" s="4" t="inlineStr">
        <is>
          <t>2026-09-23T14:26:16.814Z</t>
        </is>
      </c>
      <c r="F212" s="4" t="inlineStr">
        <is>
          <t>2026-09-23T14:26:20.613Z</t>
        </is>
      </c>
      <c r="G212" s="20" t="n">
        <v>0.002</v>
      </c>
      <c r="H212" s="19" t="n">
        <v>99.945697</v>
      </c>
      <c r="I212" s="21" t="inlineStr">
        <is>
          <t>open</t>
        </is>
      </c>
      <c r="J212" s="22" t="inlineStr">
        <is>
          <t>325f78f4ac48cd32f7bae31c2633d55f47e4ae90b06b7bfc4fce834a91eab7a8</t>
        </is>
      </c>
      <c r="K212" s="21" t="inlineStr">
        <is>
          <t>open</t>
        </is>
      </c>
      <c r="L212" s="22" t="inlineStr">
        <is>
          <t>d0c8d0bc4d3246cd0828f44440fe470fe92ac6455b972f34a8abafae6ec54eb5</t>
        </is>
      </c>
      <c r="M212" s="4" t="inlineStr">
        <is>
          <t>2026-09-23T14:26:20.600Z</t>
        </is>
      </c>
    </row>
    <row r="213">
      <c r="A213" s="4" t="inlineStr">
        <is>
          <t>Base → SOL</t>
        </is>
      </c>
      <c r="B213" s="4" t="n">
        <v>2</v>
      </c>
      <c r="C213" s="4" t="inlineStr">
        <is>
          <t>deBridge</t>
        </is>
      </c>
      <c r="D213" s="4" t="inlineStr">
        <is>
          <t>2026-09-23T14:26:14.637Z</t>
        </is>
      </c>
      <c r="E213" s="4" t="inlineStr">
        <is>
          <t>2026-09-23T14:26:16.809Z</t>
        </is>
      </c>
      <c r="F213" s="4" t="inlineStr">
        <is>
          <t>2026-09-23T14:26:20.616Z</t>
        </is>
      </c>
      <c r="G213" s="20" t="n">
        <v>0.002</v>
      </c>
      <c r="H213" s="19" t="n">
        <v>99.880033</v>
      </c>
      <c r="I213" s="21" t="inlineStr">
        <is>
          <t>open</t>
        </is>
      </c>
      <c r="J213" s="22" t="inlineStr">
        <is>
          <t>2e47fa668a944becf3adac9d18eddd73e32dc69dddec9e19214bb72393f3586b</t>
        </is>
      </c>
      <c r="K213" s="21" t="inlineStr">
        <is>
          <t>open</t>
        </is>
      </c>
      <c r="L213" s="22" t="inlineStr">
        <is>
          <t>bb2dc6d045fecabc6b4e741ea2cd792031f2437b7f2859d2cd34c85f895bc03a</t>
        </is>
      </c>
      <c r="M213" s="4" t="inlineStr">
        <is>
          <t>2026-09-23T14:26:20.600Z</t>
        </is>
      </c>
    </row>
    <row r="214">
      <c r="A214" s="4" t="inlineStr">
        <is>
          <t>Base → SOL</t>
        </is>
      </c>
      <c r="B214" s="4" t="n">
        <v>2</v>
      </c>
      <c r="C214" s="4" t="inlineStr">
        <is>
          <t>LI.FI (Jumper)</t>
        </is>
      </c>
      <c r="D214" s="4" t="inlineStr">
        <is>
          <t>2026-09-23T14:26:14.642Z</t>
        </is>
      </c>
      <c r="E214" s="4" t="inlineStr">
        <is>
          <t>2026-09-23T14:26:17.126Z</t>
        </is>
      </c>
      <c r="F214" s="4" t="inlineStr">
        <is>
          <t>2026-09-23T14:26:20.607Z</t>
        </is>
      </c>
      <c r="G214" s="20" t="n">
        <v>0.001</v>
      </c>
      <c r="H214" s="19" t="n">
        <v>100</v>
      </c>
      <c r="I214" s="21" t="inlineStr">
        <is>
          <t>open</t>
        </is>
      </c>
      <c r="J214" s="22" t="inlineStr">
        <is>
          <t>fea6b37e01fb582132fec4fcc9b39612791f97cd6c197a7fc682d629b8ffebbd</t>
        </is>
      </c>
      <c r="K214" s="21" t="inlineStr">
        <is>
          <t>open</t>
        </is>
      </c>
      <c r="L214" s="22" t="inlineStr">
        <is>
          <t>784cb69c1edfda0c4bfb86e3b7b373ff6dceb60db66c1cdd67aa8f15eb9ddfb6</t>
        </is>
      </c>
      <c r="M214" s="4" t="inlineStr">
        <is>
          <t>2026-09-23T14:26:20.601Z</t>
        </is>
      </c>
    </row>
    <row r="215">
      <c r="A215" s="4" t="inlineStr">
        <is>
          <t>Base → SOL</t>
        </is>
      </c>
      <c r="B215" s="4" t="n">
        <v>2</v>
      </c>
      <c r="C215" s="4" t="inlineStr">
        <is>
          <t>Across</t>
        </is>
      </c>
      <c r="D215" s="4" t="inlineStr">
        <is>
          <t>2026-09-23T14:26:14.637Z</t>
        </is>
      </c>
      <c r="E215" s="4" t="inlineStr">
        <is>
          <t>2026-09-23T14:26:16.080Z</t>
        </is>
      </c>
      <c r="F215" s="4" t="inlineStr">
        <is>
          <t>2026-09-23T14:26:20.603Z</t>
        </is>
      </c>
      <c r="G215" s="20" t="n">
        <v>0.004</v>
      </c>
      <c r="H215" s="19" t="n">
        <v>99.98699999999999</v>
      </c>
      <c r="I215" s="21" t="inlineStr">
        <is>
          <t>open</t>
        </is>
      </c>
      <c r="J215" s="22" t="inlineStr">
        <is>
          <t>da6c7f4de10275412f87a58a86794be9e97d691a1edd276807d23c6b362c9380</t>
        </is>
      </c>
      <c r="K215" s="21" t="inlineStr">
        <is>
          <t>open</t>
        </is>
      </c>
      <c r="L215" s="22" t="inlineStr">
        <is>
          <t>ffe70774cd04d2389ce72aa0880312d144b8b91f589801324f79d45ee88e90a0</t>
        </is>
      </c>
      <c r="M215" s="4" t="inlineStr">
        <is>
          <t>2026-09-23T14:26:20.598Z</t>
        </is>
      </c>
    </row>
    <row r="216">
      <c r="A216" s="4" t="inlineStr">
        <is>
          <t>Base → SOL</t>
        </is>
      </c>
      <c r="B216" s="4" t="n">
        <v>2</v>
      </c>
      <c r="C216" s="4" t="inlineStr">
        <is>
          <t>Mayan</t>
        </is>
      </c>
      <c r="D216" s="4" t="inlineStr">
        <is>
          <t>2026-09-23T14:26:14.636Z</t>
        </is>
      </c>
      <c r="E216" s="4" t="inlineStr">
        <is>
          <t>2026-09-23T14:26:16.159Z</t>
        </is>
      </c>
      <c r="F216" s="4" t="inlineStr">
        <is>
          <t>2026-09-23T14:26:20.604Z</t>
        </is>
      </c>
      <c r="G216" s="20" t="n">
        <v>0.003</v>
      </c>
      <c r="H216" s="19" t="n">
        <v>99.68600000000001</v>
      </c>
      <c r="I216" s="21" t="inlineStr">
        <is>
          <t>open</t>
        </is>
      </c>
      <c r="J216" s="22" t="inlineStr">
        <is>
          <t>44aa9419820b5c57561dc977a1228cbf724b9b544885243eca6b563a4b8b485a</t>
        </is>
      </c>
      <c r="K216" s="21" t="inlineStr">
        <is>
          <t>open</t>
        </is>
      </c>
      <c r="L216" s="22" t="inlineStr">
        <is>
          <t>a0388da6adf58f065a6f82b8d74af6df4cf026d5841e684b95e9561ed431fd71</t>
        </is>
      </c>
      <c r="M216" s="4" t="inlineStr">
        <is>
          <t>2026-09-23T14:26:20.599Z</t>
        </is>
      </c>
    </row>
    <row r="217">
      <c r="A217" s="4" t="inlineStr">
        <is>
          <t>Base → SOL</t>
        </is>
      </c>
      <c r="B217" s="4" t="n">
        <v>2</v>
      </c>
      <c r="C217" s="4" t="inlineStr">
        <is>
          <t>Allbridge Core</t>
        </is>
      </c>
      <c r="D217" s="4" t="inlineStr">
        <is>
          <t>2026-09-23T14:26:14.638Z</t>
        </is>
      </c>
      <c r="E217" s="4" t="inlineStr">
        <is>
          <t>2026-09-23T14:26:16.128Z</t>
        </is>
      </c>
      <c r="F217" s="4" t="inlineStr">
        <is>
          <t>2026-09-23T14:26:21.094Z</t>
        </is>
      </c>
      <c r="G217" s="20" t="n">
        <v>0.002</v>
      </c>
      <c r="H217" s="19" t="n">
        <v>99.90000000000001</v>
      </c>
      <c r="I217" s="21" t="inlineStr">
        <is>
          <t>open</t>
        </is>
      </c>
      <c r="J217" s="22" t="inlineStr">
        <is>
          <t>447bc8ee7e93ca01647f96324712ee439dd7102ef0a4397aecacc2e6ebc01ac1</t>
        </is>
      </c>
      <c r="K217" s="21" t="inlineStr">
        <is>
          <t>open</t>
        </is>
      </c>
      <c r="L217" s="22" t="inlineStr">
        <is>
          <t>9b79bc43dc5738f1172277bd272d7619cc5dd4b60fa0cf05244dee3c402a96ee</t>
        </is>
      </c>
      <c r="M217" s="4" t="inlineStr">
        <is>
          <t>2026-09-23T14:26:20.600Z</t>
        </is>
      </c>
    </row>
    <row r="218">
      <c r="A218" s="4" t="inlineStr">
        <is>
          <t>Base → SOL</t>
        </is>
      </c>
      <c r="B218" s="4" t="n">
        <v>2</v>
      </c>
      <c r="C218" s="4" t="inlineStr">
        <is>
          <t>CCTP (via Portal)</t>
        </is>
      </c>
      <c r="D218" s="4" t="inlineStr">
        <is>
          <t>2026-09-23T14:26:14.641Z</t>
        </is>
      </c>
      <c r="E218" s="4" t="inlineStr">
        <is>
          <t>2026-09-23T14:26:18.427Z</t>
        </is>
      </c>
      <c r="F218" s="4" t="inlineStr">
        <is>
          <t>2026-09-23T14:26:20.612Z</t>
        </is>
      </c>
      <c r="G218" s="20" t="n">
        <v>0.004</v>
      </c>
      <c r="H218" s="19" t="n">
        <v>99.977001</v>
      </c>
      <c r="I218" s="21" t="inlineStr">
        <is>
          <t>open</t>
        </is>
      </c>
      <c r="J218" s="22" t="inlineStr">
        <is>
          <t>b5a30387b07f39b68111662c0114846a8577444d8025f14b51e03d183d1a13df</t>
        </is>
      </c>
      <c r="K218" s="21" t="inlineStr">
        <is>
          <t>open</t>
        </is>
      </c>
      <c r="L218" s="22" t="inlineStr">
        <is>
          <t>747e0a7c4610534386b253113a2d486d413c374c73137fecd8a12f85a3bd9563</t>
        </is>
      </c>
      <c r="M218" s="4" t="inlineStr">
        <is>
          <t>2026-09-23T14:26:20.598Z</t>
        </is>
      </c>
    </row>
    <row r="219">
      <c r="A219" s="4" t="inlineStr">
        <is>
          <t>Base → SOL</t>
        </is>
      </c>
      <c r="B219" s="4" t="n">
        <v>2</v>
      </c>
      <c r="C219" s="4" t="inlineStr">
        <is>
          <t>Husher</t>
        </is>
      </c>
      <c r="D219" s="4" t="inlineStr">
        <is>
          <t>2026-09-23T14:26:14.643Z</t>
        </is>
      </c>
      <c r="E219" s="4" t="inlineStr">
        <is>
          <t>2026-09-23T14:26:16.057Z</t>
        </is>
      </c>
      <c r="F219" s="4" t="inlineStr">
        <is>
          <t>2026-09-23T14:26:20.612Z</t>
        </is>
      </c>
      <c r="G219" s="20" t="n">
        <v>0.004</v>
      </c>
      <c r="H219" s="19" t="n">
        <v>99.34999999999999</v>
      </c>
      <c r="I219" s="21" t="inlineStr">
        <is>
          <t>open</t>
        </is>
      </c>
      <c r="J219" s="22" t="inlineStr">
        <is>
          <t>428ac6a1e0bb10599a2edcacb21462dbc7639f5ebda1b3c6bd2bdea564f783e0</t>
        </is>
      </c>
      <c r="K219" s="21" t="inlineStr">
        <is>
          <t>open</t>
        </is>
      </c>
      <c r="L219" s="22" t="inlineStr">
        <is>
          <t>40212a1fa26e7377ee98462ef590fd98d59747b1288cb84f3d8afb171de11070</t>
        </is>
      </c>
      <c r="M219" s="4" t="inlineStr">
        <is>
          <t>2026-09-23T14:26:20.598Z</t>
        </is>
      </c>
    </row>
    <row r="220">
      <c r="A220" s="4" t="inlineStr">
        <is>
          <t>Base → SOL</t>
        </is>
      </c>
      <c r="B220" s="4" t="n">
        <v>2</v>
      </c>
      <c r="C220" s="4" t="inlineStr">
        <is>
          <t>Layerswap</t>
        </is>
      </c>
      <c r="D220" s="4" t="inlineStr">
        <is>
          <t>2026-09-23T14:26:14.636Z</t>
        </is>
      </c>
      <c r="E220" s="4" t="inlineStr">
        <is>
          <t>2026-09-23T14:26:17.051Z</t>
        </is>
      </c>
      <c r="F220" s="4" t="inlineStr">
        <is>
          <t>2026-09-23T14:26:20.618Z</t>
        </is>
      </c>
      <c r="G220" s="20" t="n">
        <v>0.002</v>
      </c>
      <c r="H220" s="19" t="n">
        <v>99.68307299999999</v>
      </c>
      <c r="I220" s="21" t="inlineStr">
        <is>
          <t>open</t>
        </is>
      </c>
      <c r="J220" s="22" t="inlineStr">
        <is>
          <t>964baa00246d83db0b8af92488e94ce9e189348fb3e4a7c65273f1e8c2fb8331</t>
        </is>
      </c>
      <c r="K220" s="21" t="inlineStr">
        <is>
          <t>open</t>
        </is>
      </c>
      <c r="L220" s="22" t="inlineStr">
        <is>
          <t>7a8f18efdc9d97b31132633dc77937785a50c02142803c15d45ce4cf79bccf5a</t>
        </is>
      </c>
      <c r="M220" s="4" t="inlineStr">
        <is>
          <t>2026-09-23T14:26:20.600Z</t>
        </is>
      </c>
    </row>
    <row r="221">
      <c r="A221" s="4" t="inlineStr">
        <is>
          <t>Base → SOL</t>
        </is>
      </c>
      <c r="B221" s="4" t="n">
        <v>2</v>
      </c>
      <c r="C221" s="4" t="inlineStr">
        <is>
          <t>Meson</t>
        </is>
      </c>
      <c r="D221" s="4" t="inlineStr">
        <is>
          <t>2026-09-23T14:26:14.645Z</t>
        </is>
      </c>
      <c r="E221" s="4" t="inlineStr">
        <is>
          <t>2026-09-23T14:26:15.214Z</t>
        </is>
      </c>
      <c r="F221" s="4" t="inlineStr">
        <is>
          <t>2026-09-23T14:26:20.605Z</t>
        </is>
      </c>
      <c r="G221" s="20" t="n">
        <v>0.004</v>
      </c>
      <c r="H221" s="19" t="n">
        <v>99.59999999999999</v>
      </c>
      <c r="I221" s="21" t="inlineStr">
        <is>
          <t>open</t>
        </is>
      </c>
      <c r="J221" s="22" t="inlineStr">
        <is>
          <t>5cd2b7d2d5bcb980939fa42abb219a3558debaa2a6d6038533649a522a4d426e</t>
        </is>
      </c>
      <c r="K221" s="21" t="inlineStr">
        <is>
          <t>open</t>
        </is>
      </c>
      <c r="L221" s="22" t="inlineStr">
        <is>
          <t>dc5394b5c282f99c606561077c2d33169f6fe59606cfb97363bd4d26b0571c42</t>
        </is>
      </c>
      <c r="M221" s="4" t="inlineStr">
        <is>
          <t>2026-09-23T14:26:20.598Z</t>
        </is>
      </c>
    </row>
    <row r="222">
      <c r="A222" s="4" t="inlineStr">
        <is>
          <t>Base → SOL</t>
        </is>
      </c>
      <c r="B222" s="4" t="n">
        <v>2</v>
      </c>
      <c r="C222" s="4" t="inlineStr">
        <is>
          <t>SimpleSwap</t>
        </is>
      </c>
      <c r="D222" s="4" t="inlineStr">
        <is>
          <t>2026-09-23T14:26:14.643Z</t>
        </is>
      </c>
      <c r="E222" s="4" t="inlineStr">
        <is>
          <t>2026-09-23T14:26:17.412Z</t>
        </is>
      </c>
      <c r="F222" s="4" t="inlineStr">
        <is>
          <t>2026-09-23T14:26:21.025Z</t>
        </is>
      </c>
      <c r="G222" s="20" t="n">
        <v>0.001</v>
      </c>
      <c r="H222" s="19" t="n">
        <v>98.48478299999999</v>
      </c>
      <c r="I222" s="21" t="inlineStr">
        <is>
          <t>open</t>
        </is>
      </c>
      <c r="J222" s="22" t="inlineStr">
        <is>
          <t>06cc40d58fff684fd5ccebb02eeba127ab22d4a0e13c51f20b16e66dd919fa06</t>
        </is>
      </c>
      <c r="K222" s="21" t="inlineStr">
        <is>
          <t>open</t>
        </is>
      </c>
      <c r="L222" s="22" t="inlineStr">
        <is>
          <t>0b68330bc76814423f22ad178da0ae1d1ee8d70cf28c0e0eb3c3ac0d496cadd5</t>
        </is>
      </c>
      <c r="M222" s="4" t="inlineStr">
        <is>
          <t>2026-09-23T14:26:20.601Z</t>
        </is>
      </c>
    </row>
    <row r="223">
      <c r="A223" s="4" t="inlineStr">
        <is>
          <t>Base → SOL</t>
        </is>
      </c>
      <c r="B223" s="4" t="n">
        <v>2</v>
      </c>
      <c r="C223" s="4" t="inlineStr">
        <is>
          <t>Skip Go</t>
        </is>
      </c>
      <c r="D223" s="4" t="inlineStr">
        <is>
          <t>2026-09-23T14:26:14.640Z</t>
        </is>
      </c>
      <c r="E223" s="4" t="inlineStr">
        <is>
          <t>2026-09-23T14:26:17.205Z</t>
        </is>
      </c>
      <c r="F223" s="4" t="inlineStr">
        <is>
          <t>2026-09-23T14:26:20.620Z</t>
        </is>
      </c>
      <c r="G223" s="20" t="n">
        <v>0.001</v>
      </c>
      <c r="H223" s="19" t="n">
        <v>99.72471</v>
      </c>
      <c r="I223" s="21" t="inlineStr">
        <is>
          <t>open</t>
        </is>
      </c>
      <c r="J223" s="22" t="inlineStr">
        <is>
          <t>c11978969273e0ea59ffc5ab47475508b8056689d65c147bf31db03bee84158c</t>
        </is>
      </c>
      <c r="K223" s="21" t="inlineStr">
        <is>
          <t>open</t>
        </is>
      </c>
      <c r="L223" s="22" t="inlineStr">
        <is>
          <t>2f8aeb285c7e4524b10711169d80236ab657079ebfbc4577ad9e5372de9b19df</t>
        </is>
      </c>
      <c r="M223" s="4" t="inlineStr">
        <is>
          <t>2026-09-23T14:26:20.601Z</t>
        </is>
      </c>
    </row>
    <row r="224">
      <c r="A224" s="4" t="inlineStr">
        <is>
          <t>Base → SOL</t>
        </is>
      </c>
      <c r="B224" s="4" t="n">
        <v>2</v>
      </c>
      <c r="C224" s="4" t="inlineStr">
        <is>
          <t>Symbiosis</t>
        </is>
      </c>
      <c r="D224" s="4" t="inlineStr">
        <is>
          <t>2026-09-23T14:26:14.638Z</t>
        </is>
      </c>
      <c r="E224" s="4" t="inlineStr">
        <is>
          <t>2026-09-23T14:26:18.055Z</t>
        </is>
      </c>
      <c r="F224" s="4" t="inlineStr">
        <is>
          <t>2026-09-23T14:26:20.642Z</t>
        </is>
      </c>
      <c r="G224" s="20" t="n">
        <v>0</v>
      </c>
      <c r="H224" s="19" t="n">
        <v>98.349396</v>
      </c>
      <c r="I224" s="21" t="inlineStr">
        <is>
          <t>open</t>
        </is>
      </c>
      <c r="J224" s="22" t="inlineStr">
        <is>
          <t>e809c74c24e8802c07f5eaa55d2b868d0f98b85ff05e665d807954f67ca3ba51</t>
        </is>
      </c>
      <c r="K224" s="21" t="inlineStr">
        <is>
          <t>open</t>
        </is>
      </c>
      <c r="L224" s="22" t="inlineStr">
        <is>
          <t>f7126f95f36b10f5a9073dc2d98daaa148db511fd4958edd3b5409179d93cf21</t>
        </is>
      </c>
      <c r="M224" s="4" t="inlineStr">
        <is>
          <t>2026-09-23T14:26:20.602Z</t>
        </is>
      </c>
    </row>
    <row r="225">
      <c r="A225" s="4" t="inlineStr">
        <is>
          <t>Base → SOL</t>
        </is>
      </c>
      <c r="B225" s="4" t="n">
        <v>3</v>
      </c>
      <c r="C225" s="4" t="inlineStr">
        <is>
          <t>Bridg</t>
        </is>
      </c>
      <c r="D225" s="4" t="inlineStr">
        <is>
          <t>2026-09-23T14:30:52.317Z</t>
        </is>
      </c>
      <c r="E225" s="4" t="inlineStr">
        <is>
          <t>2026-09-23T14:30:53.701Z</t>
        </is>
      </c>
      <c r="F225" s="4" t="inlineStr">
        <is>
          <t>2026-09-23T14:30:58.886Z</t>
        </is>
      </c>
      <c r="G225" s="20" t="n"/>
      <c r="H225" s="19" t="n">
        <v>99.85005</v>
      </c>
      <c r="I225" s="21" t="inlineStr">
        <is>
          <t>open</t>
        </is>
      </c>
      <c r="J225" s="22" t="inlineStr">
        <is>
          <t>090185323bdebbf8a80e47116d0fce6321cad60fc4392f724c6d4a415b21e034</t>
        </is>
      </c>
      <c r="K225" s="21" t="inlineStr">
        <is>
          <t>open</t>
        </is>
      </c>
      <c r="L225" s="22" t="inlineStr">
        <is>
          <t>69c6237db93ae268ca8753d89d39687c287a157d5a1f4c34c0fb742e744a3b15</t>
        </is>
      </c>
      <c r="M225" s="4" t="inlineStr">
        <is>
          <t>2026-09-23T14:30:58.847Z</t>
        </is>
      </c>
    </row>
    <row r="226">
      <c r="A226" s="4" t="inlineStr">
        <is>
          <t>Base → SOL</t>
        </is>
      </c>
      <c r="B226" s="4" t="n">
        <v>3</v>
      </c>
      <c r="C226" s="4" t="inlineStr">
        <is>
          <t>OpenSea</t>
        </is>
      </c>
      <c r="D226" s="4" t="inlineStr">
        <is>
          <t>2026-09-23T14:30:52.319Z</t>
        </is>
      </c>
      <c r="E226" s="4" t="inlineStr">
        <is>
          <t>2026-09-23T14:30:55.930Z</t>
        </is>
      </c>
      <c r="F226" s="4" t="inlineStr">
        <is>
          <t>2026-09-23T14:30:58.887Z</t>
        </is>
      </c>
      <c r="G226" s="20" t="n">
        <v>0.001</v>
      </c>
      <c r="H226" s="19" t="n">
        <v>99.7452</v>
      </c>
      <c r="I226" s="21" t="inlineStr">
        <is>
          <t>open</t>
        </is>
      </c>
      <c r="J226" s="22" t="inlineStr">
        <is>
          <t>be7b04ba5d7fc237ba6f81acc92e7724bb24671e9684350c93540f09c40b3975</t>
        </is>
      </c>
      <c r="K226" s="21" t="inlineStr">
        <is>
          <t>open</t>
        </is>
      </c>
      <c r="L226" s="22" t="inlineStr">
        <is>
          <t>7e8d403d8ca37de1d761ec788d51b46fae6536ecf1ab1473304da295ebef4dae</t>
        </is>
      </c>
      <c r="M226" s="4" t="inlineStr">
        <is>
          <t>2026-09-23T14:30:58.848Z</t>
        </is>
      </c>
    </row>
    <row r="227">
      <c r="A227" s="4" t="inlineStr">
        <is>
          <t>Base → SOL</t>
        </is>
      </c>
      <c r="B227" s="4" t="n">
        <v>3</v>
      </c>
      <c r="C227" s="4" t="inlineStr">
        <is>
          <t>Relay</t>
        </is>
      </c>
      <c r="D227" s="4" t="inlineStr">
        <is>
          <t>2026-09-23T14:30:52.314Z</t>
        </is>
      </c>
      <c r="E227" s="4" t="inlineStr">
        <is>
          <t>2026-09-23T14:30:54.481Z</t>
        </is>
      </c>
      <c r="F227" s="4" t="inlineStr">
        <is>
          <t>2026-09-23T14:30:58.877Z</t>
        </is>
      </c>
      <c r="G227" s="20" t="n">
        <v>0.001</v>
      </c>
      <c r="H227" s="19" t="n">
        <v>99.945718</v>
      </c>
      <c r="I227" s="21" t="inlineStr">
        <is>
          <t>open</t>
        </is>
      </c>
      <c r="J227" s="22" t="inlineStr">
        <is>
          <t>e3eb5158e6c801dfb51847862bbdfb7020c3b11f086c77f69a5c0d6b9b09438e</t>
        </is>
      </c>
      <c r="K227" s="21" t="inlineStr">
        <is>
          <t>open</t>
        </is>
      </c>
      <c r="L227" s="22" t="inlineStr">
        <is>
          <t>5de7ccc71e7a8dd835315fe7c84b198174d5c3118f012c7735160e2c9f481029</t>
        </is>
      </c>
      <c r="M227" s="4" t="inlineStr">
        <is>
          <t>2026-09-23T14:30:58.846Z</t>
        </is>
      </c>
    </row>
    <row r="228">
      <c r="A228" s="4" t="inlineStr">
        <is>
          <t>Base → SOL</t>
        </is>
      </c>
      <c r="B228" s="4" t="n">
        <v>3</v>
      </c>
      <c r="C228" s="4" t="inlineStr">
        <is>
          <t>deBridge</t>
        </is>
      </c>
      <c r="D228" s="4" t="inlineStr">
        <is>
          <t>2026-09-23T14:30:52.315Z</t>
        </is>
      </c>
      <c r="E228" s="4" t="inlineStr">
        <is>
          <t>2026-09-23T14:30:54.480Z</t>
        </is>
      </c>
      <c r="F228" s="4" t="inlineStr">
        <is>
          <t>2026-09-23T14:30:58.865Z</t>
        </is>
      </c>
      <c r="G228" s="20" t="n">
        <v>0.002</v>
      </c>
      <c r="H228" s="19" t="n">
        <v>99.920018</v>
      </c>
      <c r="I228" s="21" t="inlineStr">
        <is>
          <t>open</t>
        </is>
      </c>
      <c r="J228" s="22" t="inlineStr">
        <is>
          <t>dbd90c6db7627533a445f4efed0b67a7871d983ba5398e1e8059e1ea2b0e15e1</t>
        </is>
      </c>
      <c r="K228" s="21" t="inlineStr">
        <is>
          <t>open</t>
        </is>
      </c>
      <c r="L228" s="22" t="inlineStr">
        <is>
          <t>fe311749bffad7f7c21b6610463fa5f8592ea0e64998578d7d564dd2c7d43ddb</t>
        </is>
      </c>
      <c r="M228" s="4" t="inlineStr">
        <is>
          <t>2026-09-23T14:30:58.845Z</t>
        </is>
      </c>
    </row>
    <row r="229">
      <c r="A229" s="4" t="inlineStr">
        <is>
          <t>Base → SOL</t>
        </is>
      </c>
      <c r="B229" s="4" t="n">
        <v>3</v>
      </c>
      <c r="C229" s="4" t="inlineStr">
        <is>
          <t>LI.FI (Jumper)</t>
        </is>
      </c>
      <c r="D229" s="4" t="inlineStr">
        <is>
          <t>2026-09-23T14:30:52.320Z</t>
        </is>
      </c>
      <c r="E229" s="4" t="inlineStr">
        <is>
          <t>2026-09-23T14:30:55.242Z</t>
        </is>
      </c>
      <c r="F229" s="4" t="inlineStr">
        <is>
          <t>2026-09-23T14:30:58.857Z</t>
        </is>
      </c>
      <c r="G229" s="20" t="n">
        <v>0</v>
      </c>
      <c r="H229" s="19" t="n">
        <v>100</v>
      </c>
      <c r="I229" s="21" t="inlineStr">
        <is>
          <t>open</t>
        </is>
      </c>
      <c r="J229" s="22" t="inlineStr">
        <is>
          <t>dfc68b45842ae91b9974e55c82f9cba3144a4d2d1e84683500e93424ab677f19</t>
        </is>
      </c>
      <c r="K229" s="21" t="inlineStr">
        <is>
          <t>open</t>
        </is>
      </c>
      <c r="L229" s="22" t="inlineStr">
        <is>
          <t>1ae548e8796343ab28b803aca4a51cdb0c96946d8f49d948319d786ea4ac358c</t>
        </is>
      </c>
      <c r="M229" s="4" t="inlineStr">
        <is>
          <t>2026-09-23T14:30:58.847Z</t>
        </is>
      </c>
    </row>
    <row r="230">
      <c r="A230" s="4" t="inlineStr">
        <is>
          <t>Base → SOL</t>
        </is>
      </c>
      <c r="B230" s="4" t="n">
        <v>3</v>
      </c>
      <c r="C230" s="4" t="inlineStr">
        <is>
          <t>Across</t>
        </is>
      </c>
      <c r="D230" s="4" t="inlineStr">
        <is>
          <t>2026-09-23T14:30:52.313Z</t>
        </is>
      </c>
      <c r="E230" s="4" t="inlineStr">
        <is>
          <t>2026-09-23T14:30:54.093Z</t>
        </is>
      </c>
      <c r="F230" s="4" t="inlineStr">
        <is>
          <t>2026-09-23T14:30:58.855Z</t>
        </is>
      </c>
      <c r="G230" s="20" t="n">
        <v>0.002</v>
      </c>
      <c r="H230" s="19" t="n">
        <v>99.98699999999999</v>
      </c>
      <c r="I230" s="21" t="inlineStr">
        <is>
          <t>open</t>
        </is>
      </c>
      <c r="J230" s="22" t="inlineStr">
        <is>
          <t>da6c7f4de10275412f87a58a86794be9e97d691a1edd276807d23c6b362c9380</t>
        </is>
      </c>
      <c r="K230" s="21" t="inlineStr">
        <is>
          <t>open</t>
        </is>
      </c>
      <c r="L230" s="22" t="inlineStr">
        <is>
          <t>f600377a64abc4f6931f3ee2a28166d3c6b5b8ddcaab6fb0e357561587299041</t>
        </is>
      </c>
      <c r="M230" s="4" t="inlineStr">
        <is>
          <t>2026-09-23T14:30:58.845Z</t>
        </is>
      </c>
    </row>
    <row r="231">
      <c r="A231" s="4" t="inlineStr">
        <is>
          <t>Base → SOL</t>
        </is>
      </c>
      <c r="B231" s="4" t="n">
        <v>3</v>
      </c>
      <c r="C231" s="4" t="inlineStr">
        <is>
          <t>Mayan</t>
        </is>
      </c>
      <c r="D231" s="4" t="inlineStr">
        <is>
          <t>2026-09-23T14:30:52.311Z</t>
        </is>
      </c>
      <c r="E231" s="4" t="inlineStr">
        <is>
          <t>2026-09-23T14:30:53.893Z</t>
        </is>
      </c>
      <c r="F231" s="4" t="inlineStr">
        <is>
          <t>2026-09-23T14:30:58.851Z</t>
        </is>
      </c>
      <c r="G231" s="20" t="n">
        <v>0.003</v>
      </c>
      <c r="H231" s="19" t="n">
        <v>99.688</v>
      </c>
      <c r="I231" s="21" t="inlineStr">
        <is>
          <t>open</t>
        </is>
      </c>
      <c r="J231" s="22" t="inlineStr">
        <is>
          <t>c90b18cd4126a194ab53a04a912d79b70c185d4f7f96ca473823f12439e5e7a8</t>
        </is>
      </c>
      <c r="K231" s="21" t="inlineStr">
        <is>
          <t>open</t>
        </is>
      </c>
      <c r="L231" s="22" t="inlineStr">
        <is>
          <t>a8a022cd48602d45566f479f6625e041fccecb62cca3fa94254bb926b4269b36</t>
        </is>
      </c>
      <c r="M231" s="4" t="inlineStr">
        <is>
          <t>2026-09-23T14:30:58.844Z</t>
        </is>
      </c>
    </row>
    <row r="232">
      <c r="A232" s="4" t="inlineStr">
        <is>
          <t>Base → SOL</t>
        </is>
      </c>
      <c r="B232" s="4" t="n">
        <v>3</v>
      </c>
      <c r="C232" s="4" t="inlineStr">
        <is>
          <t>Allbridge Core</t>
        </is>
      </c>
      <c r="D232" s="4" t="inlineStr">
        <is>
          <t>2026-09-23T14:30:52.318Z</t>
        </is>
      </c>
      <c r="E232" s="4" t="inlineStr">
        <is>
          <t>2026-09-23T14:30:54.116Z</t>
        </is>
      </c>
      <c r="F232" s="4" t="inlineStr">
        <is>
          <t>2026-09-23T14:30:59.705Z</t>
        </is>
      </c>
      <c r="G232" s="20" t="n">
        <v>0.002</v>
      </c>
      <c r="H232" s="19" t="n">
        <v>99.90000000000001</v>
      </c>
      <c r="I232" s="21" t="inlineStr">
        <is>
          <t>open</t>
        </is>
      </c>
      <c r="J232" s="22" t="inlineStr">
        <is>
          <t>468fb643c185acae277c4330869bf9a37a4fd0fda3cbd8f7ca05bf0cb7cf70e6</t>
        </is>
      </c>
      <c r="K232" s="21" t="inlineStr">
        <is>
          <t>open</t>
        </is>
      </c>
      <c r="L232" s="22" t="inlineStr">
        <is>
          <t>a432bf0b88fa519858e1cef83a014cf458833dea57a211177781c6f48e8eb068</t>
        </is>
      </c>
      <c r="M232" s="4" t="inlineStr">
        <is>
          <t>2026-09-23T14:30:58.845Z</t>
        </is>
      </c>
    </row>
    <row r="233">
      <c r="A233" s="4" t="inlineStr">
        <is>
          <t>Base → SOL</t>
        </is>
      </c>
      <c r="B233" s="4" t="n">
        <v>3</v>
      </c>
      <c r="C233" s="4" t="inlineStr">
        <is>
          <t>CCTP (via Portal)</t>
        </is>
      </c>
      <c r="D233" s="4" t="inlineStr">
        <is>
          <t>2026-09-23T14:30:52.321Z</t>
        </is>
      </c>
      <c r="E233" s="4" t="inlineStr">
        <is>
          <t>2026-09-23T14:30:56.711Z</t>
        </is>
      </c>
      <c r="F233" s="4" t="inlineStr">
        <is>
          <t>2026-09-23T14:30:58.864Z</t>
        </is>
      </c>
      <c r="G233" s="20" t="n">
        <v>0.003</v>
      </c>
      <c r="H233" s="19" t="n">
        <v>99.977001</v>
      </c>
      <c r="I233" s="21" t="inlineStr">
        <is>
          <t>open</t>
        </is>
      </c>
      <c r="J233" s="22" t="inlineStr">
        <is>
          <t>b5a30387b07f39b68111662c0114846a8577444d8025f14b51e03d183d1a13df</t>
        </is>
      </c>
      <c r="K233" s="21" t="inlineStr">
        <is>
          <t>open</t>
        </is>
      </c>
      <c r="L233" s="22" t="inlineStr">
        <is>
          <t>721f13957a0297c811a58e3152322c21d8d9f07625984973bb87bb754387fb12</t>
        </is>
      </c>
      <c r="M233" s="4" t="inlineStr">
        <is>
          <t>2026-09-23T14:30:58.844Z</t>
        </is>
      </c>
    </row>
    <row r="234">
      <c r="A234" s="4" t="inlineStr">
        <is>
          <t>Base → SOL</t>
        </is>
      </c>
      <c r="B234" s="4" t="n">
        <v>3</v>
      </c>
      <c r="C234" s="4" t="inlineStr">
        <is>
          <t>Husher</t>
        </is>
      </c>
      <c r="D234" s="4" t="inlineStr">
        <is>
          <t>2026-09-23T14:30:52.322Z</t>
        </is>
      </c>
      <c r="E234" s="4" t="inlineStr">
        <is>
          <t>2026-09-23T14:30:54.101Z</t>
        </is>
      </c>
      <c r="F234" s="4" t="inlineStr">
        <is>
          <t>2026-09-23T14:30:58.866Z</t>
        </is>
      </c>
      <c r="G234" s="20" t="n">
        <v>0.002</v>
      </c>
      <c r="H234" s="19" t="n">
        <v>99.34999999999999</v>
      </c>
      <c r="I234" s="21" t="inlineStr">
        <is>
          <t>open</t>
        </is>
      </c>
      <c r="J234" s="22" t="inlineStr">
        <is>
          <t>f33dc75bea3bb83bacc5b557b03366982de0d40c208749d148f0541f9e41fbf4</t>
        </is>
      </c>
      <c r="K234" s="21" t="inlineStr">
        <is>
          <t>open</t>
        </is>
      </c>
      <c r="L234" s="22" t="inlineStr">
        <is>
          <t>72eaea324bf1dd2ffa745223edbba1158ebf260eefa29696b2529034068971f9</t>
        </is>
      </c>
      <c r="M234" s="4" t="inlineStr">
        <is>
          <t>2026-09-23T14:30:58.845Z</t>
        </is>
      </c>
    </row>
    <row r="235">
      <c r="A235" s="4" t="inlineStr">
        <is>
          <t>Base → SOL</t>
        </is>
      </c>
      <c r="B235" s="4" t="n">
        <v>3</v>
      </c>
      <c r="C235" s="4" t="inlineStr">
        <is>
          <t>Layerswap</t>
        </is>
      </c>
      <c r="D235" s="4" t="inlineStr">
        <is>
          <t>2026-09-23T14:30:52.312Z</t>
        </is>
      </c>
      <c r="E235" s="4" t="inlineStr">
        <is>
          <t>2026-09-23T14:30:55.025Z</t>
        </is>
      </c>
      <c r="F235" s="4" t="inlineStr">
        <is>
          <t>2026-09-23T14:30:58.882Z</t>
        </is>
      </c>
      <c r="G235" s="20" t="n">
        <v>0.001</v>
      </c>
      <c r="H235" s="19" t="n">
        <v>99.68316299999999</v>
      </c>
      <c r="I235" s="21" t="inlineStr">
        <is>
          <t>open</t>
        </is>
      </c>
      <c r="J235" s="22" t="inlineStr">
        <is>
          <t>f31751c4546c8fedd87e84a2c269db53878d9d519fb2dcae0851019b6871d308</t>
        </is>
      </c>
      <c r="K235" s="21" t="inlineStr">
        <is>
          <t>open</t>
        </is>
      </c>
      <c r="L235" s="22" t="inlineStr">
        <is>
          <t>22facab5a22936ecd69603d5a9916f9897a44c0a0b775207b955ff67c4659cfa</t>
        </is>
      </c>
      <c r="M235" s="4" t="inlineStr">
        <is>
          <t>2026-09-23T14:30:58.846Z</t>
        </is>
      </c>
    </row>
    <row r="236">
      <c r="A236" s="4" t="inlineStr">
        <is>
          <t>Base → SOL</t>
        </is>
      </c>
      <c r="B236" s="4" t="n">
        <v>3</v>
      </c>
      <c r="C236" s="4" t="inlineStr">
        <is>
          <t>Meson</t>
        </is>
      </c>
      <c r="D236" s="4" t="inlineStr">
        <is>
          <t>2026-09-23T14:30:52.322Z</t>
        </is>
      </c>
      <c r="E236" s="4" t="inlineStr">
        <is>
          <t>2026-09-23T14:30:53.187Z</t>
        </is>
      </c>
      <c r="F236" s="4" t="inlineStr">
        <is>
          <t>2026-09-23T14:30:58.856Z</t>
        </is>
      </c>
      <c r="G236" s="20" t="n">
        <v>0.003</v>
      </c>
      <c r="H236" s="19" t="n">
        <v>99.59999999999999</v>
      </c>
      <c r="I236" s="21" t="inlineStr">
        <is>
          <t>open</t>
        </is>
      </c>
      <c r="J236" s="22" t="inlineStr">
        <is>
          <t>5cd2b7d2d5bcb980939fa42abb219a3558debaa2a6d6038533649a522a4d426e</t>
        </is>
      </c>
      <c r="K236" s="21" t="inlineStr">
        <is>
          <t>open</t>
        </is>
      </c>
      <c r="L236" s="22" t="inlineStr">
        <is>
          <t>cea2f3d62f00c715e7adfc9bc279772cb7f09865d5b96783e218f38521e3f48b</t>
        </is>
      </c>
      <c r="M236" s="4" t="inlineStr">
        <is>
          <t>2026-09-23T14:30:58.844Z</t>
        </is>
      </c>
    </row>
    <row r="237">
      <c r="A237" s="4" t="inlineStr">
        <is>
          <t>Base → SOL</t>
        </is>
      </c>
      <c r="B237" s="4" t="n">
        <v>3</v>
      </c>
      <c r="C237" s="4" t="inlineStr">
        <is>
          <t>SimpleSwap</t>
        </is>
      </c>
      <c r="D237" s="4" t="inlineStr">
        <is>
          <t>2026-09-23T14:30:52.323Z</t>
        </is>
      </c>
      <c r="E237" s="4" t="inlineStr">
        <is>
          <t>2026-09-23T14:30:55.301Z</t>
        </is>
      </c>
      <c r="F237" s="4" t="inlineStr">
        <is>
          <t>2026-09-23T14:30:59.153Z</t>
        </is>
      </c>
      <c r="G237" s="20" t="n">
        <v>0</v>
      </c>
      <c r="H237" s="19" t="n">
        <v>98.48504</v>
      </c>
      <c r="I237" s="21" t="inlineStr">
        <is>
          <t>open</t>
        </is>
      </c>
      <c r="J237" s="22" t="inlineStr">
        <is>
          <t>b15a7b73cdedfd2fe9e9a80f35033de95cc32a7f47343dc323ff2d2cda61a66a</t>
        </is>
      </c>
      <c r="K237" s="21" t="inlineStr">
        <is>
          <t>open</t>
        </is>
      </c>
      <c r="L237" s="22" t="inlineStr">
        <is>
          <t>b442154e8f683d6ca6a0e06282409099240a7ea5d3fd5d881704019b17e8a668</t>
        </is>
      </c>
      <c r="M237" s="4" t="inlineStr">
        <is>
          <t>2026-09-23T14:30:58.847Z</t>
        </is>
      </c>
    </row>
    <row r="238">
      <c r="A238" s="4" t="inlineStr">
        <is>
          <t>Base → SOL</t>
        </is>
      </c>
      <c r="B238" s="4" t="n">
        <v>3</v>
      </c>
      <c r="C238" s="4" t="inlineStr">
        <is>
          <t>Skip Go</t>
        </is>
      </c>
      <c r="D238" s="4" t="inlineStr">
        <is>
          <t>2026-09-23T14:30:52.316Z</t>
        </is>
      </c>
      <c r="E238" s="4" t="inlineStr">
        <is>
          <t>2026-09-23T14:30:54.987Z</t>
        </is>
      </c>
      <c r="F238" s="4" t="inlineStr">
        <is>
          <t>2026-09-23T14:30:58.873Z</t>
        </is>
      </c>
      <c r="G238" s="20" t="n">
        <v>0.001</v>
      </c>
      <c r="H238" s="19" t="n">
        <v>99.72427</v>
      </c>
      <c r="I238" s="21" t="inlineStr">
        <is>
          <t>open</t>
        </is>
      </c>
      <c r="J238" s="22" t="inlineStr">
        <is>
          <t>4298a077b9c74b7af4a544f569911675ddca55ac158011b36d787d59303bc012</t>
        </is>
      </c>
      <c r="K238" s="21" t="inlineStr">
        <is>
          <t>open</t>
        </is>
      </c>
      <c r="L238" s="22" t="inlineStr">
        <is>
          <t>9b1b1bb314cf21ffeddc47687ed2387b74797329a3aabde5f7a8fa1bd49c6741</t>
        </is>
      </c>
      <c r="M238" s="4" t="inlineStr">
        <is>
          <t>2026-09-23T14:30:58.846Z</t>
        </is>
      </c>
    </row>
    <row r="239">
      <c r="A239" s="4" t="inlineStr">
        <is>
          <t>Base → SOL</t>
        </is>
      </c>
      <c r="B239" s="4" t="n">
        <v>3</v>
      </c>
      <c r="C239" s="4" t="inlineStr">
        <is>
          <t>Symbiosis</t>
        </is>
      </c>
      <c r="D239" s="4" t="inlineStr">
        <is>
          <t>2026-09-23T14:30:52.315Z</t>
        </is>
      </c>
      <c r="E239" s="4" t="inlineStr">
        <is>
          <t>2026-09-23T14:30:55.931Z</t>
        </is>
      </c>
      <c r="F239" s="4" t="inlineStr">
        <is>
          <t>2026-09-23T14:30:58.885Z</t>
        </is>
      </c>
      <c r="G239" s="20" t="n">
        <v>0</v>
      </c>
      <c r="H239" s="19" t="n">
        <v>98.363803</v>
      </c>
      <c r="I239" s="21" t="inlineStr">
        <is>
          <t>open</t>
        </is>
      </c>
      <c r="J239" s="22" t="inlineStr">
        <is>
          <t>1a295929d2fdd531b7fa21d0eef619b12ca7f6d354c284545979c7e9bc5e352e</t>
        </is>
      </c>
      <c r="K239" s="21" t="inlineStr">
        <is>
          <t>open</t>
        </is>
      </c>
      <c r="L239" s="22" t="inlineStr">
        <is>
          <t>2a8a05d49c76b9a7c64f1634a6aa61ba9ffa65ae627b62962b7e22b8de51af46</t>
        </is>
      </c>
      <c r="M239" s="4" t="inlineStr">
        <is>
          <t>2026-09-23T14:30:58.847Z</t>
        </is>
      </c>
    </row>
  </sheetData>
  <autoFilter ref="A1:M239"/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I3" r:id="rId3"/>
    <hyperlink xmlns:r="http://schemas.openxmlformats.org/officeDocument/2006/relationships" ref="K3" r:id="rId4"/>
    <hyperlink xmlns:r="http://schemas.openxmlformats.org/officeDocument/2006/relationships" ref="I4" r:id="rId5"/>
    <hyperlink xmlns:r="http://schemas.openxmlformats.org/officeDocument/2006/relationships" ref="K4" r:id="rId6"/>
    <hyperlink xmlns:r="http://schemas.openxmlformats.org/officeDocument/2006/relationships" ref="I5" r:id="rId7"/>
    <hyperlink xmlns:r="http://schemas.openxmlformats.org/officeDocument/2006/relationships" ref="K5" r:id="rId8"/>
    <hyperlink xmlns:r="http://schemas.openxmlformats.org/officeDocument/2006/relationships" ref="I6" r:id="rId9"/>
    <hyperlink xmlns:r="http://schemas.openxmlformats.org/officeDocument/2006/relationships" ref="K6" r:id="rId10"/>
    <hyperlink xmlns:r="http://schemas.openxmlformats.org/officeDocument/2006/relationships" ref="I7" r:id="rId11"/>
    <hyperlink xmlns:r="http://schemas.openxmlformats.org/officeDocument/2006/relationships" ref="K7" r:id="rId12"/>
    <hyperlink xmlns:r="http://schemas.openxmlformats.org/officeDocument/2006/relationships" ref="I8" r:id="rId13"/>
    <hyperlink xmlns:r="http://schemas.openxmlformats.org/officeDocument/2006/relationships" ref="K8" r:id="rId14"/>
    <hyperlink xmlns:r="http://schemas.openxmlformats.org/officeDocument/2006/relationships" ref="I9" r:id="rId15"/>
    <hyperlink xmlns:r="http://schemas.openxmlformats.org/officeDocument/2006/relationships" ref="K9" r:id="rId16"/>
    <hyperlink xmlns:r="http://schemas.openxmlformats.org/officeDocument/2006/relationships" ref="I10" r:id="rId17"/>
    <hyperlink xmlns:r="http://schemas.openxmlformats.org/officeDocument/2006/relationships" ref="K10" r:id="rId18"/>
    <hyperlink xmlns:r="http://schemas.openxmlformats.org/officeDocument/2006/relationships" ref="I11" r:id="rId19"/>
    <hyperlink xmlns:r="http://schemas.openxmlformats.org/officeDocument/2006/relationships" ref="K11" r:id="rId20"/>
    <hyperlink xmlns:r="http://schemas.openxmlformats.org/officeDocument/2006/relationships" ref="I12" r:id="rId21"/>
    <hyperlink xmlns:r="http://schemas.openxmlformats.org/officeDocument/2006/relationships" ref="K12" r:id="rId22"/>
    <hyperlink xmlns:r="http://schemas.openxmlformats.org/officeDocument/2006/relationships" ref="I13" r:id="rId23"/>
    <hyperlink xmlns:r="http://schemas.openxmlformats.org/officeDocument/2006/relationships" ref="K13" r:id="rId24"/>
    <hyperlink xmlns:r="http://schemas.openxmlformats.org/officeDocument/2006/relationships" ref="I14" r:id="rId25"/>
    <hyperlink xmlns:r="http://schemas.openxmlformats.org/officeDocument/2006/relationships" ref="K14" r:id="rId26"/>
    <hyperlink xmlns:r="http://schemas.openxmlformats.org/officeDocument/2006/relationships" ref="I15" r:id="rId27"/>
    <hyperlink xmlns:r="http://schemas.openxmlformats.org/officeDocument/2006/relationships" ref="K15" r:id="rId28"/>
    <hyperlink xmlns:r="http://schemas.openxmlformats.org/officeDocument/2006/relationships" ref="I16" r:id="rId29"/>
    <hyperlink xmlns:r="http://schemas.openxmlformats.org/officeDocument/2006/relationships" ref="K16" r:id="rId30"/>
    <hyperlink xmlns:r="http://schemas.openxmlformats.org/officeDocument/2006/relationships" ref="I17" r:id="rId31"/>
    <hyperlink xmlns:r="http://schemas.openxmlformats.org/officeDocument/2006/relationships" ref="K17" r:id="rId32"/>
    <hyperlink xmlns:r="http://schemas.openxmlformats.org/officeDocument/2006/relationships" ref="I18" r:id="rId33"/>
    <hyperlink xmlns:r="http://schemas.openxmlformats.org/officeDocument/2006/relationships" ref="K18" r:id="rId34"/>
    <hyperlink xmlns:r="http://schemas.openxmlformats.org/officeDocument/2006/relationships" ref="I19" r:id="rId35"/>
    <hyperlink xmlns:r="http://schemas.openxmlformats.org/officeDocument/2006/relationships" ref="K19" r:id="rId36"/>
    <hyperlink xmlns:r="http://schemas.openxmlformats.org/officeDocument/2006/relationships" ref="I20" r:id="rId37"/>
    <hyperlink xmlns:r="http://schemas.openxmlformats.org/officeDocument/2006/relationships" ref="K20" r:id="rId38"/>
    <hyperlink xmlns:r="http://schemas.openxmlformats.org/officeDocument/2006/relationships" ref="I21" r:id="rId39"/>
    <hyperlink xmlns:r="http://schemas.openxmlformats.org/officeDocument/2006/relationships" ref="K21" r:id="rId40"/>
    <hyperlink xmlns:r="http://schemas.openxmlformats.org/officeDocument/2006/relationships" ref="I22" r:id="rId41"/>
    <hyperlink xmlns:r="http://schemas.openxmlformats.org/officeDocument/2006/relationships" ref="K22" r:id="rId42"/>
    <hyperlink xmlns:r="http://schemas.openxmlformats.org/officeDocument/2006/relationships" ref="I23" r:id="rId43"/>
    <hyperlink xmlns:r="http://schemas.openxmlformats.org/officeDocument/2006/relationships" ref="K23" r:id="rId44"/>
    <hyperlink xmlns:r="http://schemas.openxmlformats.org/officeDocument/2006/relationships" ref="I24" r:id="rId45"/>
    <hyperlink xmlns:r="http://schemas.openxmlformats.org/officeDocument/2006/relationships" ref="K24" r:id="rId46"/>
    <hyperlink xmlns:r="http://schemas.openxmlformats.org/officeDocument/2006/relationships" ref="I25" r:id="rId47"/>
    <hyperlink xmlns:r="http://schemas.openxmlformats.org/officeDocument/2006/relationships" ref="K25" r:id="rId48"/>
    <hyperlink xmlns:r="http://schemas.openxmlformats.org/officeDocument/2006/relationships" ref="I26" r:id="rId49"/>
    <hyperlink xmlns:r="http://schemas.openxmlformats.org/officeDocument/2006/relationships" ref="K26" r:id="rId50"/>
    <hyperlink xmlns:r="http://schemas.openxmlformats.org/officeDocument/2006/relationships" ref="I27" r:id="rId51"/>
    <hyperlink xmlns:r="http://schemas.openxmlformats.org/officeDocument/2006/relationships" ref="K27" r:id="rId52"/>
    <hyperlink xmlns:r="http://schemas.openxmlformats.org/officeDocument/2006/relationships" ref="I28" r:id="rId53"/>
    <hyperlink xmlns:r="http://schemas.openxmlformats.org/officeDocument/2006/relationships" ref="K28" r:id="rId54"/>
    <hyperlink xmlns:r="http://schemas.openxmlformats.org/officeDocument/2006/relationships" ref="I29" r:id="rId55"/>
    <hyperlink xmlns:r="http://schemas.openxmlformats.org/officeDocument/2006/relationships" ref="K29" r:id="rId56"/>
    <hyperlink xmlns:r="http://schemas.openxmlformats.org/officeDocument/2006/relationships" ref="I30" r:id="rId57"/>
    <hyperlink xmlns:r="http://schemas.openxmlformats.org/officeDocument/2006/relationships" ref="K30" r:id="rId58"/>
    <hyperlink xmlns:r="http://schemas.openxmlformats.org/officeDocument/2006/relationships" ref="I31" r:id="rId59"/>
    <hyperlink xmlns:r="http://schemas.openxmlformats.org/officeDocument/2006/relationships" ref="K31" r:id="rId60"/>
    <hyperlink xmlns:r="http://schemas.openxmlformats.org/officeDocument/2006/relationships" ref="I32" r:id="rId61"/>
    <hyperlink xmlns:r="http://schemas.openxmlformats.org/officeDocument/2006/relationships" ref="K32" r:id="rId62"/>
    <hyperlink xmlns:r="http://schemas.openxmlformats.org/officeDocument/2006/relationships" ref="I33" r:id="rId63"/>
    <hyperlink xmlns:r="http://schemas.openxmlformats.org/officeDocument/2006/relationships" ref="K33" r:id="rId64"/>
    <hyperlink xmlns:r="http://schemas.openxmlformats.org/officeDocument/2006/relationships" ref="I34" r:id="rId65"/>
    <hyperlink xmlns:r="http://schemas.openxmlformats.org/officeDocument/2006/relationships" ref="K34" r:id="rId66"/>
    <hyperlink xmlns:r="http://schemas.openxmlformats.org/officeDocument/2006/relationships" ref="I35" r:id="rId67"/>
    <hyperlink xmlns:r="http://schemas.openxmlformats.org/officeDocument/2006/relationships" ref="K35" r:id="rId68"/>
    <hyperlink xmlns:r="http://schemas.openxmlformats.org/officeDocument/2006/relationships" ref="I36" r:id="rId69"/>
    <hyperlink xmlns:r="http://schemas.openxmlformats.org/officeDocument/2006/relationships" ref="K36" r:id="rId70"/>
    <hyperlink xmlns:r="http://schemas.openxmlformats.org/officeDocument/2006/relationships" ref="I37" r:id="rId71"/>
    <hyperlink xmlns:r="http://schemas.openxmlformats.org/officeDocument/2006/relationships" ref="K37" r:id="rId72"/>
    <hyperlink xmlns:r="http://schemas.openxmlformats.org/officeDocument/2006/relationships" ref="I38" r:id="rId73"/>
    <hyperlink xmlns:r="http://schemas.openxmlformats.org/officeDocument/2006/relationships" ref="K38" r:id="rId74"/>
    <hyperlink xmlns:r="http://schemas.openxmlformats.org/officeDocument/2006/relationships" ref="I39" r:id="rId75"/>
    <hyperlink xmlns:r="http://schemas.openxmlformats.org/officeDocument/2006/relationships" ref="K39" r:id="rId76"/>
    <hyperlink xmlns:r="http://schemas.openxmlformats.org/officeDocument/2006/relationships" ref="I40" r:id="rId77"/>
    <hyperlink xmlns:r="http://schemas.openxmlformats.org/officeDocument/2006/relationships" ref="K40" r:id="rId78"/>
    <hyperlink xmlns:r="http://schemas.openxmlformats.org/officeDocument/2006/relationships" ref="I41" r:id="rId79"/>
    <hyperlink xmlns:r="http://schemas.openxmlformats.org/officeDocument/2006/relationships" ref="K41" r:id="rId80"/>
    <hyperlink xmlns:r="http://schemas.openxmlformats.org/officeDocument/2006/relationships" ref="I42" r:id="rId81"/>
    <hyperlink xmlns:r="http://schemas.openxmlformats.org/officeDocument/2006/relationships" ref="K42" r:id="rId82"/>
    <hyperlink xmlns:r="http://schemas.openxmlformats.org/officeDocument/2006/relationships" ref="I43" r:id="rId83"/>
    <hyperlink xmlns:r="http://schemas.openxmlformats.org/officeDocument/2006/relationships" ref="K43" r:id="rId84"/>
    <hyperlink xmlns:r="http://schemas.openxmlformats.org/officeDocument/2006/relationships" ref="I44" r:id="rId85"/>
    <hyperlink xmlns:r="http://schemas.openxmlformats.org/officeDocument/2006/relationships" ref="K44" r:id="rId86"/>
    <hyperlink xmlns:r="http://schemas.openxmlformats.org/officeDocument/2006/relationships" ref="I45" r:id="rId87"/>
    <hyperlink xmlns:r="http://schemas.openxmlformats.org/officeDocument/2006/relationships" ref="K45" r:id="rId88"/>
    <hyperlink xmlns:r="http://schemas.openxmlformats.org/officeDocument/2006/relationships" ref="I46" r:id="rId89"/>
    <hyperlink xmlns:r="http://schemas.openxmlformats.org/officeDocument/2006/relationships" ref="K46" r:id="rId90"/>
    <hyperlink xmlns:r="http://schemas.openxmlformats.org/officeDocument/2006/relationships" ref="I47" r:id="rId91"/>
    <hyperlink xmlns:r="http://schemas.openxmlformats.org/officeDocument/2006/relationships" ref="K47" r:id="rId92"/>
    <hyperlink xmlns:r="http://schemas.openxmlformats.org/officeDocument/2006/relationships" ref="I48" r:id="rId93"/>
    <hyperlink xmlns:r="http://schemas.openxmlformats.org/officeDocument/2006/relationships" ref="K48" r:id="rId94"/>
    <hyperlink xmlns:r="http://schemas.openxmlformats.org/officeDocument/2006/relationships" ref="I49" r:id="rId95"/>
    <hyperlink xmlns:r="http://schemas.openxmlformats.org/officeDocument/2006/relationships" ref="K49" r:id="rId96"/>
    <hyperlink xmlns:r="http://schemas.openxmlformats.org/officeDocument/2006/relationships" ref="I50" r:id="rId97"/>
    <hyperlink xmlns:r="http://schemas.openxmlformats.org/officeDocument/2006/relationships" ref="K50" r:id="rId98"/>
    <hyperlink xmlns:r="http://schemas.openxmlformats.org/officeDocument/2006/relationships" ref="I51" r:id="rId99"/>
    <hyperlink xmlns:r="http://schemas.openxmlformats.org/officeDocument/2006/relationships" ref="K51" r:id="rId100"/>
    <hyperlink xmlns:r="http://schemas.openxmlformats.org/officeDocument/2006/relationships" ref="I52" r:id="rId101"/>
    <hyperlink xmlns:r="http://schemas.openxmlformats.org/officeDocument/2006/relationships" ref="K52" r:id="rId102"/>
    <hyperlink xmlns:r="http://schemas.openxmlformats.org/officeDocument/2006/relationships" ref="I53" r:id="rId103"/>
    <hyperlink xmlns:r="http://schemas.openxmlformats.org/officeDocument/2006/relationships" ref="K53" r:id="rId104"/>
    <hyperlink xmlns:r="http://schemas.openxmlformats.org/officeDocument/2006/relationships" ref="I54" r:id="rId105"/>
    <hyperlink xmlns:r="http://schemas.openxmlformats.org/officeDocument/2006/relationships" ref="K54" r:id="rId106"/>
    <hyperlink xmlns:r="http://schemas.openxmlformats.org/officeDocument/2006/relationships" ref="I55" r:id="rId107"/>
    <hyperlink xmlns:r="http://schemas.openxmlformats.org/officeDocument/2006/relationships" ref="K55" r:id="rId108"/>
    <hyperlink xmlns:r="http://schemas.openxmlformats.org/officeDocument/2006/relationships" ref="I56" r:id="rId109"/>
    <hyperlink xmlns:r="http://schemas.openxmlformats.org/officeDocument/2006/relationships" ref="K56" r:id="rId110"/>
    <hyperlink xmlns:r="http://schemas.openxmlformats.org/officeDocument/2006/relationships" ref="I57" r:id="rId111"/>
    <hyperlink xmlns:r="http://schemas.openxmlformats.org/officeDocument/2006/relationships" ref="K57" r:id="rId112"/>
    <hyperlink xmlns:r="http://schemas.openxmlformats.org/officeDocument/2006/relationships" ref="I58" r:id="rId113"/>
    <hyperlink xmlns:r="http://schemas.openxmlformats.org/officeDocument/2006/relationships" ref="K58" r:id="rId114"/>
    <hyperlink xmlns:r="http://schemas.openxmlformats.org/officeDocument/2006/relationships" ref="I59" r:id="rId115"/>
    <hyperlink xmlns:r="http://schemas.openxmlformats.org/officeDocument/2006/relationships" ref="K59" r:id="rId116"/>
    <hyperlink xmlns:r="http://schemas.openxmlformats.org/officeDocument/2006/relationships" ref="I60" r:id="rId117"/>
    <hyperlink xmlns:r="http://schemas.openxmlformats.org/officeDocument/2006/relationships" ref="K60" r:id="rId118"/>
    <hyperlink xmlns:r="http://schemas.openxmlformats.org/officeDocument/2006/relationships" ref="I61" r:id="rId119"/>
    <hyperlink xmlns:r="http://schemas.openxmlformats.org/officeDocument/2006/relationships" ref="K61" r:id="rId120"/>
    <hyperlink xmlns:r="http://schemas.openxmlformats.org/officeDocument/2006/relationships" ref="I62" r:id="rId121"/>
    <hyperlink xmlns:r="http://schemas.openxmlformats.org/officeDocument/2006/relationships" ref="K62" r:id="rId122"/>
    <hyperlink xmlns:r="http://schemas.openxmlformats.org/officeDocument/2006/relationships" ref="I63" r:id="rId123"/>
    <hyperlink xmlns:r="http://schemas.openxmlformats.org/officeDocument/2006/relationships" ref="K63" r:id="rId124"/>
    <hyperlink xmlns:r="http://schemas.openxmlformats.org/officeDocument/2006/relationships" ref="I64" r:id="rId125"/>
    <hyperlink xmlns:r="http://schemas.openxmlformats.org/officeDocument/2006/relationships" ref="K64" r:id="rId126"/>
    <hyperlink xmlns:r="http://schemas.openxmlformats.org/officeDocument/2006/relationships" ref="I65" r:id="rId127"/>
    <hyperlink xmlns:r="http://schemas.openxmlformats.org/officeDocument/2006/relationships" ref="K65" r:id="rId128"/>
    <hyperlink xmlns:r="http://schemas.openxmlformats.org/officeDocument/2006/relationships" ref="I66" r:id="rId129"/>
    <hyperlink xmlns:r="http://schemas.openxmlformats.org/officeDocument/2006/relationships" ref="K66" r:id="rId130"/>
    <hyperlink xmlns:r="http://schemas.openxmlformats.org/officeDocument/2006/relationships" ref="I67" r:id="rId131"/>
    <hyperlink xmlns:r="http://schemas.openxmlformats.org/officeDocument/2006/relationships" ref="K67" r:id="rId132"/>
    <hyperlink xmlns:r="http://schemas.openxmlformats.org/officeDocument/2006/relationships" ref="I68" r:id="rId133"/>
    <hyperlink xmlns:r="http://schemas.openxmlformats.org/officeDocument/2006/relationships" ref="K68" r:id="rId134"/>
    <hyperlink xmlns:r="http://schemas.openxmlformats.org/officeDocument/2006/relationships" ref="I69" r:id="rId135"/>
    <hyperlink xmlns:r="http://schemas.openxmlformats.org/officeDocument/2006/relationships" ref="K69" r:id="rId136"/>
    <hyperlink xmlns:r="http://schemas.openxmlformats.org/officeDocument/2006/relationships" ref="I70" r:id="rId137"/>
    <hyperlink xmlns:r="http://schemas.openxmlformats.org/officeDocument/2006/relationships" ref="K70" r:id="rId138"/>
    <hyperlink xmlns:r="http://schemas.openxmlformats.org/officeDocument/2006/relationships" ref="I71" r:id="rId139"/>
    <hyperlink xmlns:r="http://schemas.openxmlformats.org/officeDocument/2006/relationships" ref="K71" r:id="rId140"/>
    <hyperlink xmlns:r="http://schemas.openxmlformats.org/officeDocument/2006/relationships" ref="I72" r:id="rId141"/>
    <hyperlink xmlns:r="http://schemas.openxmlformats.org/officeDocument/2006/relationships" ref="K72" r:id="rId142"/>
    <hyperlink xmlns:r="http://schemas.openxmlformats.org/officeDocument/2006/relationships" ref="I73" r:id="rId143"/>
    <hyperlink xmlns:r="http://schemas.openxmlformats.org/officeDocument/2006/relationships" ref="K73" r:id="rId144"/>
    <hyperlink xmlns:r="http://schemas.openxmlformats.org/officeDocument/2006/relationships" ref="I74" r:id="rId145"/>
    <hyperlink xmlns:r="http://schemas.openxmlformats.org/officeDocument/2006/relationships" ref="K74" r:id="rId146"/>
    <hyperlink xmlns:r="http://schemas.openxmlformats.org/officeDocument/2006/relationships" ref="I75" r:id="rId147"/>
    <hyperlink xmlns:r="http://schemas.openxmlformats.org/officeDocument/2006/relationships" ref="K75" r:id="rId148"/>
    <hyperlink xmlns:r="http://schemas.openxmlformats.org/officeDocument/2006/relationships" ref="I76" r:id="rId149"/>
    <hyperlink xmlns:r="http://schemas.openxmlformats.org/officeDocument/2006/relationships" ref="K76" r:id="rId150"/>
    <hyperlink xmlns:r="http://schemas.openxmlformats.org/officeDocument/2006/relationships" ref="I77" r:id="rId151"/>
    <hyperlink xmlns:r="http://schemas.openxmlformats.org/officeDocument/2006/relationships" ref="K77" r:id="rId152"/>
    <hyperlink xmlns:r="http://schemas.openxmlformats.org/officeDocument/2006/relationships" ref="I78" r:id="rId153"/>
    <hyperlink xmlns:r="http://schemas.openxmlformats.org/officeDocument/2006/relationships" ref="K78" r:id="rId154"/>
    <hyperlink xmlns:r="http://schemas.openxmlformats.org/officeDocument/2006/relationships" ref="I79" r:id="rId155"/>
    <hyperlink xmlns:r="http://schemas.openxmlformats.org/officeDocument/2006/relationships" ref="K79" r:id="rId156"/>
    <hyperlink xmlns:r="http://schemas.openxmlformats.org/officeDocument/2006/relationships" ref="I80" r:id="rId157"/>
    <hyperlink xmlns:r="http://schemas.openxmlformats.org/officeDocument/2006/relationships" ref="K80" r:id="rId158"/>
    <hyperlink xmlns:r="http://schemas.openxmlformats.org/officeDocument/2006/relationships" ref="I81" r:id="rId159"/>
    <hyperlink xmlns:r="http://schemas.openxmlformats.org/officeDocument/2006/relationships" ref="K81" r:id="rId160"/>
    <hyperlink xmlns:r="http://schemas.openxmlformats.org/officeDocument/2006/relationships" ref="I82" r:id="rId161"/>
    <hyperlink xmlns:r="http://schemas.openxmlformats.org/officeDocument/2006/relationships" ref="K82" r:id="rId162"/>
    <hyperlink xmlns:r="http://schemas.openxmlformats.org/officeDocument/2006/relationships" ref="I83" r:id="rId163"/>
    <hyperlink xmlns:r="http://schemas.openxmlformats.org/officeDocument/2006/relationships" ref="K83" r:id="rId164"/>
    <hyperlink xmlns:r="http://schemas.openxmlformats.org/officeDocument/2006/relationships" ref="I84" r:id="rId165"/>
    <hyperlink xmlns:r="http://schemas.openxmlformats.org/officeDocument/2006/relationships" ref="K84" r:id="rId166"/>
    <hyperlink xmlns:r="http://schemas.openxmlformats.org/officeDocument/2006/relationships" ref="I85" r:id="rId167"/>
    <hyperlink xmlns:r="http://schemas.openxmlformats.org/officeDocument/2006/relationships" ref="K85" r:id="rId168"/>
    <hyperlink xmlns:r="http://schemas.openxmlformats.org/officeDocument/2006/relationships" ref="I86" r:id="rId169"/>
    <hyperlink xmlns:r="http://schemas.openxmlformats.org/officeDocument/2006/relationships" ref="K86" r:id="rId170"/>
    <hyperlink xmlns:r="http://schemas.openxmlformats.org/officeDocument/2006/relationships" ref="I87" r:id="rId171"/>
    <hyperlink xmlns:r="http://schemas.openxmlformats.org/officeDocument/2006/relationships" ref="K87" r:id="rId172"/>
    <hyperlink xmlns:r="http://schemas.openxmlformats.org/officeDocument/2006/relationships" ref="I88" r:id="rId173"/>
    <hyperlink xmlns:r="http://schemas.openxmlformats.org/officeDocument/2006/relationships" ref="K88" r:id="rId174"/>
    <hyperlink xmlns:r="http://schemas.openxmlformats.org/officeDocument/2006/relationships" ref="I89" r:id="rId175"/>
    <hyperlink xmlns:r="http://schemas.openxmlformats.org/officeDocument/2006/relationships" ref="K89" r:id="rId176"/>
    <hyperlink xmlns:r="http://schemas.openxmlformats.org/officeDocument/2006/relationships" ref="I90" r:id="rId177"/>
    <hyperlink xmlns:r="http://schemas.openxmlformats.org/officeDocument/2006/relationships" ref="K90" r:id="rId178"/>
    <hyperlink xmlns:r="http://schemas.openxmlformats.org/officeDocument/2006/relationships" ref="I91" r:id="rId179"/>
    <hyperlink xmlns:r="http://schemas.openxmlformats.org/officeDocument/2006/relationships" ref="K91" r:id="rId180"/>
    <hyperlink xmlns:r="http://schemas.openxmlformats.org/officeDocument/2006/relationships" ref="I92" r:id="rId181"/>
    <hyperlink xmlns:r="http://schemas.openxmlformats.org/officeDocument/2006/relationships" ref="K92" r:id="rId182"/>
    <hyperlink xmlns:r="http://schemas.openxmlformats.org/officeDocument/2006/relationships" ref="I93" r:id="rId183"/>
    <hyperlink xmlns:r="http://schemas.openxmlformats.org/officeDocument/2006/relationships" ref="K93" r:id="rId184"/>
    <hyperlink xmlns:r="http://schemas.openxmlformats.org/officeDocument/2006/relationships" ref="I94" r:id="rId185"/>
    <hyperlink xmlns:r="http://schemas.openxmlformats.org/officeDocument/2006/relationships" ref="K94" r:id="rId186"/>
    <hyperlink xmlns:r="http://schemas.openxmlformats.org/officeDocument/2006/relationships" ref="I95" r:id="rId187"/>
    <hyperlink xmlns:r="http://schemas.openxmlformats.org/officeDocument/2006/relationships" ref="K95" r:id="rId188"/>
    <hyperlink xmlns:r="http://schemas.openxmlformats.org/officeDocument/2006/relationships" ref="I96" r:id="rId189"/>
    <hyperlink xmlns:r="http://schemas.openxmlformats.org/officeDocument/2006/relationships" ref="K96" r:id="rId190"/>
    <hyperlink xmlns:r="http://schemas.openxmlformats.org/officeDocument/2006/relationships" ref="I97" r:id="rId191"/>
    <hyperlink xmlns:r="http://schemas.openxmlformats.org/officeDocument/2006/relationships" ref="K97" r:id="rId192"/>
    <hyperlink xmlns:r="http://schemas.openxmlformats.org/officeDocument/2006/relationships" ref="I98" r:id="rId193"/>
    <hyperlink xmlns:r="http://schemas.openxmlformats.org/officeDocument/2006/relationships" ref="K98" r:id="rId194"/>
    <hyperlink xmlns:r="http://schemas.openxmlformats.org/officeDocument/2006/relationships" ref="I99" r:id="rId195"/>
    <hyperlink xmlns:r="http://schemas.openxmlformats.org/officeDocument/2006/relationships" ref="K99" r:id="rId196"/>
    <hyperlink xmlns:r="http://schemas.openxmlformats.org/officeDocument/2006/relationships" ref="I100" r:id="rId197"/>
    <hyperlink xmlns:r="http://schemas.openxmlformats.org/officeDocument/2006/relationships" ref="K100" r:id="rId198"/>
    <hyperlink xmlns:r="http://schemas.openxmlformats.org/officeDocument/2006/relationships" ref="I101" r:id="rId199"/>
    <hyperlink xmlns:r="http://schemas.openxmlformats.org/officeDocument/2006/relationships" ref="K101" r:id="rId200"/>
    <hyperlink xmlns:r="http://schemas.openxmlformats.org/officeDocument/2006/relationships" ref="I102" r:id="rId201"/>
    <hyperlink xmlns:r="http://schemas.openxmlformats.org/officeDocument/2006/relationships" ref="K102" r:id="rId202"/>
    <hyperlink xmlns:r="http://schemas.openxmlformats.org/officeDocument/2006/relationships" ref="I103" r:id="rId203"/>
    <hyperlink xmlns:r="http://schemas.openxmlformats.org/officeDocument/2006/relationships" ref="K103" r:id="rId204"/>
    <hyperlink xmlns:r="http://schemas.openxmlformats.org/officeDocument/2006/relationships" ref="I104" r:id="rId205"/>
    <hyperlink xmlns:r="http://schemas.openxmlformats.org/officeDocument/2006/relationships" ref="K104" r:id="rId206"/>
    <hyperlink xmlns:r="http://schemas.openxmlformats.org/officeDocument/2006/relationships" ref="I105" r:id="rId207"/>
    <hyperlink xmlns:r="http://schemas.openxmlformats.org/officeDocument/2006/relationships" ref="K105" r:id="rId208"/>
    <hyperlink xmlns:r="http://schemas.openxmlformats.org/officeDocument/2006/relationships" ref="I106" r:id="rId209"/>
    <hyperlink xmlns:r="http://schemas.openxmlformats.org/officeDocument/2006/relationships" ref="K106" r:id="rId210"/>
    <hyperlink xmlns:r="http://schemas.openxmlformats.org/officeDocument/2006/relationships" ref="I107" r:id="rId211"/>
    <hyperlink xmlns:r="http://schemas.openxmlformats.org/officeDocument/2006/relationships" ref="K107" r:id="rId212"/>
    <hyperlink xmlns:r="http://schemas.openxmlformats.org/officeDocument/2006/relationships" ref="I108" r:id="rId213"/>
    <hyperlink xmlns:r="http://schemas.openxmlformats.org/officeDocument/2006/relationships" ref="K108" r:id="rId214"/>
    <hyperlink xmlns:r="http://schemas.openxmlformats.org/officeDocument/2006/relationships" ref="I109" r:id="rId215"/>
    <hyperlink xmlns:r="http://schemas.openxmlformats.org/officeDocument/2006/relationships" ref="K109" r:id="rId216"/>
    <hyperlink xmlns:r="http://schemas.openxmlformats.org/officeDocument/2006/relationships" ref="I110" r:id="rId217"/>
    <hyperlink xmlns:r="http://schemas.openxmlformats.org/officeDocument/2006/relationships" ref="K110" r:id="rId218"/>
    <hyperlink xmlns:r="http://schemas.openxmlformats.org/officeDocument/2006/relationships" ref="I111" r:id="rId219"/>
    <hyperlink xmlns:r="http://schemas.openxmlformats.org/officeDocument/2006/relationships" ref="K111" r:id="rId220"/>
    <hyperlink xmlns:r="http://schemas.openxmlformats.org/officeDocument/2006/relationships" ref="I112" r:id="rId221"/>
    <hyperlink xmlns:r="http://schemas.openxmlformats.org/officeDocument/2006/relationships" ref="K112" r:id="rId222"/>
    <hyperlink xmlns:r="http://schemas.openxmlformats.org/officeDocument/2006/relationships" ref="I113" r:id="rId223"/>
    <hyperlink xmlns:r="http://schemas.openxmlformats.org/officeDocument/2006/relationships" ref="K113" r:id="rId224"/>
    <hyperlink xmlns:r="http://schemas.openxmlformats.org/officeDocument/2006/relationships" ref="I114" r:id="rId225"/>
    <hyperlink xmlns:r="http://schemas.openxmlformats.org/officeDocument/2006/relationships" ref="K114" r:id="rId226"/>
    <hyperlink xmlns:r="http://schemas.openxmlformats.org/officeDocument/2006/relationships" ref="I115" r:id="rId227"/>
    <hyperlink xmlns:r="http://schemas.openxmlformats.org/officeDocument/2006/relationships" ref="K115" r:id="rId228"/>
    <hyperlink xmlns:r="http://schemas.openxmlformats.org/officeDocument/2006/relationships" ref="I116" r:id="rId229"/>
    <hyperlink xmlns:r="http://schemas.openxmlformats.org/officeDocument/2006/relationships" ref="K116" r:id="rId230"/>
    <hyperlink xmlns:r="http://schemas.openxmlformats.org/officeDocument/2006/relationships" ref="I117" r:id="rId231"/>
    <hyperlink xmlns:r="http://schemas.openxmlformats.org/officeDocument/2006/relationships" ref="K117" r:id="rId232"/>
    <hyperlink xmlns:r="http://schemas.openxmlformats.org/officeDocument/2006/relationships" ref="I118" r:id="rId233"/>
    <hyperlink xmlns:r="http://schemas.openxmlformats.org/officeDocument/2006/relationships" ref="K118" r:id="rId234"/>
    <hyperlink xmlns:r="http://schemas.openxmlformats.org/officeDocument/2006/relationships" ref="I119" r:id="rId235"/>
    <hyperlink xmlns:r="http://schemas.openxmlformats.org/officeDocument/2006/relationships" ref="K119" r:id="rId236"/>
    <hyperlink xmlns:r="http://schemas.openxmlformats.org/officeDocument/2006/relationships" ref="I120" r:id="rId237"/>
    <hyperlink xmlns:r="http://schemas.openxmlformats.org/officeDocument/2006/relationships" ref="K120" r:id="rId238"/>
    <hyperlink xmlns:r="http://schemas.openxmlformats.org/officeDocument/2006/relationships" ref="I121" r:id="rId239"/>
    <hyperlink xmlns:r="http://schemas.openxmlformats.org/officeDocument/2006/relationships" ref="K121" r:id="rId240"/>
    <hyperlink xmlns:r="http://schemas.openxmlformats.org/officeDocument/2006/relationships" ref="I122" r:id="rId241"/>
    <hyperlink xmlns:r="http://schemas.openxmlformats.org/officeDocument/2006/relationships" ref="K122" r:id="rId242"/>
    <hyperlink xmlns:r="http://schemas.openxmlformats.org/officeDocument/2006/relationships" ref="I123" r:id="rId243"/>
    <hyperlink xmlns:r="http://schemas.openxmlformats.org/officeDocument/2006/relationships" ref="K123" r:id="rId244"/>
    <hyperlink xmlns:r="http://schemas.openxmlformats.org/officeDocument/2006/relationships" ref="I124" r:id="rId245"/>
    <hyperlink xmlns:r="http://schemas.openxmlformats.org/officeDocument/2006/relationships" ref="K124" r:id="rId246"/>
    <hyperlink xmlns:r="http://schemas.openxmlformats.org/officeDocument/2006/relationships" ref="I125" r:id="rId247"/>
    <hyperlink xmlns:r="http://schemas.openxmlformats.org/officeDocument/2006/relationships" ref="K125" r:id="rId248"/>
    <hyperlink xmlns:r="http://schemas.openxmlformats.org/officeDocument/2006/relationships" ref="I126" r:id="rId249"/>
    <hyperlink xmlns:r="http://schemas.openxmlformats.org/officeDocument/2006/relationships" ref="K126" r:id="rId250"/>
    <hyperlink xmlns:r="http://schemas.openxmlformats.org/officeDocument/2006/relationships" ref="I127" r:id="rId251"/>
    <hyperlink xmlns:r="http://schemas.openxmlformats.org/officeDocument/2006/relationships" ref="K127" r:id="rId252"/>
    <hyperlink xmlns:r="http://schemas.openxmlformats.org/officeDocument/2006/relationships" ref="I128" r:id="rId253"/>
    <hyperlink xmlns:r="http://schemas.openxmlformats.org/officeDocument/2006/relationships" ref="K128" r:id="rId254"/>
    <hyperlink xmlns:r="http://schemas.openxmlformats.org/officeDocument/2006/relationships" ref="I129" r:id="rId255"/>
    <hyperlink xmlns:r="http://schemas.openxmlformats.org/officeDocument/2006/relationships" ref="K129" r:id="rId256"/>
    <hyperlink xmlns:r="http://schemas.openxmlformats.org/officeDocument/2006/relationships" ref="I130" r:id="rId257"/>
    <hyperlink xmlns:r="http://schemas.openxmlformats.org/officeDocument/2006/relationships" ref="K130" r:id="rId258"/>
    <hyperlink xmlns:r="http://schemas.openxmlformats.org/officeDocument/2006/relationships" ref="I131" r:id="rId259"/>
    <hyperlink xmlns:r="http://schemas.openxmlformats.org/officeDocument/2006/relationships" ref="K131" r:id="rId260"/>
    <hyperlink xmlns:r="http://schemas.openxmlformats.org/officeDocument/2006/relationships" ref="I132" r:id="rId261"/>
    <hyperlink xmlns:r="http://schemas.openxmlformats.org/officeDocument/2006/relationships" ref="K132" r:id="rId262"/>
    <hyperlink xmlns:r="http://schemas.openxmlformats.org/officeDocument/2006/relationships" ref="I133" r:id="rId263"/>
    <hyperlink xmlns:r="http://schemas.openxmlformats.org/officeDocument/2006/relationships" ref="K133" r:id="rId264"/>
    <hyperlink xmlns:r="http://schemas.openxmlformats.org/officeDocument/2006/relationships" ref="I134" r:id="rId265"/>
    <hyperlink xmlns:r="http://schemas.openxmlformats.org/officeDocument/2006/relationships" ref="K134" r:id="rId266"/>
    <hyperlink xmlns:r="http://schemas.openxmlformats.org/officeDocument/2006/relationships" ref="I135" r:id="rId267"/>
    <hyperlink xmlns:r="http://schemas.openxmlformats.org/officeDocument/2006/relationships" ref="K135" r:id="rId268"/>
    <hyperlink xmlns:r="http://schemas.openxmlformats.org/officeDocument/2006/relationships" ref="I136" r:id="rId269"/>
    <hyperlink xmlns:r="http://schemas.openxmlformats.org/officeDocument/2006/relationships" ref="K136" r:id="rId270"/>
    <hyperlink xmlns:r="http://schemas.openxmlformats.org/officeDocument/2006/relationships" ref="I137" r:id="rId271"/>
    <hyperlink xmlns:r="http://schemas.openxmlformats.org/officeDocument/2006/relationships" ref="K137" r:id="rId272"/>
    <hyperlink xmlns:r="http://schemas.openxmlformats.org/officeDocument/2006/relationships" ref="I138" r:id="rId273"/>
    <hyperlink xmlns:r="http://schemas.openxmlformats.org/officeDocument/2006/relationships" ref="K138" r:id="rId274"/>
    <hyperlink xmlns:r="http://schemas.openxmlformats.org/officeDocument/2006/relationships" ref="I139" r:id="rId275"/>
    <hyperlink xmlns:r="http://schemas.openxmlformats.org/officeDocument/2006/relationships" ref="K139" r:id="rId276"/>
    <hyperlink xmlns:r="http://schemas.openxmlformats.org/officeDocument/2006/relationships" ref="I140" r:id="rId277"/>
    <hyperlink xmlns:r="http://schemas.openxmlformats.org/officeDocument/2006/relationships" ref="K140" r:id="rId278"/>
    <hyperlink xmlns:r="http://schemas.openxmlformats.org/officeDocument/2006/relationships" ref="I141" r:id="rId279"/>
    <hyperlink xmlns:r="http://schemas.openxmlformats.org/officeDocument/2006/relationships" ref="K141" r:id="rId280"/>
    <hyperlink xmlns:r="http://schemas.openxmlformats.org/officeDocument/2006/relationships" ref="I142" r:id="rId281"/>
    <hyperlink xmlns:r="http://schemas.openxmlformats.org/officeDocument/2006/relationships" ref="K142" r:id="rId282"/>
    <hyperlink xmlns:r="http://schemas.openxmlformats.org/officeDocument/2006/relationships" ref="I143" r:id="rId283"/>
    <hyperlink xmlns:r="http://schemas.openxmlformats.org/officeDocument/2006/relationships" ref="K143" r:id="rId284"/>
    <hyperlink xmlns:r="http://schemas.openxmlformats.org/officeDocument/2006/relationships" ref="I144" r:id="rId285"/>
    <hyperlink xmlns:r="http://schemas.openxmlformats.org/officeDocument/2006/relationships" ref="K144" r:id="rId286"/>
    <hyperlink xmlns:r="http://schemas.openxmlformats.org/officeDocument/2006/relationships" ref="I145" r:id="rId287"/>
    <hyperlink xmlns:r="http://schemas.openxmlformats.org/officeDocument/2006/relationships" ref="K145" r:id="rId288"/>
    <hyperlink xmlns:r="http://schemas.openxmlformats.org/officeDocument/2006/relationships" ref="I146" r:id="rId289"/>
    <hyperlink xmlns:r="http://schemas.openxmlformats.org/officeDocument/2006/relationships" ref="K146" r:id="rId290"/>
    <hyperlink xmlns:r="http://schemas.openxmlformats.org/officeDocument/2006/relationships" ref="I147" r:id="rId291"/>
    <hyperlink xmlns:r="http://schemas.openxmlformats.org/officeDocument/2006/relationships" ref="K147" r:id="rId292"/>
    <hyperlink xmlns:r="http://schemas.openxmlformats.org/officeDocument/2006/relationships" ref="I148" r:id="rId293"/>
    <hyperlink xmlns:r="http://schemas.openxmlformats.org/officeDocument/2006/relationships" ref="K148" r:id="rId294"/>
    <hyperlink xmlns:r="http://schemas.openxmlformats.org/officeDocument/2006/relationships" ref="I149" r:id="rId295"/>
    <hyperlink xmlns:r="http://schemas.openxmlformats.org/officeDocument/2006/relationships" ref="K149" r:id="rId296"/>
    <hyperlink xmlns:r="http://schemas.openxmlformats.org/officeDocument/2006/relationships" ref="I150" r:id="rId297"/>
    <hyperlink xmlns:r="http://schemas.openxmlformats.org/officeDocument/2006/relationships" ref="K150" r:id="rId298"/>
    <hyperlink xmlns:r="http://schemas.openxmlformats.org/officeDocument/2006/relationships" ref="I151" r:id="rId299"/>
    <hyperlink xmlns:r="http://schemas.openxmlformats.org/officeDocument/2006/relationships" ref="K151" r:id="rId300"/>
    <hyperlink xmlns:r="http://schemas.openxmlformats.org/officeDocument/2006/relationships" ref="I152" r:id="rId301"/>
    <hyperlink xmlns:r="http://schemas.openxmlformats.org/officeDocument/2006/relationships" ref="K152" r:id="rId302"/>
    <hyperlink xmlns:r="http://schemas.openxmlformats.org/officeDocument/2006/relationships" ref="I153" r:id="rId303"/>
    <hyperlink xmlns:r="http://schemas.openxmlformats.org/officeDocument/2006/relationships" ref="K153" r:id="rId304"/>
    <hyperlink xmlns:r="http://schemas.openxmlformats.org/officeDocument/2006/relationships" ref="I154" r:id="rId305"/>
    <hyperlink xmlns:r="http://schemas.openxmlformats.org/officeDocument/2006/relationships" ref="K154" r:id="rId306"/>
    <hyperlink xmlns:r="http://schemas.openxmlformats.org/officeDocument/2006/relationships" ref="I155" r:id="rId307"/>
    <hyperlink xmlns:r="http://schemas.openxmlformats.org/officeDocument/2006/relationships" ref="K155" r:id="rId308"/>
    <hyperlink xmlns:r="http://schemas.openxmlformats.org/officeDocument/2006/relationships" ref="I156" r:id="rId309"/>
    <hyperlink xmlns:r="http://schemas.openxmlformats.org/officeDocument/2006/relationships" ref="K156" r:id="rId310"/>
    <hyperlink xmlns:r="http://schemas.openxmlformats.org/officeDocument/2006/relationships" ref="I157" r:id="rId311"/>
    <hyperlink xmlns:r="http://schemas.openxmlformats.org/officeDocument/2006/relationships" ref="K157" r:id="rId312"/>
    <hyperlink xmlns:r="http://schemas.openxmlformats.org/officeDocument/2006/relationships" ref="I158" r:id="rId313"/>
    <hyperlink xmlns:r="http://schemas.openxmlformats.org/officeDocument/2006/relationships" ref="K158" r:id="rId314"/>
    <hyperlink xmlns:r="http://schemas.openxmlformats.org/officeDocument/2006/relationships" ref="I159" r:id="rId315"/>
    <hyperlink xmlns:r="http://schemas.openxmlformats.org/officeDocument/2006/relationships" ref="K159" r:id="rId316"/>
    <hyperlink xmlns:r="http://schemas.openxmlformats.org/officeDocument/2006/relationships" ref="I160" r:id="rId317"/>
    <hyperlink xmlns:r="http://schemas.openxmlformats.org/officeDocument/2006/relationships" ref="K160" r:id="rId318"/>
    <hyperlink xmlns:r="http://schemas.openxmlformats.org/officeDocument/2006/relationships" ref="I161" r:id="rId319"/>
    <hyperlink xmlns:r="http://schemas.openxmlformats.org/officeDocument/2006/relationships" ref="K161" r:id="rId320"/>
    <hyperlink xmlns:r="http://schemas.openxmlformats.org/officeDocument/2006/relationships" ref="I162" r:id="rId321"/>
    <hyperlink xmlns:r="http://schemas.openxmlformats.org/officeDocument/2006/relationships" ref="K162" r:id="rId322"/>
    <hyperlink xmlns:r="http://schemas.openxmlformats.org/officeDocument/2006/relationships" ref="I163" r:id="rId323"/>
    <hyperlink xmlns:r="http://schemas.openxmlformats.org/officeDocument/2006/relationships" ref="K163" r:id="rId324"/>
    <hyperlink xmlns:r="http://schemas.openxmlformats.org/officeDocument/2006/relationships" ref="I164" r:id="rId325"/>
    <hyperlink xmlns:r="http://schemas.openxmlformats.org/officeDocument/2006/relationships" ref="K164" r:id="rId326"/>
    <hyperlink xmlns:r="http://schemas.openxmlformats.org/officeDocument/2006/relationships" ref="I165" r:id="rId327"/>
    <hyperlink xmlns:r="http://schemas.openxmlformats.org/officeDocument/2006/relationships" ref="K165" r:id="rId328"/>
    <hyperlink xmlns:r="http://schemas.openxmlformats.org/officeDocument/2006/relationships" ref="I166" r:id="rId329"/>
    <hyperlink xmlns:r="http://schemas.openxmlformats.org/officeDocument/2006/relationships" ref="K166" r:id="rId330"/>
    <hyperlink xmlns:r="http://schemas.openxmlformats.org/officeDocument/2006/relationships" ref="I167" r:id="rId331"/>
    <hyperlink xmlns:r="http://schemas.openxmlformats.org/officeDocument/2006/relationships" ref="K167" r:id="rId332"/>
    <hyperlink xmlns:r="http://schemas.openxmlformats.org/officeDocument/2006/relationships" ref="I168" r:id="rId333"/>
    <hyperlink xmlns:r="http://schemas.openxmlformats.org/officeDocument/2006/relationships" ref="K168" r:id="rId334"/>
    <hyperlink xmlns:r="http://schemas.openxmlformats.org/officeDocument/2006/relationships" ref="I169" r:id="rId335"/>
    <hyperlink xmlns:r="http://schemas.openxmlformats.org/officeDocument/2006/relationships" ref="K169" r:id="rId336"/>
    <hyperlink xmlns:r="http://schemas.openxmlformats.org/officeDocument/2006/relationships" ref="I170" r:id="rId337"/>
    <hyperlink xmlns:r="http://schemas.openxmlformats.org/officeDocument/2006/relationships" ref="K170" r:id="rId338"/>
    <hyperlink xmlns:r="http://schemas.openxmlformats.org/officeDocument/2006/relationships" ref="I171" r:id="rId339"/>
    <hyperlink xmlns:r="http://schemas.openxmlformats.org/officeDocument/2006/relationships" ref="K171" r:id="rId340"/>
    <hyperlink xmlns:r="http://schemas.openxmlformats.org/officeDocument/2006/relationships" ref="I172" r:id="rId341"/>
    <hyperlink xmlns:r="http://schemas.openxmlformats.org/officeDocument/2006/relationships" ref="K172" r:id="rId342"/>
    <hyperlink xmlns:r="http://schemas.openxmlformats.org/officeDocument/2006/relationships" ref="I173" r:id="rId343"/>
    <hyperlink xmlns:r="http://schemas.openxmlformats.org/officeDocument/2006/relationships" ref="K173" r:id="rId344"/>
    <hyperlink xmlns:r="http://schemas.openxmlformats.org/officeDocument/2006/relationships" ref="I174" r:id="rId345"/>
    <hyperlink xmlns:r="http://schemas.openxmlformats.org/officeDocument/2006/relationships" ref="K174" r:id="rId346"/>
    <hyperlink xmlns:r="http://schemas.openxmlformats.org/officeDocument/2006/relationships" ref="I175" r:id="rId347"/>
    <hyperlink xmlns:r="http://schemas.openxmlformats.org/officeDocument/2006/relationships" ref="K175" r:id="rId348"/>
    <hyperlink xmlns:r="http://schemas.openxmlformats.org/officeDocument/2006/relationships" ref="I176" r:id="rId349"/>
    <hyperlink xmlns:r="http://schemas.openxmlformats.org/officeDocument/2006/relationships" ref="K176" r:id="rId350"/>
    <hyperlink xmlns:r="http://schemas.openxmlformats.org/officeDocument/2006/relationships" ref="I177" r:id="rId351"/>
    <hyperlink xmlns:r="http://schemas.openxmlformats.org/officeDocument/2006/relationships" ref="K177" r:id="rId352"/>
    <hyperlink xmlns:r="http://schemas.openxmlformats.org/officeDocument/2006/relationships" ref="I178" r:id="rId353"/>
    <hyperlink xmlns:r="http://schemas.openxmlformats.org/officeDocument/2006/relationships" ref="K178" r:id="rId354"/>
    <hyperlink xmlns:r="http://schemas.openxmlformats.org/officeDocument/2006/relationships" ref="I179" r:id="rId355"/>
    <hyperlink xmlns:r="http://schemas.openxmlformats.org/officeDocument/2006/relationships" ref="K179" r:id="rId356"/>
    <hyperlink xmlns:r="http://schemas.openxmlformats.org/officeDocument/2006/relationships" ref="I180" r:id="rId357"/>
    <hyperlink xmlns:r="http://schemas.openxmlformats.org/officeDocument/2006/relationships" ref="K180" r:id="rId358"/>
    <hyperlink xmlns:r="http://schemas.openxmlformats.org/officeDocument/2006/relationships" ref="I181" r:id="rId359"/>
    <hyperlink xmlns:r="http://schemas.openxmlformats.org/officeDocument/2006/relationships" ref="K181" r:id="rId360"/>
    <hyperlink xmlns:r="http://schemas.openxmlformats.org/officeDocument/2006/relationships" ref="I182" r:id="rId361"/>
    <hyperlink xmlns:r="http://schemas.openxmlformats.org/officeDocument/2006/relationships" ref="K182" r:id="rId362"/>
    <hyperlink xmlns:r="http://schemas.openxmlformats.org/officeDocument/2006/relationships" ref="I183" r:id="rId363"/>
    <hyperlink xmlns:r="http://schemas.openxmlformats.org/officeDocument/2006/relationships" ref="K183" r:id="rId364"/>
    <hyperlink xmlns:r="http://schemas.openxmlformats.org/officeDocument/2006/relationships" ref="I184" r:id="rId365"/>
    <hyperlink xmlns:r="http://schemas.openxmlformats.org/officeDocument/2006/relationships" ref="K184" r:id="rId366"/>
    <hyperlink xmlns:r="http://schemas.openxmlformats.org/officeDocument/2006/relationships" ref="I185" r:id="rId367"/>
    <hyperlink xmlns:r="http://schemas.openxmlformats.org/officeDocument/2006/relationships" ref="K185" r:id="rId368"/>
    <hyperlink xmlns:r="http://schemas.openxmlformats.org/officeDocument/2006/relationships" ref="I186" r:id="rId369"/>
    <hyperlink xmlns:r="http://schemas.openxmlformats.org/officeDocument/2006/relationships" ref="K186" r:id="rId370"/>
    <hyperlink xmlns:r="http://schemas.openxmlformats.org/officeDocument/2006/relationships" ref="I187" r:id="rId371"/>
    <hyperlink xmlns:r="http://schemas.openxmlformats.org/officeDocument/2006/relationships" ref="K187" r:id="rId372"/>
    <hyperlink xmlns:r="http://schemas.openxmlformats.org/officeDocument/2006/relationships" ref="I188" r:id="rId373"/>
    <hyperlink xmlns:r="http://schemas.openxmlformats.org/officeDocument/2006/relationships" ref="K188" r:id="rId374"/>
    <hyperlink xmlns:r="http://schemas.openxmlformats.org/officeDocument/2006/relationships" ref="I189" r:id="rId375"/>
    <hyperlink xmlns:r="http://schemas.openxmlformats.org/officeDocument/2006/relationships" ref="K189" r:id="rId376"/>
    <hyperlink xmlns:r="http://schemas.openxmlformats.org/officeDocument/2006/relationships" ref="I190" r:id="rId377"/>
    <hyperlink xmlns:r="http://schemas.openxmlformats.org/officeDocument/2006/relationships" ref="K190" r:id="rId378"/>
    <hyperlink xmlns:r="http://schemas.openxmlformats.org/officeDocument/2006/relationships" ref="I191" r:id="rId379"/>
    <hyperlink xmlns:r="http://schemas.openxmlformats.org/officeDocument/2006/relationships" ref="K191" r:id="rId380"/>
    <hyperlink xmlns:r="http://schemas.openxmlformats.org/officeDocument/2006/relationships" ref="I192" r:id="rId381"/>
    <hyperlink xmlns:r="http://schemas.openxmlformats.org/officeDocument/2006/relationships" ref="K192" r:id="rId382"/>
    <hyperlink xmlns:r="http://schemas.openxmlformats.org/officeDocument/2006/relationships" ref="I193" r:id="rId383"/>
    <hyperlink xmlns:r="http://schemas.openxmlformats.org/officeDocument/2006/relationships" ref="K193" r:id="rId384"/>
    <hyperlink xmlns:r="http://schemas.openxmlformats.org/officeDocument/2006/relationships" ref="I194" r:id="rId385"/>
    <hyperlink xmlns:r="http://schemas.openxmlformats.org/officeDocument/2006/relationships" ref="K194" r:id="rId386"/>
    <hyperlink xmlns:r="http://schemas.openxmlformats.org/officeDocument/2006/relationships" ref="I195" r:id="rId387"/>
    <hyperlink xmlns:r="http://schemas.openxmlformats.org/officeDocument/2006/relationships" ref="K195" r:id="rId388"/>
    <hyperlink xmlns:r="http://schemas.openxmlformats.org/officeDocument/2006/relationships" ref="I196" r:id="rId389"/>
    <hyperlink xmlns:r="http://schemas.openxmlformats.org/officeDocument/2006/relationships" ref="K196" r:id="rId390"/>
    <hyperlink xmlns:r="http://schemas.openxmlformats.org/officeDocument/2006/relationships" ref="I197" r:id="rId391"/>
    <hyperlink xmlns:r="http://schemas.openxmlformats.org/officeDocument/2006/relationships" ref="K197" r:id="rId392"/>
    <hyperlink xmlns:r="http://schemas.openxmlformats.org/officeDocument/2006/relationships" ref="I198" r:id="rId393"/>
    <hyperlink xmlns:r="http://schemas.openxmlformats.org/officeDocument/2006/relationships" ref="K198" r:id="rId394"/>
    <hyperlink xmlns:r="http://schemas.openxmlformats.org/officeDocument/2006/relationships" ref="I199" r:id="rId395"/>
    <hyperlink xmlns:r="http://schemas.openxmlformats.org/officeDocument/2006/relationships" ref="K199" r:id="rId396"/>
    <hyperlink xmlns:r="http://schemas.openxmlformats.org/officeDocument/2006/relationships" ref="I200" r:id="rId397"/>
    <hyperlink xmlns:r="http://schemas.openxmlformats.org/officeDocument/2006/relationships" ref="K200" r:id="rId398"/>
    <hyperlink xmlns:r="http://schemas.openxmlformats.org/officeDocument/2006/relationships" ref="I201" r:id="rId399"/>
    <hyperlink xmlns:r="http://schemas.openxmlformats.org/officeDocument/2006/relationships" ref="K201" r:id="rId400"/>
    <hyperlink xmlns:r="http://schemas.openxmlformats.org/officeDocument/2006/relationships" ref="I202" r:id="rId401"/>
    <hyperlink xmlns:r="http://schemas.openxmlformats.org/officeDocument/2006/relationships" ref="K202" r:id="rId402"/>
    <hyperlink xmlns:r="http://schemas.openxmlformats.org/officeDocument/2006/relationships" ref="I203" r:id="rId403"/>
    <hyperlink xmlns:r="http://schemas.openxmlformats.org/officeDocument/2006/relationships" ref="K203" r:id="rId404"/>
    <hyperlink xmlns:r="http://schemas.openxmlformats.org/officeDocument/2006/relationships" ref="I204" r:id="rId405"/>
    <hyperlink xmlns:r="http://schemas.openxmlformats.org/officeDocument/2006/relationships" ref="K204" r:id="rId406"/>
    <hyperlink xmlns:r="http://schemas.openxmlformats.org/officeDocument/2006/relationships" ref="I205" r:id="rId407"/>
    <hyperlink xmlns:r="http://schemas.openxmlformats.org/officeDocument/2006/relationships" ref="K205" r:id="rId408"/>
    <hyperlink xmlns:r="http://schemas.openxmlformats.org/officeDocument/2006/relationships" ref="I206" r:id="rId409"/>
    <hyperlink xmlns:r="http://schemas.openxmlformats.org/officeDocument/2006/relationships" ref="K206" r:id="rId410"/>
    <hyperlink xmlns:r="http://schemas.openxmlformats.org/officeDocument/2006/relationships" ref="I207" r:id="rId411"/>
    <hyperlink xmlns:r="http://schemas.openxmlformats.org/officeDocument/2006/relationships" ref="K207" r:id="rId412"/>
    <hyperlink xmlns:r="http://schemas.openxmlformats.org/officeDocument/2006/relationships" ref="I208" r:id="rId413"/>
    <hyperlink xmlns:r="http://schemas.openxmlformats.org/officeDocument/2006/relationships" ref="K208" r:id="rId414"/>
    <hyperlink xmlns:r="http://schemas.openxmlformats.org/officeDocument/2006/relationships" ref="I209" r:id="rId415"/>
    <hyperlink xmlns:r="http://schemas.openxmlformats.org/officeDocument/2006/relationships" ref="K209" r:id="rId416"/>
    <hyperlink xmlns:r="http://schemas.openxmlformats.org/officeDocument/2006/relationships" ref="I210" r:id="rId417"/>
    <hyperlink xmlns:r="http://schemas.openxmlformats.org/officeDocument/2006/relationships" ref="K210" r:id="rId418"/>
    <hyperlink xmlns:r="http://schemas.openxmlformats.org/officeDocument/2006/relationships" ref="I211" r:id="rId419"/>
    <hyperlink xmlns:r="http://schemas.openxmlformats.org/officeDocument/2006/relationships" ref="K211" r:id="rId420"/>
    <hyperlink xmlns:r="http://schemas.openxmlformats.org/officeDocument/2006/relationships" ref="I212" r:id="rId421"/>
    <hyperlink xmlns:r="http://schemas.openxmlformats.org/officeDocument/2006/relationships" ref="K212" r:id="rId422"/>
    <hyperlink xmlns:r="http://schemas.openxmlformats.org/officeDocument/2006/relationships" ref="I213" r:id="rId423"/>
    <hyperlink xmlns:r="http://schemas.openxmlformats.org/officeDocument/2006/relationships" ref="K213" r:id="rId424"/>
    <hyperlink xmlns:r="http://schemas.openxmlformats.org/officeDocument/2006/relationships" ref="I214" r:id="rId425"/>
    <hyperlink xmlns:r="http://schemas.openxmlformats.org/officeDocument/2006/relationships" ref="K214" r:id="rId426"/>
    <hyperlink xmlns:r="http://schemas.openxmlformats.org/officeDocument/2006/relationships" ref="I215" r:id="rId427"/>
    <hyperlink xmlns:r="http://schemas.openxmlformats.org/officeDocument/2006/relationships" ref="K215" r:id="rId428"/>
    <hyperlink xmlns:r="http://schemas.openxmlformats.org/officeDocument/2006/relationships" ref="I216" r:id="rId429"/>
    <hyperlink xmlns:r="http://schemas.openxmlformats.org/officeDocument/2006/relationships" ref="K216" r:id="rId430"/>
    <hyperlink xmlns:r="http://schemas.openxmlformats.org/officeDocument/2006/relationships" ref="I217" r:id="rId431"/>
    <hyperlink xmlns:r="http://schemas.openxmlformats.org/officeDocument/2006/relationships" ref="K217" r:id="rId432"/>
    <hyperlink xmlns:r="http://schemas.openxmlformats.org/officeDocument/2006/relationships" ref="I218" r:id="rId433"/>
    <hyperlink xmlns:r="http://schemas.openxmlformats.org/officeDocument/2006/relationships" ref="K218" r:id="rId434"/>
    <hyperlink xmlns:r="http://schemas.openxmlformats.org/officeDocument/2006/relationships" ref="I219" r:id="rId435"/>
    <hyperlink xmlns:r="http://schemas.openxmlformats.org/officeDocument/2006/relationships" ref="K219" r:id="rId436"/>
    <hyperlink xmlns:r="http://schemas.openxmlformats.org/officeDocument/2006/relationships" ref="I220" r:id="rId437"/>
    <hyperlink xmlns:r="http://schemas.openxmlformats.org/officeDocument/2006/relationships" ref="K220" r:id="rId438"/>
    <hyperlink xmlns:r="http://schemas.openxmlformats.org/officeDocument/2006/relationships" ref="I221" r:id="rId439"/>
    <hyperlink xmlns:r="http://schemas.openxmlformats.org/officeDocument/2006/relationships" ref="K221" r:id="rId440"/>
    <hyperlink xmlns:r="http://schemas.openxmlformats.org/officeDocument/2006/relationships" ref="I222" r:id="rId441"/>
    <hyperlink xmlns:r="http://schemas.openxmlformats.org/officeDocument/2006/relationships" ref="K222" r:id="rId442"/>
    <hyperlink xmlns:r="http://schemas.openxmlformats.org/officeDocument/2006/relationships" ref="I223" r:id="rId443"/>
    <hyperlink xmlns:r="http://schemas.openxmlformats.org/officeDocument/2006/relationships" ref="K223" r:id="rId444"/>
    <hyperlink xmlns:r="http://schemas.openxmlformats.org/officeDocument/2006/relationships" ref="I224" r:id="rId445"/>
    <hyperlink xmlns:r="http://schemas.openxmlformats.org/officeDocument/2006/relationships" ref="K224" r:id="rId446"/>
    <hyperlink xmlns:r="http://schemas.openxmlformats.org/officeDocument/2006/relationships" ref="I225" r:id="rId447"/>
    <hyperlink xmlns:r="http://schemas.openxmlformats.org/officeDocument/2006/relationships" ref="K225" r:id="rId448"/>
    <hyperlink xmlns:r="http://schemas.openxmlformats.org/officeDocument/2006/relationships" ref="I226" r:id="rId449"/>
    <hyperlink xmlns:r="http://schemas.openxmlformats.org/officeDocument/2006/relationships" ref="K226" r:id="rId450"/>
    <hyperlink xmlns:r="http://schemas.openxmlformats.org/officeDocument/2006/relationships" ref="I227" r:id="rId451"/>
    <hyperlink xmlns:r="http://schemas.openxmlformats.org/officeDocument/2006/relationships" ref="K227" r:id="rId452"/>
    <hyperlink xmlns:r="http://schemas.openxmlformats.org/officeDocument/2006/relationships" ref="I228" r:id="rId453"/>
    <hyperlink xmlns:r="http://schemas.openxmlformats.org/officeDocument/2006/relationships" ref="K228" r:id="rId454"/>
    <hyperlink xmlns:r="http://schemas.openxmlformats.org/officeDocument/2006/relationships" ref="I229" r:id="rId455"/>
    <hyperlink xmlns:r="http://schemas.openxmlformats.org/officeDocument/2006/relationships" ref="K229" r:id="rId456"/>
    <hyperlink xmlns:r="http://schemas.openxmlformats.org/officeDocument/2006/relationships" ref="I230" r:id="rId457"/>
    <hyperlink xmlns:r="http://schemas.openxmlformats.org/officeDocument/2006/relationships" ref="K230" r:id="rId458"/>
    <hyperlink xmlns:r="http://schemas.openxmlformats.org/officeDocument/2006/relationships" ref="I231" r:id="rId459"/>
    <hyperlink xmlns:r="http://schemas.openxmlformats.org/officeDocument/2006/relationships" ref="K231" r:id="rId460"/>
    <hyperlink xmlns:r="http://schemas.openxmlformats.org/officeDocument/2006/relationships" ref="I232" r:id="rId461"/>
    <hyperlink xmlns:r="http://schemas.openxmlformats.org/officeDocument/2006/relationships" ref="K232" r:id="rId462"/>
    <hyperlink xmlns:r="http://schemas.openxmlformats.org/officeDocument/2006/relationships" ref="I233" r:id="rId463"/>
    <hyperlink xmlns:r="http://schemas.openxmlformats.org/officeDocument/2006/relationships" ref="K233" r:id="rId464"/>
    <hyperlink xmlns:r="http://schemas.openxmlformats.org/officeDocument/2006/relationships" ref="I234" r:id="rId465"/>
    <hyperlink xmlns:r="http://schemas.openxmlformats.org/officeDocument/2006/relationships" ref="K234" r:id="rId466"/>
    <hyperlink xmlns:r="http://schemas.openxmlformats.org/officeDocument/2006/relationships" ref="I235" r:id="rId467"/>
    <hyperlink xmlns:r="http://schemas.openxmlformats.org/officeDocument/2006/relationships" ref="K235" r:id="rId468"/>
    <hyperlink xmlns:r="http://schemas.openxmlformats.org/officeDocument/2006/relationships" ref="I236" r:id="rId469"/>
    <hyperlink xmlns:r="http://schemas.openxmlformats.org/officeDocument/2006/relationships" ref="K236" r:id="rId470"/>
    <hyperlink xmlns:r="http://schemas.openxmlformats.org/officeDocument/2006/relationships" ref="I237" r:id="rId471"/>
    <hyperlink xmlns:r="http://schemas.openxmlformats.org/officeDocument/2006/relationships" ref="K237" r:id="rId472"/>
    <hyperlink xmlns:r="http://schemas.openxmlformats.org/officeDocument/2006/relationships" ref="I238" r:id="rId473"/>
    <hyperlink xmlns:r="http://schemas.openxmlformats.org/officeDocument/2006/relationships" ref="K238" r:id="rId474"/>
    <hyperlink xmlns:r="http://schemas.openxmlformats.org/officeDocument/2006/relationships" ref="I239" r:id="rId475"/>
    <hyperlink xmlns:r="http://schemas.openxmlformats.org/officeDocument/2006/relationships" ref="K239" r:id="rId47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44" customWidth="1" min="4" max="4"/>
    <col width="15" customWidth="1" min="5" max="5"/>
    <col width="50" customWidth="1" min="6" max="6"/>
    <col width="80" customWidth="1" min="7" max="7"/>
    <col width="22" customWidth="1" min="8" max="8"/>
  </cols>
  <sheetData>
    <row r="1" ht="30" customHeight="1">
      <c r="A1" s="18" t="inlineStr">
        <is>
          <t>Name</t>
        </is>
      </c>
      <c r="B1" s="18" t="inlineStr">
        <is>
          <t>Kind</t>
        </is>
      </c>
      <c r="C1" s="18" t="inlineStr">
        <is>
          <t>Status</t>
        </is>
      </c>
      <c r="D1" s="18" t="inlineStr">
        <is>
          <t>Routes quoted (own UI)</t>
        </is>
      </c>
      <c r="E1" s="18" t="inlineStr">
        <is>
          <t>Bridg venue id</t>
        </is>
      </c>
      <c r="F1" s="18" t="inlineStr">
        <is>
          <t>URL / method</t>
        </is>
      </c>
      <c r="G1" s="18" t="inlineStr">
        <is>
          <t>Reason / notes</t>
        </is>
      </c>
      <c r="H1" s="18" t="inlineStr">
        <is>
          <t>Checked</t>
        </is>
      </c>
    </row>
    <row r="2">
      <c r="A2" s="4" t="inlineStr">
        <is>
          <t>Bridg</t>
        </is>
      </c>
      <c r="B2" s="4" t="inlineStr">
        <is>
          <t>subject</t>
        </is>
      </c>
      <c r="C2" s="4" t="inlineStr">
        <is>
          <t>WORKING</t>
        </is>
      </c>
      <c r="D2" s="4" t="inlineStr">
        <is>
          <t>all 6</t>
        </is>
      </c>
      <c r="F2" s="4" t="inlineStr">
        <is>
          <t>https://bridg.now/swap/</t>
        </is>
      </c>
      <c r="G2" s="23" t="inlineStr">
        <is>
          <t>Per-venue live-quote board + best/fastest fee breakdown; no wallet needed</t>
        </is>
      </c>
    </row>
    <row r="3">
      <c r="A3" s="4" t="inlineStr">
        <is>
          <t>Relay</t>
        </is>
      </c>
      <c r="B3" s="4" t="inlineStr">
        <is>
          <t>venue</t>
        </is>
      </c>
      <c r="C3" s="4" t="inlineStr">
        <is>
          <t>WORKING</t>
        </is>
      </c>
      <c r="D3" s="4" t="inlineStr">
        <is>
          <t>all 6</t>
        </is>
      </c>
      <c r="E3" s="4" t="inlineStr">
        <is>
          <t>relay</t>
        </is>
      </c>
      <c r="F3" s="4" t="inlineStr">
        <is>
          <t>https://relay.link</t>
        </is>
      </c>
      <c r="G3" s="23" t="inlineStr"/>
    </row>
    <row r="4">
      <c r="A4" s="4" t="inlineStr">
        <is>
          <t>deBridge</t>
        </is>
      </c>
      <c r="B4" s="4" t="inlineStr">
        <is>
          <t>venue</t>
        </is>
      </c>
      <c r="C4" s="4" t="inlineStr">
        <is>
          <t>WORKING</t>
        </is>
      </c>
      <c r="D4" s="4" t="inlineStr">
        <is>
          <t>all 6</t>
        </is>
      </c>
      <c r="E4" s="4" t="inlineStr">
        <is>
          <t>debridge</t>
        </is>
      </c>
      <c r="F4" s="4" t="inlineStr">
        <is>
          <t>https://app.debridge.finance</t>
        </is>
      </c>
      <c r="G4" s="23" t="inlineStr"/>
    </row>
    <row r="5">
      <c r="A5" s="4" t="inlineStr">
        <is>
          <t>LI.FI (Jumper)</t>
        </is>
      </c>
      <c r="B5" s="4" t="inlineStr">
        <is>
          <t>venue</t>
        </is>
      </c>
      <c r="C5" s="4" t="inlineStr">
        <is>
          <t>WORKING</t>
        </is>
      </c>
      <c r="D5" s="4" t="inlineStr">
        <is>
          <t>all 6</t>
        </is>
      </c>
      <c r="E5" s="4" t="inlineStr">
        <is>
          <t>lifi</t>
        </is>
      </c>
      <c r="F5" s="4" t="inlineStr">
        <is>
          <t>https://jumper.exchange</t>
        </is>
      </c>
      <c r="G5" s="23" t="inlineStr"/>
    </row>
    <row r="6">
      <c r="A6" s="4" t="inlineStr">
        <is>
          <t>Across</t>
        </is>
      </c>
      <c r="B6" s="4" t="inlineStr">
        <is>
          <t>venue</t>
        </is>
      </c>
      <c r="C6" s="4" t="inlineStr">
        <is>
          <t>WORKING</t>
        </is>
      </c>
      <c r="D6" s="4" t="inlineStr">
        <is>
          <t>all 6</t>
        </is>
      </c>
      <c r="E6" s="4" t="inlineStr">
        <is>
          <t>across</t>
        </is>
      </c>
      <c r="F6" s="4" t="inlineStr">
        <is>
          <t>https://app.across.to</t>
        </is>
      </c>
      <c r="G6" s="23" t="inlineStr"/>
    </row>
    <row r="7">
      <c r="A7" s="4" t="inlineStr">
        <is>
          <t>Mayan</t>
        </is>
      </c>
      <c r="B7" s="4" t="inlineStr">
        <is>
          <t>venue</t>
        </is>
      </c>
      <c r="C7" s="4" t="inlineStr">
        <is>
          <t>WORKING</t>
        </is>
      </c>
      <c r="D7" s="4" t="inlineStr">
        <is>
          <t>all 6</t>
        </is>
      </c>
      <c r="E7" s="4" t="inlineStr">
        <is>
          <t>mayan</t>
        </is>
      </c>
      <c r="F7" s="4" t="inlineStr">
        <is>
          <t>https://swap.mayan.finance</t>
        </is>
      </c>
      <c r="G7" s="23" t="inlineStr"/>
    </row>
    <row r="8">
      <c r="A8" s="4" t="inlineStr">
        <is>
          <t>Allbridge Core</t>
        </is>
      </c>
      <c r="B8" s="4" t="inlineStr">
        <is>
          <t>venue</t>
        </is>
      </c>
      <c r="C8" s="4" t="inlineStr">
        <is>
          <t>PARTIAL</t>
        </is>
      </c>
      <c r="D8" s="4" t="inlineStr">
        <is>
          <t>SOL → ETH, ETH → SOL, SOL → Base, Base → SOL</t>
        </is>
      </c>
      <c r="E8" s="4" t="inlineStr">
        <is>
          <t>allbridge-core</t>
        </is>
      </c>
      <c r="F8" s="4" t="inlineStr"/>
      <c r="G8" s="23" t="inlineStr"/>
    </row>
    <row r="9">
      <c r="A9" s="4" t="inlineStr">
        <is>
          <t>CCTP (via Portal)</t>
        </is>
      </c>
      <c r="B9" s="4" t="inlineStr">
        <is>
          <t>venue</t>
        </is>
      </c>
      <c r="C9" s="4" t="inlineStr">
        <is>
          <t>PARTIAL</t>
        </is>
      </c>
      <c r="D9" s="4" t="inlineStr">
        <is>
          <t>SOL → ETH, ETH → SOL, SOL → Base, Base → SOL</t>
        </is>
      </c>
      <c r="E9" s="4" t="inlineStr">
        <is>
          <t>cctp</t>
        </is>
      </c>
      <c r="F9" s="4" t="inlineStr"/>
      <c r="G9" s="23" t="inlineStr"/>
    </row>
    <row r="10">
      <c r="A10" s="4" t="inlineStr">
        <is>
          <t>Husher</t>
        </is>
      </c>
      <c r="B10" s="4" t="inlineStr">
        <is>
          <t>venue</t>
        </is>
      </c>
      <c r="C10" s="4" t="inlineStr">
        <is>
          <t>WORKING</t>
        </is>
      </c>
      <c r="D10" s="4" t="inlineStr">
        <is>
          <t>all 6</t>
        </is>
      </c>
      <c r="E10" s="4" t="inlineStr">
        <is>
          <t>husher</t>
        </is>
      </c>
      <c r="F10" s="4" t="inlineStr"/>
      <c r="G10" s="23" t="inlineStr"/>
    </row>
    <row r="11">
      <c r="A11" s="4" t="inlineStr">
        <is>
          <t>Layerswap</t>
        </is>
      </c>
      <c r="B11" s="4" t="inlineStr">
        <is>
          <t>venue</t>
        </is>
      </c>
      <c r="C11" s="4" t="inlineStr">
        <is>
          <t>WORKING</t>
        </is>
      </c>
      <c r="D11" s="4" t="inlineStr">
        <is>
          <t>all 6</t>
        </is>
      </c>
      <c r="E11" s="4" t="inlineStr">
        <is>
          <t>layerswap</t>
        </is>
      </c>
      <c r="F11" s="4" t="inlineStr"/>
      <c r="G11" s="23" t="inlineStr"/>
    </row>
    <row r="12">
      <c r="A12" s="4" t="inlineStr">
        <is>
          <t>Meson</t>
        </is>
      </c>
      <c r="B12" s="4" t="inlineStr">
        <is>
          <t>venue</t>
        </is>
      </c>
      <c r="C12" s="4" t="inlineStr">
        <is>
          <t>WORKING</t>
        </is>
      </c>
      <c r="D12" s="4" t="inlineStr">
        <is>
          <t>all 6</t>
        </is>
      </c>
      <c r="E12" s="4" t="inlineStr">
        <is>
          <t>meson</t>
        </is>
      </c>
      <c r="F12" s="4" t="inlineStr"/>
      <c r="G12" s="23" t="inlineStr"/>
    </row>
    <row r="13">
      <c r="A13" s="4" t="inlineStr">
        <is>
          <t>OpenSea</t>
        </is>
      </c>
      <c r="B13" s="4" t="inlineStr">
        <is>
          <t>platform</t>
        </is>
      </c>
      <c r="C13" s="4" t="inlineStr">
        <is>
          <t>PARTIAL</t>
        </is>
      </c>
      <c r="D13" s="4" t="inlineStr">
        <is>
          <t>SOL → ETH, ETH → SOL, SOL → Base, Base → SOL</t>
        </is>
      </c>
      <c r="E13" s="4" t="n"/>
      <c r="F13" s="4" t="inlineStr"/>
      <c r="G13" s="23" t="inlineStr"/>
    </row>
    <row r="14">
      <c r="A14" s="4" t="inlineStr">
        <is>
          <t>SimpleSwap</t>
        </is>
      </c>
      <c r="B14" s="4" t="inlineStr">
        <is>
          <t>venue</t>
        </is>
      </c>
      <c r="C14" s="4" t="inlineStr">
        <is>
          <t>WORKING</t>
        </is>
      </c>
      <c r="D14" s="4" t="inlineStr">
        <is>
          <t>all 6</t>
        </is>
      </c>
      <c r="E14" s="4" t="inlineStr">
        <is>
          <t>simpleswap</t>
        </is>
      </c>
      <c r="F14" s="4" t="inlineStr"/>
      <c r="G14" s="23" t="inlineStr"/>
    </row>
    <row r="15">
      <c r="A15" s="4" t="inlineStr">
        <is>
          <t>Skip Go</t>
        </is>
      </c>
      <c r="B15" s="4" t="inlineStr">
        <is>
          <t>venue</t>
        </is>
      </c>
      <c r="C15" s="4" t="inlineStr">
        <is>
          <t>PARTIAL</t>
        </is>
      </c>
      <c r="D15" s="4" t="inlineStr">
        <is>
          <t>SOL → ETH, ETH → SOL, SOL → Base, Base → SOL</t>
        </is>
      </c>
      <c r="E15" s="4" t="inlineStr">
        <is>
          <t>skip-go</t>
        </is>
      </c>
      <c r="F15" s="4" t="inlineStr"/>
      <c r="G15" s="23" t="inlineStr"/>
    </row>
    <row r="16">
      <c r="A16" s="4" t="inlineStr">
        <is>
          <t>Symbiosis</t>
        </is>
      </c>
      <c r="B16" s="4" t="inlineStr">
        <is>
          <t>venue</t>
        </is>
      </c>
      <c r="C16" s="4" t="inlineStr">
        <is>
          <t>PARTIAL</t>
        </is>
      </c>
      <c r="D16" s="4" t="inlineStr">
        <is>
          <t>SOL → ETH, ETH → SOL, BSC → SOL, Base → SOL</t>
        </is>
      </c>
      <c r="E16" s="4" t="inlineStr">
        <is>
          <t>symbiosis</t>
        </is>
      </c>
      <c r="F16" s="4" t="inlineStr"/>
      <c r="G16" s="23" t="inlineStr"/>
    </row>
    <row r="17">
      <c r="A17" s="4" t="inlineStr">
        <is>
          <t>Axiom</t>
        </is>
      </c>
      <c r="B17" s="4" t="inlineStr">
        <is>
          <t>platform</t>
        </is>
      </c>
      <c r="C17" s="4" t="inlineStr">
        <is>
          <t>BLOCKED</t>
        </is>
      </c>
      <c r="D17" s="4" t="inlineStr">
        <is>
          <t>none</t>
        </is>
      </c>
      <c r="E17" s="4" t="n"/>
      <c r="F17" s="4" t="inlineStr">
        <is>
          <t>https://axiom.trade/</t>
        </is>
      </c>
      <c r="G17" s="23" t="inlineStr">
        <is>
          <t>PARTIAL — no 100 USDC quote without funds. Signed-in check (user logged in; built-in browser, 2026-09-23): Axiom 'Exchange' has a cross-chain Convert (e.g. 'Swap USDC on Solana for USDC on Ethereum', indicative 1 USDC = 1.0000 USDC) but the amount field clamps to the wallet balance (0), so 100 can't be priced. Deposit auto-bridges EVM→Solana and shows fees only at its minimum: ETH→SOL USDC ($3 min) ~26s, impact −0.388%, fees ~$0.27 (gas $0.27, routing/liquidity &lt;$0.01); BSC→SOL ($2 min) ~26s, impact −8.357%, fees ~$0.21 (gas); Base→SOL ($2 min) ~26s, impact −0.455%, fees ~$0.02. Indicative only — not comparable to a 100 USDC quote.</t>
        </is>
      </c>
      <c r="H17" s="4" t="inlineStr">
        <is>
          <t>2026-09-23T14:07:33Z</t>
        </is>
      </c>
    </row>
    <row r="18">
      <c r="A18" s="4" t="inlineStr">
        <is>
          <t>Eco</t>
        </is>
      </c>
      <c r="B18" s="4" t="inlineStr">
        <is>
          <t>venue</t>
        </is>
      </c>
      <c r="C18" s="4" t="inlineStr">
        <is>
          <t>BLOCKED</t>
        </is>
      </c>
      <c r="D18" s="4" t="inlineStr">
        <is>
          <t>none</t>
        </is>
      </c>
      <c r="E18" s="4" t="inlineStr">
        <is>
          <t>eco</t>
        </is>
      </c>
      <c r="F18" s="4" t="inlineStr">
        <is>
          <t>https://portal.eco.com/</t>
        </is>
      </c>
      <c r="G18" s="23" t="inlineStr">
        <is>
          <t>Eco Portal (portal.eco.com, Eco's official transfer UI) does not offer Solana or BNB Chain as origin or destination (chains: Arbitrum, Base, Celo, Ethereum, Ink, Optimism, Plasma, Polygon, Sonic, Unichain), so no SOL&lt;-&gt;ETH/BSC/Base USDC route can be quoted there. The UI itself quotes without a wallet for supported chains (e.g. Base-&gt;Ethereum 100 USDC -&gt; 100 USDC).</t>
        </is>
      </c>
      <c r="H18" s="4" t="inlineStr">
        <is>
          <t>2026-09-23T09:27:00Z</t>
        </is>
      </c>
    </row>
    <row r="19">
      <c r="A19" s="4" t="inlineStr">
        <is>
          <t>FOMO</t>
        </is>
      </c>
      <c r="B19" s="4" t="inlineStr">
        <is>
          <t>platform</t>
        </is>
      </c>
      <c r="C19" s="4" t="inlineStr">
        <is>
          <t>BLOCKED</t>
        </is>
      </c>
      <c r="D19" s="4" t="inlineStr">
        <is>
          <t>none</t>
        </is>
      </c>
      <c r="E19" s="4" t="n"/>
      <c r="F19" s="4" t="inlineStr">
        <is>
          <t>https://fomo.family/</t>
        </is>
      </c>
      <c r="G19" s="23" t="inlineStr">
        <is>
          <t>BLOCKED — signed-in check (user logged in): deposits accept USDC from Solana, Base, BNB Chain, Monad, Robinhood Chain, Arc, Ethereum into one USD cash balance; no fee/quote is shown at deposit and moving funds out needs a balance. No chain-to-chain quote.</t>
        </is>
      </c>
      <c r="H19" s="4" t="inlineStr">
        <is>
          <t>2026-09-23T14:07:33Z</t>
        </is>
      </c>
    </row>
    <row r="20">
      <c r="A20" s="4" t="inlineStr">
        <is>
          <t>GMGN</t>
        </is>
      </c>
      <c r="B20" s="4" t="inlineStr">
        <is>
          <t>platform</t>
        </is>
      </c>
      <c r="C20" s="4" t="inlineStr">
        <is>
          <t>BLOCKED</t>
        </is>
      </c>
      <c r="D20" s="4" t="inlineStr">
        <is>
          <t>none</t>
        </is>
      </c>
      <c r="E20" s="4" t="n"/>
      <c r="F20" s="4" t="inlineStr">
        <is>
          <t>https://gmgn.ai/</t>
        </is>
      </c>
      <c r="G20" s="23" t="inlineStr">
        <is>
          <t>BLOCKED — signed-in check (user logged in): wallet menu has Convert, but it requires binding 2FA (a security-setting change the user must make) and then a 3-hour lock before Convert works. Deposit accepts SOL/USDT/USDC/USD1 on the Solana network only.</t>
        </is>
      </c>
      <c r="H20" s="4" t="inlineStr">
        <is>
          <t>2026-09-23T14:07:33Z</t>
        </is>
      </c>
    </row>
    <row r="21">
      <c r="A21" s="4" t="inlineStr">
        <is>
          <t>NEAR Intents</t>
        </is>
      </c>
      <c r="B21" s="4" t="inlineStr">
        <is>
          <t>venue</t>
        </is>
      </c>
      <c r="C21" s="4" t="inlineStr">
        <is>
          <t>BLOCKED</t>
        </is>
      </c>
      <c r="D21" s="4" t="inlineStr">
        <is>
          <t>none</t>
        </is>
      </c>
      <c r="E21" s="4" t="inlineStr">
        <is>
          <t>near-intents</t>
        </is>
      </c>
      <c r="F21" s="4" t="inlineStr">
        <is>
          <t>https://near.com/swap</t>
        </is>
      </c>
      <c r="G21" s="23" t="inlineStr">
        <is>
          <t>Official NEAR Intents app (app.near-intents.org) is decommissioned and just points to near.com; near.com's swap requires signing in / creating an account (passkey or wallet). The public landing-page demo swap has no chain selector (one unified USDC = Ethereum USDC), so no SOL&lt;-&gt;EVM USDC route can be quoted.</t>
        </is>
      </c>
      <c r="H21" s="4" t="inlineStr">
        <is>
          <t>2026-09-23T09:27:00Z</t>
        </is>
      </c>
    </row>
    <row r="22">
      <c r="A22" s="4" t="inlineStr">
        <is>
          <t>Pump.fun</t>
        </is>
      </c>
      <c r="B22" s="4" t="inlineStr">
        <is>
          <t>platform</t>
        </is>
      </c>
      <c r="C22" s="4" t="inlineStr">
        <is>
          <t>BLOCKED</t>
        </is>
      </c>
      <c r="D22" s="4" t="inlineStr">
        <is>
          <t>none</t>
        </is>
      </c>
      <c r="E22" s="4" t="n"/>
      <c r="F22" s="4" t="inlineStr">
        <is>
          <t>https://pump.fun/</t>
        </is>
      </c>
      <c r="G22" s="23" t="inlineStr">
        <is>
          <t>BLOCKED — signed-in check (user logged in): web Deposit is Solana-only ('Only send assets on the Solana network', min 0.01 SOL). No cross-chain quote on web; the MoonPay cross-chain deposit reported in news may be mobile-only.</t>
        </is>
      </c>
      <c r="H22" s="4" t="inlineStr">
        <is>
          <t>2026-09-23T14:07:33Z</t>
        </is>
      </c>
    </row>
    <row r="23">
      <c r="A23" s="4" t="inlineStr">
        <is>
          <t>Rhino.fi</t>
        </is>
      </c>
      <c r="B23" s="4" t="inlineStr">
        <is>
          <t>venue</t>
        </is>
      </c>
      <c r="C23" s="4" t="inlineStr">
        <is>
          <t>BLOCKED</t>
        </is>
      </c>
      <c r="D23" s="4" t="inlineStr">
        <is>
          <t>none</t>
        </is>
      </c>
      <c r="E23" s="4" t="inlineStr">
        <is>
          <t>rhino</t>
        </is>
      </c>
      <c r="F23" s="4" t="inlineStr">
        <is>
          <t>https://app.rhino.fi/bridge?token=USDC&amp;chainIn=SOLANA&amp;chainOut=ETHEREUM</t>
        </is>
      </c>
      <c r="G23" s="23" t="inlineStr">
        <is>
          <t>No public web UI: app.rhino.fi redirects to rhino.fi/b2c-app-deprecation (retail app deprecated Aug 2026; B2B/Console only, requires an account)</t>
        </is>
      </c>
      <c r="H23" s="4" t="inlineStr">
        <is>
          <t>2026-09-23T09:22:44Z</t>
        </is>
      </c>
    </row>
  </sheetData>
  <conditionalFormatting sqref="C2:C23">
    <cfRule type="cellIs" priority="1" operator="equal" dxfId="2">
      <formula>"BLOCKED"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16" customWidth="1" min="4" max="4"/>
    <col width="9" customWidth="1" min="5" max="5"/>
    <col width="12" customWidth="1" min="6" max="6"/>
    <col width="25" customWidth="1" min="7" max="7"/>
    <col width="25" customWidth="1" min="8" max="8"/>
    <col width="25" customWidth="1" min="9" max="9"/>
    <col width="11" customWidth="1" min="10" max="10"/>
    <col width="13" customWidth="1" min="11" max="11"/>
    <col width="11" customWidth="1" min="12" max="12"/>
    <col width="10" customWidth="1" min="13" max="13"/>
    <col width="60" customWidth="1" min="14" max="14"/>
    <col width="50" customWidth="1" min="15" max="15"/>
    <col width="17" customWidth="1" min="16" max="16"/>
    <col width="25" customWidth="1" min="17" max="17"/>
    <col width="25" customWidth="1" min="18" max="18"/>
    <col width="12" customWidth="1" min="19" max="19"/>
  </cols>
  <sheetData>
    <row r="1" ht="30" customHeight="1">
      <c r="A1" s="18" t="inlineStr">
        <is>
          <t>Run ID</t>
        </is>
      </c>
      <c r="B1" s="18" t="inlineStr">
        <is>
          <t>Route</t>
        </is>
      </c>
      <c r="C1" s="18" t="inlineStr">
        <is>
          <t>Sample</t>
        </is>
      </c>
      <c r="D1" s="18" t="inlineStr">
        <is>
          <t>Site</t>
        </is>
      </c>
      <c r="E1" s="18" t="inlineStr">
        <is>
          <t>Kind</t>
        </is>
      </c>
      <c r="F1" s="18" t="inlineStr">
        <is>
          <t>Status</t>
        </is>
      </c>
      <c r="G1" s="18" t="inlineStr">
        <is>
          <t>requestStart (UTC)</t>
        </is>
      </c>
      <c r="H1" s="18" t="inlineStr">
        <is>
          <t>quoteVisible (UTC)</t>
        </is>
      </c>
      <c r="I1" s="18" t="inlineStr">
        <is>
          <t>screenshotAt (UTC)</t>
        </is>
      </c>
      <c r="J1" s="18" t="inlineStr">
        <is>
          <t>Δ read vs Bridg (s)</t>
        </is>
      </c>
      <c r="K1" s="18" t="inlineStr">
        <is>
          <t>Out (USDC)</t>
        </is>
      </c>
      <c r="L1" s="18" t="inlineStr">
        <is>
          <t>Fee on top</t>
        </is>
      </c>
      <c r="M1" s="18" t="inlineStr">
        <is>
          <t>Fee token</t>
        </is>
      </c>
      <c r="N1" s="18" t="inlineStr">
        <is>
          <t>Detail</t>
        </is>
      </c>
      <c r="O1" s="18" t="inlineStr">
        <is>
          <t>Page URL</t>
        </is>
      </c>
      <c r="P1" s="18" t="inlineStr">
        <is>
          <t>Campaign</t>
        </is>
      </c>
      <c r="Q1" s="18" t="inlineStr">
        <is>
          <t>Value read at (UTC)</t>
        </is>
      </c>
      <c r="R1" s="18" t="inlineStr">
        <is>
          <t>Settled at (UTC)</t>
        </is>
      </c>
      <c r="S1" s="18" t="inlineStr">
        <is>
          <t>Run read spread (s)</t>
        </is>
      </c>
    </row>
    <row r="2">
      <c r="A2" s="4" t="inlineStr">
        <is>
          <t>4c97f29bcfca</t>
        </is>
      </c>
      <c r="B2" s="4" t="inlineStr">
        <is>
          <t>SOL-&gt;ETH</t>
        </is>
      </c>
      <c r="C2" s="4" t="n">
        <v>1</v>
      </c>
      <c r="D2" s="4" t="inlineStr">
        <is>
          <t>Bridg</t>
        </is>
      </c>
      <c r="E2" s="4" t="inlineStr">
        <is>
          <t>bridg</t>
        </is>
      </c>
      <c r="F2" s="4" t="inlineStr">
        <is>
          <t>OK</t>
        </is>
      </c>
      <c r="G2" s="4" t="inlineStr">
        <is>
          <t>2026-09-23T14:18:34.538Z</t>
        </is>
      </c>
      <c r="H2" s="4" t="inlineStr">
        <is>
          <t>2026-09-23T14:18:36.899Z</t>
        </is>
      </c>
      <c r="I2" s="4" t="inlineStr">
        <is>
          <t>2026-09-23T14:18:55.437Z</t>
        </is>
      </c>
      <c r="J2" s="13" t="n"/>
      <c r="K2" s="19" t="n">
        <v>99.84001499999999</v>
      </c>
      <c r="L2" s="20" t="n"/>
      <c r="M2" s="4" t="n"/>
      <c r="N2" s="4" t="inlineStr">
        <is>
          <t>best via Across; 16 venues priced; fees [['Across fee', 0.009985], ['Bridg fee', 0.15]]</t>
        </is>
      </c>
      <c r="O2" s="4" t="inlineStr">
        <is>
          <t>https://bridg.now/swap/</t>
        </is>
      </c>
      <c r="P2" s="4" t="inlineStr">
        <is>
          <t>20260923T141817Z</t>
        </is>
      </c>
      <c r="Q2" s="4" t="inlineStr">
        <is>
          <t>2026-09-23T14:18:55.406Z</t>
        </is>
      </c>
      <c r="R2" s="4" t="inlineStr">
        <is>
          <t>2026-09-23T14:18:41.639Z</t>
        </is>
      </c>
      <c r="S2" s="13" t="n">
        <v>0.006</v>
      </c>
    </row>
    <row r="3">
      <c r="A3" s="4" t="inlineStr">
        <is>
          <t>4c97f29bcfca</t>
        </is>
      </c>
      <c r="B3" s="4" t="inlineStr">
        <is>
          <t>SOL-&gt;ETH</t>
        </is>
      </c>
      <c r="C3" s="4" t="n">
        <v>1</v>
      </c>
      <c r="D3" s="4" t="inlineStr">
        <is>
          <t>Relay</t>
        </is>
      </c>
      <c r="E3" s="4" t="inlineStr">
        <is>
          <t>venue</t>
        </is>
      </c>
      <c r="F3" s="4" t="inlineStr">
        <is>
          <t>OK</t>
        </is>
      </c>
      <c r="G3" s="4" t="inlineStr">
        <is>
          <t>2026-09-23T14:18:34.535Z</t>
        </is>
      </c>
      <c r="H3" s="4" t="inlineStr">
        <is>
          <t>2026-09-23T14:18:38.436Z</t>
        </is>
      </c>
      <c r="I3" s="4" t="inlineStr">
        <is>
          <t>2026-09-23T14:18:55.426Z</t>
        </is>
      </c>
      <c r="J3" s="13" t="n">
        <v>0.002</v>
      </c>
      <c r="K3" s="19" t="n">
        <v>99.193956</v>
      </c>
      <c r="L3" s="20" t="n"/>
      <c r="M3" s="4" t="n"/>
      <c r="N3" s="4" t="inlineStr">
        <is>
          <t>rate=0.9919</t>
        </is>
      </c>
      <c r="O3" s="4" t="inlineStr">
        <is>
          <t>https://relay.link/bridge/ethereum?fromChainId=792703809&amp;fromCurrency=EPjFWdd5AufqSSqeM2qN1xzybapC8G4wEGGkZwyTDt1v&amp;toCurrency=0xa0b86991c6218b36c1d19d4a2e9eb0ce3606eb48</t>
        </is>
      </c>
      <c r="P3" s="4" t="inlineStr">
        <is>
          <t>20260923T141817Z</t>
        </is>
      </c>
      <c r="Q3" s="4" t="inlineStr">
        <is>
          <t>2026-09-23T14:18:55.404Z</t>
        </is>
      </c>
      <c r="R3" s="4" t="inlineStr">
        <is>
          <t>2026-09-23T14:18:40.718Z</t>
        </is>
      </c>
      <c r="S3" s="13" t="n">
        <v>0.006</v>
      </c>
    </row>
    <row r="4">
      <c r="A4" s="4" t="inlineStr">
        <is>
          <t>4c97f29bcfca</t>
        </is>
      </c>
      <c r="B4" s="4" t="inlineStr">
        <is>
          <t>SOL-&gt;ETH</t>
        </is>
      </c>
      <c r="C4" s="4" t="n">
        <v>1</v>
      </c>
      <c r="D4" s="4" t="inlineStr">
        <is>
          <t>deBridge</t>
        </is>
      </c>
      <c r="E4" s="4" t="inlineStr">
        <is>
          <t>venue</t>
        </is>
      </c>
      <c r="F4" s="4" t="inlineStr">
        <is>
          <t>OK</t>
        </is>
      </c>
      <c r="G4" s="4" t="inlineStr">
        <is>
          <t>2026-09-23T14:18:34.531Z</t>
        </is>
      </c>
      <c r="H4" s="4" t="inlineStr">
        <is>
          <t>2026-09-23T14:18:37.964Z</t>
        </is>
      </c>
      <c r="I4" s="4" t="inlineStr">
        <is>
          <t>2026-09-23T14:18:55.424Z</t>
        </is>
      </c>
      <c r="J4" s="13" t="n">
        <v>0.004</v>
      </c>
      <c r="K4" s="19" t="n">
        <v>99.920018</v>
      </c>
      <c r="L4" s="20" t="n">
        <v>2.9354</v>
      </c>
      <c r="M4" s="4" t="inlineStr">
        <is>
          <t>USDC</t>
        </is>
      </c>
      <c r="N4" s="4" t="inlineStr">
        <is>
          <t>fixed_fee_on_top=2.9354; fixed_fee_token=USDC</t>
        </is>
      </c>
      <c r="O4" s="4" t="inlineStr">
        <is>
          <t>https://app.debridge.com/?inputChain=7565164&amp;outputChain=1&amp;inputCurrency=EPjFWdd5AufqSSqeM2qN1xzybapC8G4wEGGkZwyTDt1v&amp;outputCurrency=0xa0b86991c6218b36c1d19d4a2e9eb0ce3606eb48&amp;dlnMode=simple</t>
        </is>
      </c>
      <c r="P4" s="4" t="inlineStr">
        <is>
          <t>20260923T141817Z</t>
        </is>
      </c>
      <c r="Q4" s="4" t="inlineStr">
        <is>
          <t>2026-09-23T14:18:55.402Z</t>
        </is>
      </c>
      <c r="R4" s="4" t="inlineStr">
        <is>
          <t>2026-09-23T14:18:40.142Z</t>
        </is>
      </c>
      <c r="S4" s="13" t="n">
        <v>0.006</v>
      </c>
    </row>
    <row r="5">
      <c r="A5" s="4" t="inlineStr">
        <is>
          <t>4c97f29bcfca</t>
        </is>
      </c>
      <c r="B5" s="4" t="inlineStr">
        <is>
          <t>SOL-&gt;ETH</t>
        </is>
      </c>
      <c r="C5" s="4" t="n">
        <v>1</v>
      </c>
      <c r="D5" s="4" t="inlineStr">
        <is>
          <t>LI.FI (Jumper)</t>
        </is>
      </c>
      <c r="E5" s="4" t="inlineStr">
        <is>
          <t>venue</t>
        </is>
      </c>
      <c r="F5" s="4" t="inlineStr">
        <is>
          <t>OK</t>
        </is>
      </c>
      <c r="G5" s="4" t="inlineStr">
        <is>
          <t>2026-09-23T14:18:34.668Z</t>
        </is>
      </c>
      <c r="H5" s="4" t="inlineStr">
        <is>
          <t>2026-09-23T14:18:53.254Z</t>
        </is>
      </c>
      <c r="I5" s="4" t="inlineStr">
        <is>
          <t>2026-09-23T14:18:55.407Z</t>
        </is>
      </c>
      <c r="J5" s="13" t="n">
        <v>0.006</v>
      </c>
      <c r="K5" s="19" t="n">
        <v>99.193956</v>
      </c>
      <c r="L5" s="20" t="n"/>
      <c r="M5" s="4" t="n"/>
      <c r="N5" s="4" t="inlineStr">
        <is>
          <t>best_return_venue=Relay; max_out=99.99</t>
        </is>
      </c>
      <c r="O5" s="4" t="inlineStr">
        <is>
          <t>https://jumper.xyz/?fromChain=1151111081099710&amp;fromToken=EPjFWdd5AufqSSqeM2qN1xzybapC8G4wEGGkZwyTDt1v&amp;toChain=1&amp;toToken=0xa0b86991c6218b36c1d19d4a2e9eb0ce3606eb48</t>
        </is>
      </c>
      <c r="P5" s="4" t="inlineStr">
        <is>
          <t>20260923T141817Z</t>
        </is>
      </c>
      <c r="Q5" s="4" t="inlineStr">
        <is>
          <t>2026-09-23T14:18:55.400Z</t>
        </is>
      </c>
      <c r="R5" s="4" t="inlineStr">
        <is>
          <t>2026-09-23T14:18:55.399Z</t>
        </is>
      </c>
      <c r="S5" s="13" t="n">
        <v>0.006</v>
      </c>
    </row>
    <row r="6">
      <c r="A6" s="4" t="inlineStr">
        <is>
          <t>4c97f29bcfca</t>
        </is>
      </c>
      <c r="B6" s="4" t="inlineStr">
        <is>
          <t>SOL-&gt;ETH</t>
        </is>
      </c>
      <c r="C6" s="4" t="n">
        <v>1</v>
      </c>
      <c r="D6" s="4" t="inlineStr">
        <is>
          <t>Across</t>
        </is>
      </c>
      <c r="E6" s="4" t="inlineStr">
        <is>
          <t>venue</t>
        </is>
      </c>
      <c r="F6" s="4" t="inlineStr">
        <is>
          <t>OK</t>
        </is>
      </c>
      <c r="G6" s="4" t="inlineStr">
        <is>
          <t>2026-09-23T14:18:34.512Z</t>
        </is>
      </c>
      <c r="H6" s="4" t="inlineStr">
        <is>
          <t>2026-09-23T14:18:37.143Z</t>
        </is>
      </c>
      <c r="I6" s="4" t="inlineStr">
        <is>
          <t>2026-09-23T14:18:55.411Z</t>
        </is>
      </c>
      <c r="J6" s="13" t="n">
        <v>0.006</v>
      </c>
      <c r="K6" s="19" t="n">
        <v>99.98999999999999</v>
      </c>
      <c r="L6" s="20" t="n"/>
      <c r="M6" s="4" t="n"/>
      <c r="N6" s="4" t="inlineStr"/>
      <c r="O6" s="4" t="inlineStr">
        <is>
          <t>https://across.to/?from=solana&amp;to=ethereum&amp;inputToken=USDC&amp;outputToken=USDC</t>
        </is>
      </c>
      <c r="P6" s="4" t="inlineStr">
        <is>
          <t>20260923T141817Z</t>
        </is>
      </c>
      <c r="Q6" s="4" t="inlineStr">
        <is>
          <t>2026-09-23T14:18:55.400Z</t>
        </is>
      </c>
      <c r="R6" s="4" t="inlineStr">
        <is>
          <t>2026-09-23T14:18:39.457Z</t>
        </is>
      </c>
      <c r="S6" s="13" t="n">
        <v>0.006</v>
      </c>
    </row>
    <row r="7">
      <c r="A7" s="4" t="inlineStr">
        <is>
          <t>4c97f29bcfca</t>
        </is>
      </c>
      <c r="B7" s="4" t="inlineStr">
        <is>
          <t>SOL-&gt;ETH</t>
        </is>
      </c>
      <c r="C7" s="4" t="n">
        <v>1</v>
      </c>
      <c r="D7" s="4" t="inlineStr">
        <is>
          <t>Mayan</t>
        </is>
      </c>
      <c r="E7" s="4" t="inlineStr">
        <is>
          <t>venue</t>
        </is>
      </c>
      <c r="F7" s="4" t="inlineStr">
        <is>
          <t>OK</t>
        </is>
      </c>
      <c r="G7" s="4" t="inlineStr">
        <is>
          <t>2026-09-23T14:18:34.511Z</t>
        </is>
      </c>
      <c r="H7" s="4" t="inlineStr">
        <is>
          <t>2026-09-23T14:18:37.365Z</t>
        </is>
      </c>
      <c r="I7" s="4" t="inlineStr">
        <is>
          <t>2026-09-23T14:18:55.411Z</t>
        </is>
      </c>
      <c r="J7" s="13" t="n">
        <v>0.006</v>
      </c>
      <c r="K7" s="19" t="n">
        <v>96.6446</v>
      </c>
      <c r="L7" s="20" t="n"/>
      <c r="M7" s="4" t="n"/>
      <c r="N7" s="4" t="inlineStr">
        <is>
          <t>mode=Swift v2; eta=3s; display_decimals=4</t>
        </is>
      </c>
      <c r="O7" s="4" t="inlineStr">
        <is>
          <t>https://swap.mayan.finance/</t>
        </is>
      </c>
      <c r="P7" s="4" t="inlineStr">
        <is>
          <t>20260923T141817Z</t>
        </is>
      </c>
      <c r="Q7" s="4" t="inlineStr">
        <is>
          <t>2026-09-23T14:18:55.400Z</t>
        </is>
      </c>
      <c r="R7" s="4" t="inlineStr">
        <is>
          <t>2026-09-23T14:18:39.450Z</t>
        </is>
      </c>
      <c r="S7" s="13" t="n">
        <v>0.006</v>
      </c>
    </row>
    <row r="8">
      <c r="A8" s="4" t="inlineStr">
        <is>
          <t>4c97f29bcfca</t>
        </is>
      </c>
      <c r="B8" s="4" t="inlineStr">
        <is>
          <t>SOL-&gt;ETH</t>
        </is>
      </c>
      <c r="C8" s="4" t="n">
        <v>1</v>
      </c>
      <c r="D8" s="4" t="inlineStr">
        <is>
          <t>Allbridge Core</t>
        </is>
      </c>
      <c r="E8" s="4" t="inlineStr">
        <is>
          <t>venue</t>
        </is>
      </c>
      <c r="F8" s="4" t="inlineStr">
        <is>
          <t>OK</t>
        </is>
      </c>
      <c r="G8" s="4" t="inlineStr">
        <is>
          <t>2026-09-23T14:18:34.659Z</t>
        </is>
      </c>
      <c r="H8" s="4" t="inlineStr">
        <is>
          <t>2026-09-23T14:18:37.676Z</t>
        </is>
      </c>
      <c r="I8" s="4" t="inlineStr">
        <is>
          <t>2026-09-23T14:18:55.590Z</t>
        </is>
      </c>
      <c r="J8" s="13" t="n">
        <v>0.005</v>
      </c>
      <c r="K8" s="19" t="n">
        <v>99.90000000000001</v>
      </c>
      <c r="L8" s="20" t="n">
        <v>0.014082</v>
      </c>
      <c r="M8" s="4" t="inlineStr">
        <is>
          <t>SOL (relayer fee, fee=native)</t>
        </is>
      </c>
      <c r="N8" s="4" t="inlineStr">
        <is>
          <t>out_input_box=99.9; out_details_2dp=99.9; fixed_fee_on_top=0.014082; fixed_fee_token=SOL (relayer fee, fee=native); transfer_fee=0.10 USDC; messenger=CCTP; eta=~2 min; display_decimals=1; picked=['USDC from Solana', 'USDC to Ethereum']</t>
        </is>
      </c>
      <c r="O8" s="4" t="inlineStr">
        <is>
          <t>https://core.allbridge.io/?fee=native&amp;ft=USDC&amp;tt=USDC&amp;f=SOL&amp;t=ETH</t>
        </is>
      </c>
      <c r="P8" s="4" t="inlineStr">
        <is>
          <t>20260923T141817Z</t>
        </is>
      </c>
      <c r="Q8" s="4" t="inlineStr">
        <is>
          <t>2026-09-23T14:18:55.401Z</t>
        </is>
      </c>
      <c r="R8" s="4" t="inlineStr">
        <is>
          <t>2026-09-23T14:18:39.982Z</t>
        </is>
      </c>
      <c r="S8" s="13" t="n">
        <v>0.006</v>
      </c>
    </row>
    <row r="9">
      <c r="A9" s="4" t="inlineStr">
        <is>
          <t>4c97f29bcfca</t>
        </is>
      </c>
      <c r="B9" s="4" t="inlineStr">
        <is>
          <t>SOL-&gt;ETH</t>
        </is>
      </c>
      <c r="C9" s="4" t="n">
        <v>1</v>
      </c>
      <c r="D9" s="4" t="inlineStr">
        <is>
          <t>CCTP (via Portal)</t>
        </is>
      </c>
      <c r="E9" s="4" t="inlineStr">
        <is>
          <t>venue</t>
        </is>
      </c>
      <c r="F9" s="4" t="inlineStr">
        <is>
          <t>OK</t>
        </is>
      </c>
      <c r="G9" s="4" t="inlineStr">
        <is>
          <t>2026-09-23T14:18:34.656Z</t>
        </is>
      </c>
      <c r="H9" s="4" t="inlineStr">
        <is>
          <t>2026-09-23T14:18:40.048Z</t>
        </is>
      </c>
      <c r="I9" s="4" t="inlineStr">
        <is>
          <t>2026-09-23T14:18:55.437Z</t>
        </is>
      </c>
      <c r="J9" s="13" t="n">
        <v>0</v>
      </c>
      <c r="K9" s="19" t="n">
        <v>99.98999999999999</v>
      </c>
      <c r="L9" s="20" t="n"/>
      <c r="M9" s="4" t="n"/>
      <c r="N9" s="4" t="inlineStr">
        <is>
          <t>venue_ui=CCTP via Portal (portalbridge.com/usdc-bridge); messenger=Circle CCTP; route_type=CCTPv2StandardExecutorRoute; eta=14 sec; usd_value=99.99; price_impact=-0.01%; fixed_fee_note=executor/relayer fee not shown without a wallet; display_decimals=2</t>
        </is>
      </c>
      <c r="O9" s="4" t="inlineStr">
        <is>
          <t>https://portalbridge.com/usdc-bridge?fromChain=Solana&amp;fromToken=USDC&amp;toChain=Ethereum&amp;toToken=USDC</t>
        </is>
      </c>
      <c r="P9" s="4" t="inlineStr">
        <is>
          <t>20260923T141817Z</t>
        </is>
      </c>
      <c r="Q9" s="4" t="inlineStr">
        <is>
          <t>2026-09-23T14:18:55.406Z</t>
        </is>
      </c>
      <c r="R9" s="4" t="inlineStr">
        <is>
          <t>2026-09-23T14:18:42.192Z</t>
        </is>
      </c>
      <c r="S9" s="13" t="n">
        <v>0.006</v>
      </c>
    </row>
    <row r="10">
      <c r="A10" s="4" t="inlineStr">
        <is>
          <t>4c97f29bcfca</t>
        </is>
      </c>
      <c r="B10" s="4" t="inlineStr">
        <is>
          <t>SOL-&gt;ETH</t>
        </is>
      </c>
      <c r="C10" s="4" t="n">
        <v>1</v>
      </c>
      <c r="D10" s="4" t="inlineStr">
        <is>
          <t>Husher</t>
        </is>
      </c>
      <c r="E10" s="4" t="inlineStr">
        <is>
          <t>venue</t>
        </is>
      </c>
      <c r="F10" s="4" t="inlineStr">
        <is>
          <t>OK</t>
        </is>
      </c>
      <c r="G10" s="4" t="inlineStr">
        <is>
          <t>2026-09-23T14:18:34.669Z</t>
        </is>
      </c>
      <c r="H10" s="4" t="inlineStr">
        <is>
          <t>2026-09-23T14:18:37.420Z</t>
        </is>
      </c>
      <c r="I10" s="4" t="inlineStr">
        <is>
          <t>2026-09-23T14:18:55.425Z</t>
        </is>
      </c>
      <c r="J10" s="13" t="n">
        <v>0.005</v>
      </c>
      <c r="K10" s="19" t="n">
        <v>99.05</v>
      </c>
      <c r="L10" s="20" t="n"/>
      <c r="M10" s="4" t="n"/>
      <c r="N10" s="4" t="inlineStr">
        <is>
          <t>out_usd=$99.07; provider=Husher (Best Rate); rate_type=floating; fee_deducted=0.35; network_fee_deducted=0.6; api_receive=99.05000000; eta_s=40; display_decimals=2</t>
        </is>
      </c>
      <c r="O10" s="4" t="inlineStr">
        <is>
          <t>https://www.husher.io/</t>
        </is>
      </c>
      <c r="P10" s="4" t="inlineStr">
        <is>
          <t>20260923T141817Z</t>
        </is>
      </c>
      <c r="Q10" s="4" t="inlineStr">
        <is>
          <t>2026-09-23T14:18:55.401Z</t>
        </is>
      </c>
      <c r="R10" s="4" t="inlineStr">
        <is>
          <t>2026-09-23T14:18:39.490Z</t>
        </is>
      </c>
      <c r="S10" s="13" t="n">
        <v>0.006</v>
      </c>
    </row>
    <row r="11">
      <c r="A11" s="4" t="inlineStr">
        <is>
          <t>4c97f29bcfca</t>
        </is>
      </c>
      <c r="B11" s="4" t="inlineStr">
        <is>
          <t>SOL-&gt;ETH</t>
        </is>
      </c>
      <c r="C11" s="4" t="n">
        <v>1</v>
      </c>
      <c r="D11" s="4" t="inlineStr">
        <is>
          <t>Layerswap</t>
        </is>
      </c>
      <c r="E11" s="4" t="inlineStr">
        <is>
          <t>venue</t>
        </is>
      </c>
      <c r="F11" s="4" t="inlineStr">
        <is>
          <t>OK</t>
        </is>
      </c>
      <c r="G11" s="4" t="inlineStr">
        <is>
          <t>2026-09-23T14:18:34.512Z</t>
        </is>
      </c>
      <c r="H11" s="4" t="inlineStr">
        <is>
          <t>2026-09-23T14:18:38.407Z</t>
        </is>
      </c>
      <c r="I11" s="4" t="inlineStr">
        <is>
          <t>2026-09-23T14:18:55.429Z</t>
        </is>
      </c>
      <c r="J11" s="13" t="n">
        <v>0.004</v>
      </c>
      <c r="K11" s="19" t="n">
        <v>99.716863</v>
      </c>
      <c r="L11" s="20" t="n"/>
      <c r="M11" s="4" t="n"/>
      <c r="N11" s="4" t="inlineStr">
        <is>
          <t>out_usd=$99.69; fee_usd=0.28; slippage=0.00%; eta=25 secs; to_token=USDC; to_chain=Ethereum; display_decimals=6</t>
        </is>
      </c>
      <c r="O11" s="4" t="inlineStr">
        <is>
          <t>https://layerswap.io/app?from=SOLANA_MAINNET&amp;to=ETHEREUM_MAINNET&amp;fromAsset=USDC&amp;toAsset=USDC</t>
        </is>
      </c>
      <c r="P11" s="4" t="inlineStr">
        <is>
          <t>20260923T141817Z</t>
        </is>
      </c>
      <c r="Q11" s="4" t="inlineStr">
        <is>
          <t>2026-09-23T14:18:55.402Z</t>
        </is>
      </c>
      <c r="R11" s="4" t="inlineStr">
        <is>
          <t>2026-09-23T14:18:40.563Z</t>
        </is>
      </c>
      <c r="S11" s="13" t="n">
        <v>0.006</v>
      </c>
    </row>
    <row r="12">
      <c r="A12" s="4" t="inlineStr">
        <is>
          <t>4c97f29bcfca</t>
        </is>
      </c>
      <c r="B12" s="4" t="inlineStr">
        <is>
          <t>SOL-&gt;ETH</t>
        </is>
      </c>
      <c r="C12" s="4" t="n">
        <v>1</v>
      </c>
      <c r="D12" s="4" t="inlineStr">
        <is>
          <t>Meson</t>
        </is>
      </c>
      <c r="E12" s="4" t="inlineStr">
        <is>
          <t>venue</t>
        </is>
      </c>
      <c r="F12" s="4" t="inlineStr">
        <is>
          <t>OK</t>
        </is>
      </c>
      <c r="G12" s="4" t="inlineStr">
        <is>
          <t>2026-09-23T14:18:34.698Z</t>
        </is>
      </c>
      <c r="H12" s="4" t="inlineStr">
        <is>
          <t>2026-09-23T14:18:36.601Z</t>
        </is>
      </c>
      <c r="I12" s="4" t="inlineStr">
        <is>
          <t>2026-09-23T14:18:55.413Z</t>
        </is>
      </c>
      <c r="J12" s="13" t="n">
        <v>0.006</v>
      </c>
      <c r="K12" s="19" t="n">
        <v>98.65000000000001</v>
      </c>
      <c r="L12" s="20" t="n">
        <v>0</v>
      </c>
      <c r="M12" s="4" t="n"/>
      <c r="N12" s="4" t="inlineStr">
        <is>
          <t>fees_deducted=[['Fee', 1.35, 'USDC']]; fee_total=1.35; fixed_fee_on_top=0.0; display_decimals=2</t>
        </is>
      </c>
      <c r="O12" s="4" t="inlineStr">
        <is>
          <t>https://meson.fi/swap</t>
        </is>
      </c>
      <c r="P12" s="4" t="inlineStr">
        <is>
          <t>20260923T141817Z</t>
        </is>
      </c>
      <c r="Q12" s="4" t="inlineStr">
        <is>
          <t>2026-09-23T14:18:55.400Z</t>
        </is>
      </c>
      <c r="R12" s="4" t="inlineStr">
        <is>
          <t>2026-09-23T14:18:38.645Z</t>
        </is>
      </c>
      <c r="S12" s="13" t="n">
        <v>0.006</v>
      </c>
    </row>
    <row r="13">
      <c r="A13" s="4" t="inlineStr">
        <is>
          <t>4c97f29bcfca</t>
        </is>
      </c>
      <c r="B13" s="4" t="inlineStr">
        <is>
          <t>SOL-&gt;ETH</t>
        </is>
      </c>
      <c r="C13" s="4" t="n">
        <v>1</v>
      </c>
      <c r="D13" s="4" t="inlineStr">
        <is>
          <t>OpenSea</t>
        </is>
      </c>
      <c r="E13" s="4" t="inlineStr">
        <is>
          <t>platform</t>
        </is>
      </c>
      <c r="F13" s="4" t="inlineStr">
        <is>
          <t>OK</t>
        </is>
      </c>
      <c r="G13" s="4" t="inlineStr">
        <is>
          <t>2026-09-23T14:18:34.664Z</t>
        </is>
      </c>
      <c r="H13" s="4" t="inlineStr">
        <is>
          <t>2026-09-23T14:18:39.130Z</t>
        </is>
      </c>
      <c r="I13" s="4" t="inlineStr">
        <is>
          <t>2026-09-23T14:18:55.428Z</t>
        </is>
      </c>
      <c r="J13" s="13" t="n">
        <v>0.001</v>
      </c>
      <c r="K13" s="19" t="n">
        <v>98.9896</v>
      </c>
      <c r="L13" s="20" t="n">
        <v>0.09</v>
      </c>
      <c r="M13" s="4" t="inlineStr">
        <is>
          <t>native (gas, USD shown)</t>
        </is>
      </c>
      <c r="N13" s="4" t="inlineStr">
        <is>
          <t>out_usd=$98.97; provider=Relay; fee_total_usd=1.09; provider_fee_usd=1.0; provider_fee_pct=1%; provider_fee_deducted=True; opensea_fee_usd=0.0; opensea_fee_pct=0%; gas_fee_usd=0.09; gas_fee_display=$0.09; fixed_fee_on_top=0.09; fixed_fee_token=native (gas, USD shown); price_impact=(-&lt; $0.01) -0.01%;</t>
        </is>
      </c>
      <c r="O13" s="4" t="inlineStr">
        <is>
          <t>https://opensea.io/swap?fromChain=solana&amp;fromAddress=EPjFWdd5AufqSSqeM2qN1xzybapC8G4wEGGkZwyTDt1v&amp;toChain=ethereum&amp;toAddress=0xa0b86991c6218b36c1d19d4a2e9eb0ce3606eb48</t>
        </is>
      </c>
      <c r="P13" s="4" t="inlineStr">
        <is>
          <t>20260923T141817Z</t>
        </is>
      </c>
      <c r="Q13" s="4" t="inlineStr">
        <is>
          <t>2026-09-23T14:18:55.405Z</t>
        </is>
      </c>
      <c r="R13" s="4" t="inlineStr">
        <is>
          <t>2026-09-23T14:18:41.454Z</t>
        </is>
      </c>
      <c r="S13" s="13" t="n">
        <v>0.006</v>
      </c>
    </row>
    <row r="14">
      <c r="A14" s="4" t="inlineStr">
        <is>
          <t>4c97f29bcfca</t>
        </is>
      </c>
      <c r="B14" s="4" t="inlineStr">
        <is>
          <t>SOL-&gt;ETH</t>
        </is>
      </c>
      <c r="C14" s="4" t="n">
        <v>1</v>
      </c>
      <c r="D14" s="4" t="inlineStr">
        <is>
          <t>SimpleSwap</t>
        </is>
      </c>
      <c r="E14" s="4" t="inlineStr">
        <is>
          <t>venue</t>
        </is>
      </c>
      <c r="F14" s="4" t="inlineStr">
        <is>
          <t>OK</t>
        </is>
      </c>
      <c r="G14" s="4" t="inlineStr">
        <is>
          <t>2026-09-23T14:18:34.669Z</t>
        </is>
      </c>
      <c r="H14" s="4" t="inlineStr">
        <is>
          <t>2026-09-23T14:18:39.168Z</t>
        </is>
      </c>
      <c r="I14" s="4" t="inlineStr">
        <is>
          <t>2026-09-23T14:18:55.490Z</t>
        </is>
      </c>
      <c r="J14" s="13" t="n">
        <v>0.001</v>
      </c>
      <c r="K14" s="19" t="n">
        <v>98.20630199999999</v>
      </c>
      <c r="L14" s="20" t="n">
        <v>0</v>
      </c>
      <c r="M14" s="4" t="inlineStr">
        <is>
          <t>USDC</t>
        </is>
      </c>
      <c r="N14" s="4" t="inlineStr">
        <is>
          <t>best_card_out=98.206302; selected_card=Best rate / Decentralized; rate_type=floating; fixed_fee_on_top=0.0; fixed_fee_token=USDC; display_decimals=6; small_sum_warning=False</t>
        </is>
      </c>
      <c r="O14" s="4" t="inlineStr">
        <is>
          <t>https://simpleswap.io/?from=usdc-sol&amp;to=usdc-eth</t>
        </is>
      </c>
      <c r="P14" s="4" t="inlineStr">
        <is>
          <t>20260923T141817Z</t>
        </is>
      </c>
      <c r="Q14" s="4" t="inlineStr">
        <is>
          <t>2026-09-23T14:18:55.405Z</t>
        </is>
      </c>
      <c r="R14" s="4" t="inlineStr">
        <is>
          <t>2026-09-23T14:18:41.586Z</t>
        </is>
      </c>
      <c r="S14" s="13" t="n">
        <v>0.006</v>
      </c>
    </row>
    <row r="15">
      <c r="A15" s="4" t="inlineStr">
        <is>
          <t>4c97f29bcfca</t>
        </is>
      </c>
      <c r="B15" s="4" t="inlineStr">
        <is>
          <t>SOL-&gt;ETH</t>
        </is>
      </c>
      <c r="C15" s="4" t="n">
        <v>1</v>
      </c>
      <c r="D15" s="4" t="inlineStr">
        <is>
          <t>Skip Go</t>
        </is>
      </c>
      <c r="E15" s="4" t="inlineStr">
        <is>
          <t>venue</t>
        </is>
      </c>
      <c r="F15" s="4" t="inlineStr">
        <is>
          <t>OK</t>
        </is>
      </c>
      <c r="G15" s="4" t="inlineStr">
        <is>
          <t>2026-09-23T14:18:34.513Z</t>
        </is>
      </c>
      <c r="H15" s="4" t="inlineStr">
        <is>
          <t>2026-09-23T14:18:39.607Z</t>
        </is>
      </c>
      <c r="I15" s="4" t="inlineStr">
        <is>
          <t>2026-09-23T14:18:55.435Z</t>
        </is>
      </c>
      <c r="J15" s="13" t="n">
        <v>0</v>
      </c>
      <c r="K15" s="19" t="n">
        <v>96.94911</v>
      </c>
      <c r="L15" s="20" t="n"/>
      <c r="M15" s="4" t="n"/>
      <c r="N15" s="4" t="inlineStr">
        <is>
          <t>fees_usd_in_quote=3.05; eta=30 secs; usd_values=['99.98', '96.93']; display_decimals=5</t>
        </is>
      </c>
      <c r="O15" s="4" t="inlineStr">
        <is>
          <t>https://go.skip.build/?src_chain=solana&amp;src_asset=EPjFWdd5AufqSSqeM2qN1xzybapC8G4wEGGkZwyTDt1v&amp;dest_chain=1&amp;dest_asset=0xa0b86991c6218b36c1d19d4a2e9eb0ce3606eb48</t>
        </is>
      </c>
      <c r="P15" s="4" t="inlineStr">
        <is>
          <t>20260923T141817Z</t>
        </is>
      </c>
      <c r="Q15" s="4" t="inlineStr">
        <is>
          <t>2026-09-23T14:18:55.406Z</t>
        </is>
      </c>
      <c r="R15" s="4" t="inlineStr">
        <is>
          <t>2026-09-23T14:18:41.771Z</t>
        </is>
      </c>
      <c r="S15" s="13" t="n">
        <v>0.006</v>
      </c>
    </row>
    <row r="16">
      <c r="A16" s="4" t="inlineStr">
        <is>
          <t>4c97f29bcfca</t>
        </is>
      </c>
      <c r="B16" s="4" t="inlineStr">
        <is>
          <t>SOL-&gt;ETH</t>
        </is>
      </c>
      <c r="C16" s="4" t="n">
        <v>1</v>
      </c>
      <c r="D16" s="4" t="inlineStr">
        <is>
          <t>Symbiosis</t>
        </is>
      </c>
      <c r="E16" s="4" t="inlineStr">
        <is>
          <t>venue</t>
        </is>
      </c>
      <c r="F16" s="4" t="inlineStr">
        <is>
          <t>OK</t>
        </is>
      </c>
      <c r="G16" s="4" t="inlineStr">
        <is>
          <t>2026-09-23T14:18:34.533Z</t>
        </is>
      </c>
      <c r="H16" s="4" t="inlineStr">
        <is>
          <t>2026-09-23T14:18:39.114Z</t>
        </is>
      </c>
      <c r="I16" s="4" t="inlineStr">
        <is>
          <t>2026-09-23T14:18:55.435Z</t>
        </is>
      </c>
      <c r="J16" s="13" t="n">
        <v>0.002</v>
      </c>
      <c r="K16" s="19" t="n">
        <v>96.860997</v>
      </c>
      <c r="L16" s="20" t="n">
        <v>0</v>
      </c>
      <c r="M16" s="4" t="n"/>
      <c r="N16" s="4" t="inlineStr">
        <is>
          <t>min_received=96.3766; fee_usd_deducted=3.14; eta=1 - 3 Min; price_impact=0%; slippage=2%; route=Bridge to Ethereum; fixed_fee_on_top=0.0; display_decimals=6</t>
        </is>
      </c>
      <c r="O16" s="4" t="inlineStr">
        <is>
          <t>https://app.symbiosis.finance/swap?chainIn=Solana&amp;chainOut=Ethereum&amp;tokenIn=0x0000000000000000000000000000000000000003&amp;tokenOut=0xa0b86991c6218b36c1d19d4a2e9eb0ce3606eb48</t>
        </is>
      </c>
      <c r="P16" s="4" t="inlineStr">
        <is>
          <t>20260923T141817Z</t>
        </is>
      </c>
      <c r="Q16" s="4" t="inlineStr">
        <is>
          <t>2026-09-23T14:18:55.404Z</t>
        </is>
      </c>
      <c r="R16" s="4" t="inlineStr">
        <is>
          <t>2026-09-23T14:18:41.393Z</t>
        </is>
      </c>
      <c r="S16" s="13" t="n">
        <v>0.006</v>
      </c>
    </row>
    <row r="17">
      <c r="A17" s="4" t="inlineStr">
        <is>
          <t>1ce3ee3c699e</t>
        </is>
      </c>
      <c r="B17" s="4" t="inlineStr">
        <is>
          <t>ETH-&gt;SOL</t>
        </is>
      </c>
      <c r="C17" s="4" t="n">
        <v>1</v>
      </c>
      <c r="D17" s="4" t="inlineStr">
        <is>
          <t>Bridg</t>
        </is>
      </c>
      <c r="E17" s="4" t="inlineStr">
        <is>
          <t>bridg</t>
        </is>
      </c>
      <c r="F17" s="4" t="inlineStr">
        <is>
          <t>OK</t>
        </is>
      </c>
      <c r="G17" s="4" t="inlineStr">
        <is>
          <t>2026-09-23T14:19:22.123Z</t>
        </is>
      </c>
      <c r="H17" s="4" t="inlineStr">
        <is>
          <t>2026-09-23T14:19:23.634Z</t>
        </is>
      </c>
      <c r="I17" s="4" t="inlineStr">
        <is>
          <t>2026-09-23T14:19:28.723Z</t>
        </is>
      </c>
      <c r="J17" s="13" t="n"/>
      <c r="K17" s="19" t="n">
        <v>99.85005</v>
      </c>
      <c r="L17" s="20" t="n"/>
      <c r="M17" s="4" t="n"/>
      <c r="N17" s="4" t="inlineStr">
        <is>
          <t>best via Allbridge Core; 15 venues priced; fees [['Allbridge Core fee', 0.09995], ['Bridg fee', 0.05]]</t>
        </is>
      </c>
      <c r="O17" s="4" t="inlineStr">
        <is>
          <t>https://bridg.now/swap/</t>
        </is>
      </c>
      <c r="P17" s="4" t="inlineStr">
        <is>
          <t>20260923T141817Z</t>
        </is>
      </c>
      <c r="Q17" s="4" t="inlineStr">
        <is>
          <t>2026-09-23T14:19:28.697Z</t>
        </is>
      </c>
      <c r="R17" s="4" t="inlineStr">
        <is>
          <t>2026-09-23T14:19:25.849Z</t>
        </is>
      </c>
      <c r="S17" s="13" t="n">
        <v>0.006</v>
      </c>
    </row>
    <row r="18">
      <c r="A18" s="4" t="inlineStr">
        <is>
          <t>1ce3ee3c699e</t>
        </is>
      </c>
      <c r="B18" s="4" t="inlineStr">
        <is>
          <t>ETH-&gt;SOL</t>
        </is>
      </c>
      <c r="C18" s="4" t="n">
        <v>1</v>
      </c>
      <c r="D18" s="4" t="inlineStr">
        <is>
          <t>Relay</t>
        </is>
      </c>
      <c r="E18" s="4" t="inlineStr">
        <is>
          <t>venue</t>
        </is>
      </c>
      <c r="F18" s="4" t="inlineStr">
        <is>
          <t>OK</t>
        </is>
      </c>
      <c r="G18" s="4" t="inlineStr">
        <is>
          <t>2026-09-23T14:19:22.117Z</t>
        </is>
      </c>
      <c r="H18" s="4" t="inlineStr">
        <is>
          <t>2026-09-23T14:19:24.093Z</t>
        </is>
      </c>
      <c r="I18" s="4" t="inlineStr">
        <is>
          <t>2026-09-23T14:19:28.731Z</t>
        </is>
      </c>
      <c r="J18" s="13" t="n">
        <v>0.001</v>
      </c>
      <c r="K18" s="19" t="n">
        <v>99.94570299999999</v>
      </c>
      <c r="L18" s="20" t="n"/>
      <c r="M18" s="4" t="n"/>
      <c r="N18" s="4" t="inlineStr">
        <is>
          <t>rate=0.9994</t>
        </is>
      </c>
      <c r="O18" s="4" t="inlineStr">
        <is>
          <t>https://relay.link/bridge/solana?fromChainId=1&amp;fromCurrency=0xa0b86991c6218b36c1d19d4a2e9eb0ce3606eb48&amp;toCurrency=EPjFWdd5AufqSSqeM2qN1xzybapC8G4wEGGkZwyTDt1v</t>
        </is>
      </c>
      <c r="P18" s="4" t="inlineStr">
        <is>
          <t>20260923T141817Z</t>
        </is>
      </c>
      <c r="Q18" s="4" t="inlineStr">
        <is>
          <t>2026-09-23T14:19:28.698Z</t>
        </is>
      </c>
      <c r="R18" s="4" t="inlineStr">
        <is>
          <t>2026-09-23T14:19:26.239Z</t>
        </is>
      </c>
      <c r="S18" s="13" t="n">
        <v>0.006</v>
      </c>
    </row>
    <row r="19">
      <c r="A19" s="4" t="inlineStr">
        <is>
          <t>1ce3ee3c699e</t>
        </is>
      </c>
      <c r="B19" s="4" t="inlineStr">
        <is>
          <t>ETH-&gt;SOL</t>
        </is>
      </c>
      <c r="C19" s="4" t="n">
        <v>1</v>
      </c>
      <c r="D19" s="4" t="inlineStr">
        <is>
          <t>deBridge</t>
        </is>
      </c>
      <c r="E19" s="4" t="inlineStr">
        <is>
          <t>venue</t>
        </is>
      </c>
      <c r="F19" s="4" t="inlineStr">
        <is>
          <t>OK</t>
        </is>
      </c>
      <c r="G19" s="4" t="inlineStr">
        <is>
          <t>2026-09-23T14:19:22.120Z</t>
        </is>
      </c>
      <c r="H19" s="4" t="inlineStr">
        <is>
          <t>2026-09-23T14:19:24.092Z</t>
        </is>
      </c>
      <c r="I19" s="4" t="inlineStr">
        <is>
          <t>2026-09-23T14:19:28.731Z</t>
        </is>
      </c>
      <c r="J19" s="13" t="n">
        <v>0.001</v>
      </c>
      <c r="K19" s="19" t="n">
        <v>99.920018</v>
      </c>
      <c r="L19" s="20" t="n">
        <v>1.965</v>
      </c>
      <c r="M19" s="4" t="inlineStr">
        <is>
          <t>USDC</t>
        </is>
      </c>
      <c r="N19" s="4" t="inlineStr">
        <is>
          <t>fixed_fee_on_top=1.965; fixed_fee_token=USDC</t>
        </is>
      </c>
      <c r="O19" s="4" t="inlineStr">
        <is>
          <t>https://app.debridge.com/?inputChain=1&amp;outputChain=7565164&amp;inputCurrency=0xa0b86991c6218b36c1d19d4a2e9eb0ce3606eb48&amp;outputCurrency=EPjFWdd5AufqSSqeM2qN1xzybapC8G4wEGGkZwyTDt1v&amp;dlnMode=simple</t>
        </is>
      </c>
      <c r="P19" s="4" t="inlineStr">
        <is>
          <t>20260923T141817Z</t>
        </is>
      </c>
      <c r="Q19" s="4" t="inlineStr">
        <is>
          <t>2026-09-23T14:19:28.698Z</t>
        </is>
      </c>
      <c r="R19" s="4" t="inlineStr">
        <is>
          <t>2026-09-23T14:19:26.239Z</t>
        </is>
      </c>
      <c r="S19" s="13" t="n">
        <v>0.006</v>
      </c>
    </row>
    <row r="20">
      <c r="A20" s="4" t="inlineStr">
        <is>
          <t>1ce3ee3c699e</t>
        </is>
      </c>
      <c r="B20" s="4" t="inlineStr">
        <is>
          <t>ETH-&gt;SOL</t>
        </is>
      </c>
      <c r="C20" s="4" t="n">
        <v>1</v>
      </c>
      <c r="D20" s="4" t="inlineStr">
        <is>
          <t>LI.FI (Jumper)</t>
        </is>
      </c>
      <c r="E20" s="4" t="inlineStr">
        <is>
          <t>venue</t>
        </is>
      </c>
      <c r="F20" s="4" t="inlineStr">
        <is>
          <t>OK</t>
        </is>
      </c>
      <c r="G20" s="4" t="inlineStr">
        <is>
          <t>2026-09-23T14:19:22.121Z</t>
        </is>
      </c>
      <c r="H20" s="4" t="inlineStr">
        <is>
          <t>2026-09-23T14:19:24.437Z</t>
        </is>
      </c>
      <c r="I20" s="4" t="inlineStr">
        <is>
          <t>2026-09-23T14:19:28.709Z</t>
        </is>
      </c>
      <c r="J20" s="13" t="n">
        <v>0.001</v>
      </c>
      <c r="K20" s="19" t="n">
        <v>99.94570299999999</v>
      </c>
      <c r="L20" s="20" t="n"/>
      <c r="M20" s="4" t="n"/>
      <c r="N20" s="4" t="inlineStr">
        <is>
          <t>best_return_venue=Relay; max_out=100.0</t>
        </is>
      </c>
      <c r="O20" s="4" t="inlineStr">
        <is>
          <t>https://jumper.xyz/?fromChain=1&amp;fromToken=0xa0b86991c6218b36c1d19d4a2e9eb0ce3606eb48&amp;toChain=1151111081099710&amp;toToken=EPjFWdd5AufqSSqeM2qN1xzybapC8G4wEGGkZwyTDt1v</t>
        </is>
      </c>
      <c r="P20" s="4" t="inlineStr">
        <is>
          <t>20260923T141817Z</t>
        </is>
      </c>
      <c r="Q20" s="4" t="inlineStr">
        <is>
          <t>2026-09-23T14:19:28.698Z</t>
        </is>
      </c>
      <c r="R20" s="4" t="inlineStr">
        <is>
          <t>2026-09-23T14:19:26.567Z</t>
        </is>
      </c>
      <c r="S20" s="13" t="n">
        <v>0.006</v>
      </c>
    </row>
    <row r="21">
      <c r="A21" s="4" t="inlineStr">
        <is>
          <t>1ce3ee3c699e</t>
        </is>
      </c>
      <c r="B21" s="4" t="inlineStr">
        <is>
          <t>ETH-&gt;SOL</t>
        </is>
      </c>
      <c r="C21" s="4" t="n">
        <v>1</v>
      </c>
      <c r="D21" s="4" t="inlineStr">
        <is>
          <t>Across</t>
        </is>
      </c>
      <c r="E21" s="4" t="inlineStr">
        <is>
          <t>venue</t>
        </is>
      </c>
      <c r="F21" s="4" t="inlineStr">
        <is>
          <t>OK</t>
        </is>
      </c>
      <c r="G21" s="4" t="inlineStr">
        <is>
          <t>2026-09-23T14:19:22.117Z</t>
        </is>
      </c>
      <c r="H21" s="4" t="inlineStr">
        <is>
          <t>2026-09-23T14:19:23.610Z</t>
        </is>
      </c>
      <c r="I21" s="4" t="inlineStr">
        <is>
          <t>2026-09-23T14:19:28.705Z</t>
        </is>
      </c>
      <c r="J21" s="13" t="n">
        <v>0</v>
      </c>
      <c r="K21" s="19" t="n">
        <v>99.98999999999999</v>
      </c>
      <c r="L21" s="20" t="n"/>
      <c r="M21" s="4" t="n"/>
      <c r="N21" s="4" t="inlineStr"/>
      <c r="O21" s="4" t="inlineStr">
        <is>
          <t>https://across.to/?from=ethereum&amp;to=solana&amp;inputToken=USDC&amp;outputToken=USDC</t>
        </is>
      </c>
      <c r="P21" s="4" t="inlineStr">
        <is>
          <t>20260923T141817Z</t>
        </is>
      </c>
      <c r="Q21" s="4" t="inlineStr">
        <is>
          <t>2026-09-23T14:19:28.697Z</t>
        </is>
      </c>
      <c r="R21" s="4" t="inlineStr">
        <is>
          <t>2026-09-23T14:19:25.744Z</t>
        </is>
      </c>
      <c r="S21" s="13" t="n">
        <v>0.006</v>
      </c>
    </row>
    <row r="22">
      <c r="A22" s="4" t="inlineStr">
        <is>
          <t>1ce3ee3c699e</t>
        </is>
      </c>
      <c r="B22" s="4" t="inlineStr">
        <is>
          <t>ETH-&gt;SOL</t>
        </is>
      </c>
      <c r="C22" s="4" t="n">
        <v>1</v>
      </c>
      <c r="D22" s="4" t="inlineStr">
        <is>
          <t>Mayan</t>
        </is>
      </c>
      <c r="E22" s="4" t="inlineStr">
        <is>
          <t>venue</t>
        </is>
      </c>
      <c r="F22" s="4" t="inlineStr">
        <is>
          <t>OK</t>
        </is>
      </c>
      <c r="G22" s="4" t="inlineStr">
        <is>
          <t>2026-09-23T14:19:22.116Z</t>
        </is>
      </c>
      <c r="H22" s="4" t="inlineStr">
        <is>
          <t>2026-09-23T14:19:23.870Z</t>
        </is>
      </c>
      <c r="I22" s="4" t="inlineStr">
        <is>
          <t>2026-09-23T14:19:28.706Z</t>
        </is>
      </c>
      <c r="J22" s="13" t="n">
        <v>0.001</v>
      </c>
      <c r="K22" s="19" t="n">
        <v>99.0127</v>
      </c>
      <c r="L22" s="20" t="n"/>
      <c r="M22" s="4" t="n"/>
      <c r="N22" s="4" t="inlineStr">
        <is>
          <t>mode=Swift v2; eta=3s; display_decimals=4</t>
        </is>
      </c>
      <c r="O22" s="4" t="inlineStr">
        <is>
          <t>https://swap.mayan.finance/</t>
        </is>
      </c>
      <c r="P22" s="4" t="inlineStr">
        <is>
          <t>20260923T141817Z</t>
        </is>
      </c>
      <c r="Q22" s="4" t="inlineStr">
        <is>
          <t>2026-09-23T14:19:28.698Z</t>
        </is>
      </c>
      <c r="R22" s="4" t="inlineStr">
        <is>
          <t>2026-09-23T14:19:25.992Z</t>
        </is>
      </c>
      <c r="S22" s="13" t="n">
        <v>0.006</v>
      </c>
    </row>
    <row r="23">
      <c r="A23" s="4" t="inlineStr">
        <is>
          <t>1ce3ee3c699e</t>
        </is>
      </c>
      <c r="B23" s="4" t="inlineStr">
        <is>
          <t>ETH-&gt;SOL</t>
        </is>
      </c>
      <c r="C23" s="4" t="n">
        <v>1</v>
      </c>
      <c r="D23" s="4" t="inlineStr">
        <is>
          <t>Allbridge Core</t>
        </is>
      </c>
      <c r="E23" s="4" t="inlineStr">
        <is>
          <t>venue</t>
        </is>
      </c>
      <c r="F23" s="4" t="inlineStr">
        <is>
          <t>OK</t>
        </is>
      </c>
      <c r="G23" s="4" t="inlineStr">
        <is>
          <t>2026-09-23T14:19:22.124Z</t>
        </is>
      </c>
      <c r="H23" s="4" t="inlineStr">
        <is>
          <t>2026-09-23T14:19:23.598Z</t>
        </is>
      </c>
      <c r="I23" s="4" t="inlineStr">
        <is>
          <t>2026-09-23T14:19:29.622Z</t>
        </is>
      </c>
      <c r="J23" s="13" t="n">
        <v>0</v>
      </c>
      <c r="K23" s="19" t="n">
        <v>99.90000000000001</v>
      </c>
      <c r="L23" s="20" t="n">
        <v>0.000137</v>
      </c>
      <c r="M23" s="4" t="inlineStr">
        <is>
          <t>ETH (relayer fee, fee=native)</t>
        </is>
      </c>
      <c r="N23" s="4" t="inlineStr">
        <is>
          <t>out_input_box=99.9; out_details_2dp=99.9; fixed_fee_on_top=0.000137; fixed_fee_token=ETH (relayer fee, fee=native); transfer_fee=0.10 USDC; messenger=CCTP; eta=~18 min; display_decimals=1; picked=['USDC from Ethereum', 'USDC to Solana']</t>
        </is>
      </c>
      <c r="O23" s="4" t="inlineStr">
        <is>
          <t>https://core.allbridge.io/?fee=native&amp;ft=USDC&amp;tt=USDC&amp;f=ETH&amp;t=SOL</t>
        </is>
      </c>
      <c r="P23" s="4" t="inlineStr">
        <is>
          <t>20260923T141817Z</t>
        </is>
      </c>
      <c r="Q23" s="4" t="inlineStr">
        <is>
          <t>2026-09-23T14:19:28.697Z</t>
        </is>
      </c>
      <c r="R23" s="4" t="inlineStr">
        <is>
          <t>2026-09-23T14:19:25.936Z</t>
        </is>
      </c>
      <c r="S23" s="13" t="n">
        <v>0.006</v>
      </c>
    </row>
    <row r="24">
      <c r="A24" s="4" t="inlineStr">
        <is>
          <t>1ce3ee3c699e</t>
        </is>
      </c>
      <c r="B24" s="4" t="inlineStr">
        <is>
          <t>ETH-&gt;SOL</t>
        </is>
      </c>
      <c r="C24" s="4" t="n">
        <v>1</v>
      </c>
      <c r="D24" s="4" t="inlineStr">
        <is>
          <t>CCTP (via Portal)</t>
        </is>
      </c>
      <c r="E24" s="4" t="inlineStr">
        <is>
          <t>venue</t>
        </is>
      </c>
      <c r="F24" s="4" t="inlineStr">
        <is>
          <t>OK</t>
        </is>
      </c>
      <c r="G24" s="4" t="inlineStr">
        <is>
          <t>2026-09-23T14:19:22.124Z</t>
        </is>
      </c>
      <c r="H24" s="4" t="inlineStr">
        <is>
          <t>2026-09-23T14:19:26.548Z</t>
        </is>
      </c>
      <c r="I24" s="4" t="inlineStr">
        <is>
          <t>2026-09-23T14:19:28.714Z</t>
        </is>
      </c>
      <c r="J24" s="13" t="n">
        <v>0.001</v>
      </c>
      <c r="K24" s="19" t="n">
        <v>99.980001</v>
      </c>
      <c r="L24" s="20" t="n"/>
      <c r="M24" s="4" t="n"/>
      <c r="N24" s="4" t="inlineStr">
        <is>
          <t>venue_ui=CCTP via Portal (portalbridge.com/usdc-bridge); messenger=Circle CCTP; route_type=CCTPv2FastExecutorRoute; eta=20 sec; usd_value=99.98; price_impact=-0.02%; fixed_fee_note=executor/relayer fee not shown without a wallet; display_decimals=6</t>
        </is>
      </c>
      <c r="O24" s="4" t="inlineStr">
        <is>
          <t>https://portalbridge.com/usdc-bridge?fromChain=Ethereum&amp;fromToken=USDC&amp;toChain=Solana&amp;toToken=USDC</t>
        </is>
      </c>
      <c r="P24" s="4" t="inlineStr">
        <is>
          <t>20260923T141817Z</t>
        </is>
      </c>
      <c r="Q24" s="4" t="inlineStr">
        <is>
          <t>2026-09-23T14:19:28.696Z</t>
        </is>
      </c>
      <c r="R24" s="4" t="inlineStr">
        <is>
          <t>2026-09-23T14:19:28.695Z</t>
        </is>
      </c>
      <c r="S24" s="13" t="n">
        <v>0.006</v>
      </c>
    </row>
    <row r="25">
      <c r="A25" s="4" t="inlineStr">
        <is>
          <t>1ce3ee3c699e</t>
        </is>
      </c>
      <c r="B25" s="4" t="inlineStr">
        <is>
          <t>ETH-&gt;SOL</t>
        </is>
      </c>
      <c r="C25" s="4" t="n">
        <v>1</v>
      </c>
      <c r="D25" s="4" t="inlineStr">
        <is>
          <t>Husher</t>
        </is>
      </c>
      <c r="E25" s="4" t="inlineStr">
        <is>
          <t>venue</t>
        </is>
      </c>
      <c r="F25" s="4" t="inlineStr">
        <is>
          <t>OK</t>
        </is>
      </c>
      <c r="G25" s="4" t="inlineStr">
        <is>
          <t>2026-09-23T14:19:22.125Z</t>
        </is>
      </c>
      <c r="H25" s="4" t="inlineStr">
        <is>
          <t>2026-09-23T14:19:23.515Z</t>
        </is>
      </c>
      <c r="I25" s="4" t="inlineStr">
        <is>
          <t>2026-09-23T14:19:28.725Z</t>
        </is>
      </c>
      <c r="J25" s="13" t="n">
        <v>0.001</v>
      </c>
      <c r="K25" s="19" t="n">
        <v>99.34999999999999</v>
      </c>
      <c r="L25" s="20" t="n"/>
      <c r="M25" s="4" t="n"/>
      <c r="N25" s="4" t="inlineStr">
        <is>
          <t>out_usd=$99.37; provider=Husher (Best Rate); rate_type=floating; fee_deducted=0.35; network_fee_deducted=0.3; api_receive=99.35000000; eta_s=40; display_decimals=2</t>
        </is>
      </c>
      <c r="O25" s="4" t="inlineStr">
        <is>
          <t>https://www.husher.io/</t>
        </is>
      </c>
      <c r="P25" s="4" t="inlineStr">
        <is>
          <t>20260923T141817Z</t>
        </is>
      </c>
      <c r="Q25" s="4" t="inlineStr">
        <is>
          <t>2026-09-23T14:19:28.696Z</t>
        </is>
      </c>
      <c r="R25" s="4" t="inlineStr">
        <is>
          <t>2026-09-23T14:19:25.664Z</t>
        </is>
      </c>
      <c r="S25" s="13" t="n">
        <v>0.006</v>
      </c>
    </row>
    <row r="26">
      <c r="A26" s="4" t="inlineStr">
        <is>
          <t>1ce3ee3c699e</t>
        </is>
      </c>
      <c r="B26" s="4" t="inlineStr">
        <is>
          <t>ETH-&gt;SOL</t>
        </is>
      </c>
      <c r="C26" s="4" t="n">
        <v>1</v>
      </c>
      <c r="D26" s="4" t="inlineStr">
        <is>
          <t>Layerswap</t>
        </is>
      </c>
      <c r="E26" s="4" t="inlineStr">
        <is>
          <t>venue</t>
        </is>
      </c>
      <c r="F26" s="4" t="inlineStr">
        <is>
          <t>OK</t>
        </is>
      </c>
      <c r="G26" s="4" t="inlineStr">
        <is>
          <t>2026-09-23T14:19:22.120Z</t>
        </is>
      </c>
      <c r="H26" s="4" t="inlineStr">
        <is>
          <t>2026-09-23T14:19:24.571Z</t>
        </is>
      </c>
      <c r="I26" s="4" t="inlineStr">
        <is>
          <t>2026-09-23T14:19:28.732Z</t>
        </is>
      </c>
      <c r="J26" s="13" t="n">
        <v>0.002</v>
      </c>
      <c r="K26" s="19" t="n">
        <v>99.68124899999999</v>
      </c>
      <c r="L26" s="20" t="n"/>
      <c r="M26" s="4" t="n"/>
      <c r="N26" s="4" t="inlineStr">
        <is>
          <t>out_usd=$99.66; fee_usd=0.32; slippage=0.00%; eta=22 secs; to_token=USDC; to_chain=Solana; display_decimals=6</t>
        </is>
      </c>
      <c r="O26" s="4" t="inlineStr">
        <is>
          <t>https://layerswap.io/app?from=ETHEREUM_MAINNET&amp;to=SOLANA_MAINNET&amp;fromAsset=USDC&amp;toAsset=USDC</t>
        </is>
      </c>
      <c r="P26" s="4" t="inlineStr">
        <is>
          <t>20260923T141817Z</t>
        </is>
      </c>
      <c r="Q26" s="4" t="inlineStr">
        <is>
          <t>2026-09-23T14:19:28.699Z</t>
        </is>
      </c>
      <c r="R26" s="4" t="inlineStr">
        <is>
          <t>2026-09-23T14:19:26.736Z</t>
        </is>
      </c>
      <c r="S26" s="13" t="n">
        <v>0.006</v>
      </c>
    </row>
    <row r="27">
      <c r="A27" s="4" t="inlineStr">
        <is>
          <t>1ce3ee3c699e</t>
        </is>
      </c>
      <c r="B27" s="4" t="inlineStr">
        <is>
          <t>ETH-&gt;SOL</t>
        </is>
      </c>
      <c r="C27" s="4" t="n">
        <v>1</v>
      </c>
      <c r="D27" s="4" t="inlineStr">
        <is>
          <t>Meson</t>
        </is>
      </c>
      <c r="E27" s="4" t="inlineStr">
        <is>
          <t>venue</t>
        </is>
      </c>
      <c r="F27" s="4" t="inlineStr">
        <is>
          <t>OK</t>
        </is>
      </c>
      <c r="G27" s="4" t="inlineStr">
        <is>
          <t>2026-09-23T14:19:22.126Z</t>
        </is>
      </c>
      <c r="H27" s="4" t="inlineStr">
        <is>
          <t>2026-09-23T14:19:22.766Z</t>
        </is>
      </c>
      <c r="I27" s="4" t="inlineStr">
        <is>
          <t>2026-09-23T14:19:28.703Z</t>
        </is>
      </c>
      <c r="J27" s="13" t="n">
        <v>0.001</v>
      </c>
      <c r="K27" s="19" t="n">
        <v>99.09999999999999</v>
      </c>
      <c r="L27" s="20" t="n">
        <v>0</v>
      </c>
      <c r="M27" s="4" t="n"/>
      <c r="N27" s="4" t="inlineStr">
        <is>
          <t>fees_deducted=[['Fee', 0.9, 'USDC']]; fee_total=0.9; fixed_fee_on_top=0.0; display_decimals=1</t>
        </is>
      </c>
      <c r="O27" s="4" t="inlineStr">
        <is>
          <t>https://meson.fi/swap</t>
        </is>
      </c>
      <c r="P27" s="4" t="inlineStr">
        <is>
          <t>20260923T141817Z</t>
        </is>
      </c>
      <c r="Q27" s="4" t="inlineStr">
        <is>
          <t>2026-09-23T14:19:28.696Z</t>
        </is>
      </c>
      <c r="R27" s="4" t="inlineStr">
        <is>
          <t>2026-09-23T14:19:24.937Z</t>
        </is>
      </c>
      <c r="S27" s="13" t="n">
        <v>0.006</v>
      </c>
    </row>
    <row r="28">
      <c r="A28" s="4" t="inlineStr">
        <is>
          <t>1ce3ee3c699e</t>
        </is>
      </c>
      <c r="B28" s="4" t="inlineStr">
        <is>
          <t>ETH-&gt;SOL</t>
        </is>
      </c>
      <c r="C28" s="4" t="n">
        <v>1</v>
      </c>
      <c r="D28" s="4" t="inlineStr">
        <is>
          <t>OpenSea</t>
        </is>
      </c>
      <c r="E28" s="4" t="inlineStr">
        <is>
          <t>platform</t>
        </is>
      </c>
      <c r="F28" s="4" t="inlineStr">
        <is>
          <t>OK</t>
        </is>
      </c>
      <c r="G28" s="4" t="inlineStr">
        <is>
          <t>2026-09-23T14:19:22.118Z</t>
        </is>
      </c>
      <c r="H28" s="4" t="inlineStr">
        <is>
          <t>2026-09-23T14:19:25.252Z</t>
        </is>
      </c>
      <c r="I28" s="4" t="inlineStr">
        <is>
          <t>2026-09-23T14:19:28.744Z</t>
        </is>
      </c>
      <c r="J28" s="13" t="n">
        <v>0.004</v>
      </c>
      <c r="K28" s="19" t="n">
        <v>99.74590000000001</v>
      </c>
      <c r="L28" s="20" t="n">
        <v>0.9399999999999999</v>
      </c>
      <c r="M28" s="4" t="inlineStr">
        <is>
          <t>native (gas, USD shown)</t>
        </is>
      </c>
      <c r="N28" s="4" t="inlineStr">
        <is>
          <t>out_usd=$99.72; provider=Relay; fee_total_usd=1.16; provider_fee_usd=0.22; provider_fee_pct=0.22%; provider_fee_deducted=True; opensea_fee_usd=0.0; opensea_fee_pct=0%; gas_fee_usd=0.94; gas_fee_display=$0.94; fixed_fee_on_top=0.94; fixed_fee_token=native (gas, USD shown); price_impact=(-$0.03) -0.03</t>
        </is>
      </c>
      <c r="O28" s="4" t="inlineStr">
        <is>
          <t>https://opensea.io/swap?fromChain=ethereum&amp;fromAddress=0xa0b86991c6218b36c1d19d4a2e9eb0ce3606eb48&amp;toChain=solana&amp;toAddress=EPjFWdd5AufqSSqeM2qN1xzybapC8G4wEGGkZwyTDt1v</t>
        </is>
      </c>
      <c r="P28" s="4" t="inlineStr">
        <is>
          <t>20260923T141817Z</t>
        </is>
      </c>
      <c r="Q28" s="4" t="inlineStr">
        <is>
          <t>2026-09-23T14:19:28.701Z</t>
        </is>
      </c>
      <c r="R28" s="4" t="inlineStr">
        <is>
          <t>2026-09-23T14:19:27.409Z</t>
        </is>
      </c>
      <c r="S28" s="13" t="n">
        <v>0.006</v>
      </c>
    </row>
    <row r="29">
      <c r="A29" s="4" t="inlineStr">
        <is>
          <t>1ce3ee3c699e</t>
        </is>
      </c>
      <c r="B29" s="4" t="inlineStr">
        <is>
          <t>ETH-&gt;SOL</t>
        </is>
      </c>
      <c r="C29" s="4" t="n">
        <v>1</v>
      </c>
      <c r="D29" s="4" t="inlineStr">
        <is>
          <t>SimpleSwap</t>
        </is>
      </c>
      <c r="E29" s="4" t="inlineStr">
        <is>
          <t>venue</t>
        </is>
      </c>
      <c r="F29" s="4" t="inlineStr">
        <is>
          <t>OK</t>
        </is>
      </c>
      <c r="G29" s="4" t="inlineStr">
        <is>
          <t>2026-09-23T14:19:22.126Z</t>
        </is>
      </c>
      <c r="H29" s="4" t="inlineStr">
        <is>
          <t>2026-09-23T14:19:25.340Z</t>
        </is>
      </c>
      <c r="I29" s="4" t="inlineStr">
        <is>
          <t>2026-09-23T14:19:28.872Z</t>
        </is>
      </c>
      <c r="J29" s="13" t="n">
        <v>0.005</v>
      </c>
      <c r="K29" s="19" t="n">
        <v>98.482157</v>
      </c>
      <c r="L29" s="20" t="n">
        <v>0</v>
      </c>
      <c r="M29" s="4" t="inlineStr">
        <is>
          <t>USDC</t>
        </is>
      </c>
      <c r="N29" s="4" t="inlineStr">
        <is>
          <t>best_card_out=98.482157; selected_card=Best rate / Decentralized; rate_type=floating; fixed_fee_on_top=0.0; fixed_fee_token=USDC; display_decimals=6; small_sum_warning=False</t>
        </is>
      </c>
      <c r="O29" s="4" t="inlineStr">
        <is>
          <t>https://simpleswap.io/?from=usdc-eth&amp;to=usdc-sol</t>
        </is>
      </c>
      <c r="P29" s="4" t="inlineStr">
        <is>
          <t>20260923T141817Z</t>
        </is>
      </c>
      <c r="Q29" s="4" t="inlineStr">
        <is>
          <t>2026-09-23T14:19:28.702Z</t>
        </is>
      </c>
      <c r="R29" s="4" t="inlineStr">
        <is>
          <t>2026-09-23T14:19:27.561Z</t>
        </is>
      </c>
      <c r="S29" s="13" t="n">
        <v>0.006</v>
      </c>
    </row>
    <row r="30">
      <c r="A30" s="4" t="inlineStr">
        <is>
          <t>1ce3ee3c699e</t>
        </is>
      </c>
      <c r="B30" s="4" t="inlineStr">
        <is>
          <t>ETH-&gt;SOL</t>
        </is>
      </c>
      <c r="C30" s="4" t="n">
        <v>1</v>
      </c>
      <c r="D30" s="4" t="inlineStr">
        <is>
          <t>Skip Go</t>
        </is>
      </c>
      <c r="E30" s="4" t="inlineStr">
        <is>
          <t>venue</t>
        </is>
      </c>
      <c r="F30" s="4" t="inlineStr">
        <is>
          <t>OK</t>
        </is>
      </c>
      <c r="G30" s="4" t="inlineStr">
        <is>
          <t>2026-09-23T14:19:22.119Z</t>
        </is>
      </c>
      <c r="H30" s="4" t="inlineStr">
        <is>
          <t>2026-09-23T14:19:24.784Z</t>
        </is>
      </c>
      <c r="I30" s="4" t="inlineStr">
        <is>
          <t>2026-09-23T14:19:28.733Z</t>
        </is>
      </c>
      <c r="J30" s="13" t="n">
        <v>0.002</v>
      </c>
      <c r="K30" s="19" t="n">
        <v>99.72581</v>
      </c>
      <c r="L30" s="20" t="n"/>
      <c r="M30" s="4" t="n"/>
      <c r="N30" s="4" t="inlineStr">
        <is>
          <t>fees_usd_in_quote=0.27; eta=2 mins; usd_values=['99.98', '99.70']; display_decimals=5</t>
        </is>
      </c>
      <c r="O30" s="4" t="inlineStr">
        <is>
          <t>https://go.skip.build/?src_chain=1&amp;src_asset=0xa0b86991c6218b36c1d19d4a2e9eb0ce3606eb48&amp;dest_chain=solana&amp;dest_asset=EPjFWdd5AufqSSqeM2qN1xzybapC8G4wEGGkZwyTDt1v</t>
        </is>
      </c>
      <c r="P30" s="4" t="inlineStr">
        <is>
          <t>20260923T141817Z</t>
        </is>
      </c>
      <c r="Q30" s="4" t="inlineStr">
        <is>
          <t>2026-09-23T14:19:28.699Z</t>
        </is>
      </c>
      <c r="R30" s="4" t="inlineStr">
        <is>
          <t>2026-09-23T14:19:26.921Z</t>
        </is>
      </c>
      <c r="S30" s="13" t="n">
        <v>0.006</v>
      </c>
    </row>
    <row r="31">
      <c r="A31" s="4" t="inlineStr">
        <is>
          <t>1ce3ee3c699e</t>
        </is>
      </c>
      <c r="B31" s="4" t="inlineStr">
        <is>
          <t>ETH-&gt;SOL</t>
        </is>
      </c>
      <c r="C31" s="4" t="n">
        <v>1</v>
      </c>
      <c r="D31" s="4" t="inlineStr">
        <is>
          <t>Symbiosis</t>
        </is>
      </c>
      <c r="E31" s="4" t="inlineStr">
        <is>
          <t>venue</t>
        </is>
      </c>
      <c r="F31" s="4" t="inlineStr">
        <is>
          <t>OK</t>
        </is>
      </c>
      <c r="G31" s="4" t="inlineStr">
        <is>
          <t>2026-09-23T14:19:22.119Z</t>
        </is>
      </c>
      <c r="H31" s="4" t="inlineStr">
        <is>
          <t>2026-09-23T14:19:24.972Z</t>
        </is>
      </c>
      <c r="I31" s="4" t="inlineStr">
        <is>
          <t>2026-09-23T14:19:28.738Z</t>
        </is>
      </c>
      <c r="J31" s="13" t="n">
        <v>0.003</v>
      </c>
      <c r="K31" s="19" t="n">
        <v>98.950473</v>
      </c>
      <c r="L31" s="20" t="n">
        <v>0</v>
      </c>
      <c r="M31" s="4" t="n"/>
      <c r="N31" s="4" t="inlineStr">
        <is>
          <t>min_received=98.4557; fee_usd_deducted=1.02; eta=2 - 3 Min; price_impact=0%; slippage=2%; route=Bridge to Solana; fixed_fee_on_top=0.0; display_decimals=6</t>
        </is>
      </c>
      <c r="O31" s="4" t="inlineStr">
        <is>
          <t>https://app.symbiosis.finance/swap?chainIn=Ethereum&amp;chainOut=Solana&amp;tokenIn=0xa0b86991c6218b36c1d19d4a2e9eb0ce3606eb48&amp;tokenOut=0x0000000000000000000000000000000000000003</t>
        </is>
      </c>
      <c r="P31" s="4" t="inlineStr">
        <is>
          <t>20260923T141817Z</t>
        </is>
      </c>
      <c r="Q31" s="4" t="inlineStr">
        <is>
          <t>2026-09-23T14:19:28.700Z</t>
        </is>
      </c>
      <c r="R31" s="4" t="inlineStr">
        <is>
          <t>2026-09-23T14:19:27.140Z</t>
        </is>
      </c>
      <c r="S31" s="13" t="n">
        <v>0.006</v>
      </c>
    </row>
    <row r="32">
      <c r="A32" s="4" t="inlineStr">
        <is>
          <t>18f661e80197</t>
        </is>
      </c>
      <c r="B32" s="4" t="inlineStr">
        <is>
          <t>SOL-&gt;BSC</t>
        </is>
      </c>
      <c r="C32" s="4" t="n">
        <v>1</v>
      </c>
      <c r="D32" s="4" t="inlineStr">
        <is>
          <t>Bridg</t>
        </is>
      </c>
      <c r="E32" s="4" t="inlineStr">
        <is>
          <t>bridg</t>
        </is>
      </c>
      <c r="F32" s="4" t="inlineStr">
        <is>
          <t>OK</t>
        </is>
      </c>
      <c r="G32" s="4" t="inlineStr">
        <is>
          <t>2026-09-23T14:19:52.315Z</t>
        </is>
      </c>
      <c r="H32" s="4" t="inlineStr">
        <is>
          <t>2026-09-23T14:19:53.709Z</t>
        </is>
      </c>
      <c r="I32" s="4" t="inlineStr">
        <is>
          <t>2026-09-23T14:19:58.640Z</t>
        </is>
      </c>
      <c r="J32" s="13" t="n"/>
      <c r="K32" s="19" t="n">
        <v>99.87003799999999</v>
      </c>
      <c r="L32" s="20" t="n"/>
      <c r="M32" s="4" t="n"/>
      <c r="N32" s="4" t="inlineStr">
        <is>
          <t>best via Rhino; 9 venues priced; fees [['Rhino fee', 0.079962], ['Bridg fee', 0.05]]</t>
        </is>
      </c>
      <c r="O32" s="4" t="inlineStr">
        <is>
          <t>https://bridg.now/swap/</t>
        </is>
      </c>
      <c r="P32" s="4" t="inlineStr">
        <is>
          <t>20260923T141817Z</t>
        </is>
      </c>
      <c r="Q32" s="4" t="inlineStr">
        <is>
          <t>2026-09-23T14:19:58.625Z</t>
        </is>
      </c>
      <c r="R32" s="4" t="inlineStr">
        <is>
          <t>2026-09-23T14:19:56.903Z</t>
        </is>
      </c>
      <c r="S32" s="13" t="n">
        <v>0.004</v>
      </c>
    </row>
    <row r="33">
      <c r="A33" s="4" t="inlineStr">
        <is>
          <t>18f661e80197</t>
        </is>
      </c>
      <c r="B33" s="4" t="inlineStr">
        <is>
          <t>SOL-&gt;BSC</t>
        </is>
      </c>
      <c r="C33" s="4" t="n">
        <v>1</v>
      </c>
      <c r="D33" s="4" t="inlineStr">
        <is>
          <t>Relay</t>
        </is>
      </c>
      <c r="E33" s="4" t="inlineStr">
        <is>
          <t>venue</t>
        </is>
      </c>
      <c r="F33" s="4" t="inlineStr">
        <is>
          <t>OK</t>
        </is>
      </c>
      <c r="G33" s="4" t="inlineStr">
        <is>
          <t>2026-09-23T14:19:52.315Z</t>
        </is>
      </c>
      <c r="H33" s="4" t="inlineStr">
        <is>
          <t>2026-09-23T14:19:54.827Z</t>
        </is>
      </c>
      <c r="I33" s="4" t="inlineStr">
        <is>
          <t>2026-09-23T14:19:58.662Z</t>
        </is>
      </c>
      <c r="J33" s="13" t="n">
        <v>0.001</v>
      </c>
      <c r="K33" s="19" t="n">
        <v>99.651304</v>
      </c>
      <c r="L33" s="20" t="n"/>
      <c r="M33" s="4" t="n"/>
      <c r="N33" s="4" t="inlineStr">
        <is>
          <t>rate=0.9965</t>
        </is>
      </c>
      <c r="O33" s="4" t="inlineStr">
        <is>
          <t>https://relay.link/bridge/bsc?fromChainId=792703809&amp;fromCurrency=EPjFWdd5AufqSSqeM2qN1xzybapC8G4wEGGkZwyTDt1v&amp;toCurrency=0x8ac76a51cc950d9822d68b83fe1ad97b32cd580d</t>
        </is>
      </c>
      <c r="P33" s="4" t="inlineStr">
        <is>
          <t>20260923T141817Z</t>
        </is>
      </c>
      <c r="Q33" s="4" t="inlineStr">
        <is>
          <t>2026-09-23T14:19:58.626Z</t>
        </is>
      </c>
      <c r="R33" s="4" t="inlineStr">
        <is>
          <t>2026-09-23T14:19:56.961Z</t>
        </is>
      </c>
      <c r="S33" s="13" t="n">
        <v>0.004</v>
      </c>
    </row>
    <row r="34">
      <c r="A34" s="4" t="inlineStr">
        <is>
          <t>18f661e80197</t>
        </is>
      </c>
      <c r="B34" s="4" t="inlineStr">
        <is>
          <t>SOL-&gt;BSC</t>
        </is>
      </c>
      <c r="C34" s="4" t="n">
        <v>1</v>
      </c>
      <c r="D34" s="4" t="inlineStr">
        <is>
          <t>deBridge</t>
        </is>
      </c>
      <c r="E34" s="4" t="inlineStr">
        <is>
          <t>venue</t>
        </is>
      </c>
      <c r="F34" s="4" t="inlineStr">
        <is>
          <t>OK</t>
        </is>
      </c>
      <c r="G34" s="4" t="inlineStr">
        <is>
          <t>2026-09-23T14:19:52.317Z</t>
        </is>
      </c>
      <c r="H34" s="4" t="inlineStr">
        <is>
          <t>2026-09-23T14:19:54.790Z</t>
        </is>
      </c>
      <c r="I34" s="4" t="inlineStr">
        <is>
          <t>2026-09-23T14:19:58.661Z</t>
        </is>
      </c>
      <c r="J34" s="13" t="n">
        <v>0.001</v>
      </c>
      <c r="K34" s="19" t="n">
        <v>99.92001500000001</v>
      </c>
      <c r="L34" s="20" t="n">
        <v>1.2455</v>
      </c>
      <c r="M34" s="4" t="inlineStr">
        <is>
          <t>USDC</t>
        </is>
      </c>
      <c r="N34" s="4" t="inlineStr">
        <is>
          <t>fixed_fee_on_top=1.2455; fixed_fee_token=USDC</t>
        </is>
      </c>
      <c r="O34" s="4" t="inlineStr">
        <is>
          <t>https://app.debridge.com/?inputChain=7565164&amp;outputChain=56&amp;inputCurrency=EPjFWdd5AufqSSqeM2qN1xzybapC8G4wEGGkZwyTDt1v&amp;outputCurrency=0x8ac76a51cc950d9822d68b83fe1ad97b32cd580d&amp;dlnMode=simple</t>
        </is>
      </c>
      <c r="P34" s="4" t="inlineStr">
        <is>
          <t>20260923T141817Z</t>
        </is>
      </c>
      <c r="Q34" s="4" t="inlineStr">
        <is>
          <t>2026-09-23T14:19:58.626Z</t>
        </is>
      </c>
      <c r="R34" s="4" t="inlineStr">
        <is>
          <t>2026-09-23T14:19:56.923Z</t>
        </is>
      </c>
      <c r="S34" s="13" t="n">
        <v>0.004</v>
      </c>
    </row>
    <row r="35">
      <c r="A35" s="4" t="inlineStr">
        <is>
          <t>18f661e80197</t>
        </is>
      </c>
      <c r="B35" s="4" t="inlineStr">
        <is>
          <t>SOL-&gt;BSC</t>
        </is>
      </c>
      <c r="C35" s="4" t="n">
        <v>1</v>
      </c>
      <c r="D35" s="4" t="inlineStr">
        <is>
          <t>LI.FI (Jumper)</t>
        </is>
      </c>
      <c r="E35" s="4" t="inlineStr">
        <is>
          <t>venue</t>
        </is>
      </c>
      <c r="F35" s="4" t="inlineStr">
        <is>
          <t>OK</t>
        </is>
      </c>
      <c r="G35" s="4" t="inlineStr">
        <is>
          <t>2026-09-23T14:19:52.317Z</t>
        </is>
      </c>
      <c r="H35" s="4" t="inlineStr">
        <is>
          <t>2026-09-23T14:19:56.484Z</t>
        </is>
      </c>
      <c r="I35" s="4" t="inlineStr">
        <is>
          <t>2026-09-23T14:19:58.628Z</t>
        </is>
      </c>
      <c r="J35" s="13" t="n">
        <v>0.002</v>
      </c>
      <c r="K35" s="19" t="n">
        <v>99.93159</v>
      </c>
      <c r="L35" s="20" t="n"/>
      <c r="M35" s="4" t="n"/>
      <c r="N35" s="4" t="inlineStr">
        <is>
          <t>best_return_venue=Mayan (Swift); max_out=99.93159</t>
        </is>
      </c>
      <c r="O35" s="4" t="inlineStr">
        <is>
          <t>https://jumper.xyz/?fromChain=1151111081099710&amp;fromToken=EPjFWdd5AufqSSqeM2qN1xzybapC8G4wEGGkZwyTDt1v&amp;toChain=56&amp;toToken=0x8ac76a51cc950d9822d68b83fe1ad97b32cd580d</t>
        </is>
      </c>
      <c r="P35" s="4" t="inlineStr">
        <is>
          <t>20260923T141817Z</t>
        </is>
      </c>
      <c r="Q35" s="4" t="inlineStr">
        <is>
          <t>2026-09-23T14:19:58.623Z</t>
        </is>
      </c>
      <c r="R35" s="4" t="inlineStr">
        <is>
          <t>2026-09-23T14:19:58.623Z</t>
        </is>
      </c>
      <c r="S35" s="13" t="n">
        <v>0.004</v>
      </c>
    </row>
    <row r="36">
      <c r="A36" s="4" t="inlineStr">
        <is>
          <t>18f661e80197</t>
        </is>
      </c>
      <c r="B36" s="4" t="inlineStr">
        <is>
          <t>SOL-&gt;BSC</t>
        </is>
      </c>
      <c r="C36" s="4" t="n">
        <v>1</v>
      </c>
      <c r="D36" s="4" t="inlineStr">
        <is>
          <t>Across</t>
        </is>
      </c>
      <c r="E36" s="4" t="inlineStr">
        <is>
          <t>venue</t>
        </is>
      </c>
      <c r="F36" s="4" t="inlineStr">
        <is>
          <t>OK</t>
        </is>
      </c>
      <c r="G36" s="4" t="inlineStr">
        <is>
          <t>2026-09-23T14:19:52.315Z</t>
        </is>
      </c>
      <c r="H36" s="4" t="inlineStr">
        <is>
          <t>2026-09-23T14:19:54.082Z</t>
        </is>
      </c>
      <c r="I36" s="4" t="inlineStr">
        <is>
          <t>2026-09-23T14:19:58.633Z</t>
        </is>
      </c>
      <c r="J36" s="13" t="n">
        <v>0.001</v>
      </c>
      <c r="K36" s="19" t="n">
        <v>99.981745</v>
      </c>
      <c r="L36" s="20" t="n"/>
      <c r="M36" s="4" t="n"/>
      <c r="N36" s="4" t="inlineStr"/>
      <c r="O36" s="4" t="inlineStr">
        <is>
          <t>https://across.to/?from=solana&amp;to=bsc&amp;inputToken=USDC&amp;outputToken=USDC</t>
        </is>
      </c>
      <c r="P36" s="4" t="inlineStr">
        <is>
          <t>20260923T141817Z</t>
        </is>
      </c>
      <c r="Q36" s="4" t="inlineStr">
        <is>
          <t>2026-09-23T14:19:58.624Z</t>
        </is>
      </c>
      <c r="R36" s="4" t="inlineStr">
        <is>
          <t>2026-09-23T14:19:56.274Z</t>
        </is>
      </c>
      <c r="S36" s="13" t="n">
        <v>0.004</v>
      </c>
    </row>
    <row r="37">
      <c r="A37" s="4" t="inlineStr">
        <is>
          <t>18f661e80197</t>
        </is>
      </c>
      <c r="B37" s="4" t="inlineStr">
        <is>
          <t>SOL-&gt;BSC</t>
        </is>
      </c>
      <c r="C37" s="4" t="n">
        <v>1</v>
      </c>
      <c r="D37" s="4" t="inlineStr">
        <is>
          <t>Mayan</t>
        </is>
      </c>
      <c r="E37" s="4" t="inlineStr">
        <is>
          <t>venue</t>
        </is>
      </c>
      <c r="F37" s="4" t="inlineStr">
        <is>
          <t>OK</t>
        </is>
      </c>
      <c r="G37" s="4" t="inlineStr">
        <is>
          <t>2026-09-23T14:19:52.314Z</t>
        </is>
      </c>
      <c r="H37" s="4" t="inlineStr">
        <is>
          <t>2026-09-23T14:19:53.910Z</t>
        </is>
      </c>
      <c r="I37" s="4" t="inlineStr">
        <is>
          <t>2026-09-23T14:19:58.632Z</t>
        </is>
      </c>
      <c r="J37" s="13" t="n">
        <v>0.001</v>
      </c>
      <c r="K37" s="19" t="n">
        <v>99.931</v>
      </c>
      <c r="L37" s="20" t="n"/>
      <c r="M37" s="4" t="n"/>
      <c r="N37" s="4" t="inlineStr">
        <is>
          <t>mode=Swift v2; eta=3s; display_decimals=3</t>
        </is>
      </c>
      <c r="O37" s="4" t="inlineStr">
        <is>
          <t>https://swap.mayan.finance/</t>
        </is>
      </c>
      <c r="P37" s="4" t="inlineStr">
        <is>
          <t>20260923T141817Z</t>
        </is>
      </c>
      <c r="Q37" s="4" t="inlineStr">
        <is>
          <t>2026-09-23T14:19:58.624Z</t>
        </is>
      </c>
      <c r="R37" s="4" t="inlineStr">
        <is>
          <t>2026-09-23T14:19:56.029Z</t>
        </is>
      </c>
      <c r="S37" s="13" t="n">
        <v>0.004</v>
      </c>
    </row>
    <row r="38">
      <c r="A38" s="4" t="inlineStr">
        <is>
          <t>18f661e80197</t>
        </is>
      </c>
      <c r="B38" s="4" t="inlineStr">
        <is>
          <t>SOL-&gt;BSC</t>
        </is>
      </c>
      <c r="C38" s="4" t="n">
        <v>1</v>
      </c>
      <c r="D38" s="4" t="inlineStr">
        <is>
          <t>Husher</t>
        </is>
      </c>
      <c r="E38" s="4" t="inlineStr">
        <is>
          <t>venue</t>
        </is>
      </c>
      <c r="F38" s="4" t="inlineStr">
        <is>
          <t>OK</t>
        </is>
      </c>
      <c r="G38" s="4" t="inlineStr">
        <is>
          <t>2026-09-23T14:19:52.323Z</t>
        </is>
      </c>
      <c r="H38" s="4" t="inlineStr">
        <is>
          <t>2026-09-23T14:19:54.091Z</t>
        </is>
      </c>
      <c r="I38" s="4" t="inlineStr">
        <is>
          <t>2026-09-23T14:19:58.660Z</t>
        </is>
      </c>
      <c r="J38" s="13" t="n">
        <v>0.001</v>
      </c>
      <c r="K38" s="19" t="n">
        <v>99.65000000000001</v>
      </c>
      <c r="L38" s="20" t="n"/>
      <c r="M38" s="4" t="n"/>
      <c r="N38" s="4" t="inlineStr">
        <is>
          <t>out_usd=$99.67; provider=Husher (Best Rate); rate_type=floating; fee_deducted=0.35; network_fee_deducted=0.0; api_receive=99.65000000; eta_s=40; display_decimals=2</t>
        </is>
      </c>
      <c r="O38" s="4" t="inlineStr">
        <is>
          <t>https://www.husher.io/</t>
        </is>
      </c>
      <c r="P38" s="4" t="inlineStr">
        <is>
          <t>20260923T141817Z</t>
        </is>
      </c>
      <c r="Q38" s="4" t="inlineStr">
        <is>
          <t>2026-09-23T14:19:58.624Z</t>
        </is>
      </c>
      <c r="R38" s="4" t="inlineStr">
        <is>
          <t>2026-09-23T14:19:56.293Z</t>
        </is>
      </c>
      <c r="S38" s="13" t="n">
        <v>0.004</v>
      </c>
    </row>
    <row r="39">
      <c r="A39" s="4" t="inlineStr">
        <is>
          <t>18f661e80197</t>
        </is>
      </c>
      <c r="B39" s="4" t="inlineStr">
        <is>
          <t>SOL-&gt;BSC</t>
        </is>
      </c>
      <c r="C39" s="4" t="n">
        <v>1</v>
      </c>
      <c r="D39" s="4" t="inlineStr">
        <is>
          <t>Layerswap</t>
        </is>
      </c>
      <c r="E39" s="4" t="inlineStr">
        <is>
          <t>venue</t>
        </is>
      </c>
      <c r="F39" s="4" t="inlineStr">
        <is>
          <t>OK</t>
        </is>
      </c>
      <c r="G39" s="4" t="inlineStr">
        <is>
          <t>2026-09-23T14:19:52.316Z</t>
        </is>
      </c>
      <c r="H39" s="4" t="inlineStr">
        <is>
          <t>2026-09-23T14:19:55.032Z</t>
        </is>
      </c>
      <c r="I39" s="4" t="inlineStr">
        <is>
          <t>2026-09-23T14:19:58.663Z</t>
        </is>
      </c>
      <c r="J39" s="13" t="n">
        <v>0.001</v>
      </c>
      <c r="K39" s="19" t="n">
        <v>99.863113</v>
      </c>
      <c r="L39" s="20" t="n"/>
      <c r="M39" s="4" t="n"/>
      <c r="N39" s="4" t="inlineStr">
        <is>
          <t>out_usd=$99.84; fee_usd=0.14; slippage=0.00%; eta=3 secs; to_token=USDC; to_chain=BSC; display_decimals=6</t>
        </is>
      </c>
      <c r="O39" s="4" t="inlineStr">
        <is>
          <t>https://layerswap.io/app?from=SOLANA_MAINNET&amp;to=BSC_MAINNET&amp;fromAsset=USDC&amp;toAsset=USDC</t>
        </is>
      </c>
      <c r="P39" s="4" t="inlineStr">
        <is>
          <t>20260923T141817Z</t>
        </is>
      </c>
      <c r="Q39" s="4" t="inlineStr">
        <is>
          <t>2026-09-23T14:19:58.626Z</t>
        </is>
      </c>
      <c r="R39" s="4" t="inlineStr">
        <is>
          <t>2026-09-23T14:19:57.205Z</t>
        </is>
      </c>
      <c r="S39" s="13" t="n">
        <v>0.004</v>
      </c>
    </row>
    <row r="40">
      <c r="A40" s="4" t="inlineStr">
        <is>
          <t>18f661e80197</t>
        </is>
      </c>
      <c r="B40" s="4" t="inlineStr">
        <is>
          <t>SOL-&gt;BSC</t>
        </is>
      </c>
      <c r="C40" s="4" t="n">
        <v>1</v>
      </c>
      <c r="D40" s="4" t="inlineStr">
        <is>
          <t>Meson</t>
        </is>
      </c>
      <c r="E40" s="4" t="inlineStr">
        <is>
          <t>venue</t>
        </is>
      </c>
      <c r="F40" s="4" t="inlineStr">
        <is>
          <t>OK</t>
        </is>
      </c>
      <c r="G40" s="4" t="inlineStr">
        <is>
          <t>2026-09-23T14:19:52.320Z</t>
        </is>
      </c>
      <c r="H40" s="4" t="inlineStr">
        <is>
          <t>2026-09-23T14:19:52.804Z</t>
        </is>
      </c>
      <c r="I40" s="4" t="inlineStr">
        <is>
          <t>2026-09-23T14:19:58.635Z</t>
        </is>
      </c>
      <c r="J40" s="13" t="n">
        <v>0.002</v>
      </c>
      <c r="K40" s="19" t="n">
        <v>99.88</v>
      </c>
      <c r="L40" s="20" t="n">
        <v>0</v>
      </c>
      <c r="M40" s="4" t="n"/>
      <c r="N40" s="4" t="inlineStr">
        <is>
          <t>fees_deducted=[['Fee', 0.12, 'USDC']]; fee_total=0.12; fixed_fee_on_top=0.0; display_decimals=2</t>
        </is>
      </c>
      <c r="O40" s="4" t="inlineStr">
        <is>
          <t>https://meson.fi/swap</t>
        </is>
      </c>
      <c r="P40" s="4" t="inlineStr">
        <is>
          <t>20260923T141817Z</t>
        </is>
      </c>
      <c r="Q40" s="4" t="inlineStr">
        <is>
          <t>2026-09-23T14:19:58.623Z</t>
        </is>
      </c>
      <c r="R40" s="4" t="inlineStr">
        <is>
          <t>2026-09-23T14:19:55.039Z</t>
        </is>
      </c>
      <c r="S40" s="13" t="n">
        <v>0.004</v>
      </c>
    </row>
    <row r="41">
      <c r="A41" s="4" t="inlineStr">
        <is>
          <t>18f661e80197</t>
        </is>
      </c>
      <c r="B41" s="4" t="inlineStr">
        <is>
          <t>SOL-&gt;BSC</t>
        </is>
      </c>
      <c r="C41" s="4" t="n">
        <v>1</v>
      </c>
      <c r="D41" s="4" t="inlineStr">
        <is>
          <t>SimpleSwap</t>
        </is>
      </c>
      <c r="E41" s="4" t="inlineStr">
        <is>
          <t>venue</t>
        </is>
      </c>
      <c r="F41" s="4" t="inlineStr">
        <is>
          <t>OK</t>
        </is>
      </c>
      <c r="G41" s="4" t="inlineStr">
        <is>
          <t>2026-09-23T14:19:52.325Z</t>
        </is>
      </c>
      <c r="H41" s="4" t="inlineStr">
        <is>
          <t>2026-09-23T14:19:55.429Z</t>
        </is>
      </c>
      <c r="I41" s="4" t="inlineStr">
        <is>
          <t>2026-09-23T14:19:58.707Z</t>
        </is>
      </c>
      <c r="J41" s="13" t="n">
        <v>0.002</v>
      </c>
      <c r="K41" s="19" t="n">
        <v>98.139</v>
      </c>
      <c r="L41" s="20" t="n">
        <v>0</v>
      </c>
      <c r="M41" s="4" t="inlineStr">
        <is>
          <t>USDC</t>
        </is>
      </c>
      <c r="N41" s="4" t="inlineStr">
        <is>
          <t>best_card_out=98.139; selected_card=Best rate; rate_type=floating; fixed_fee_on_top=0.0; fixed_fee_token=USDC; display_decimals=3; small_sum_warning=False</t>
        </is>
      </c>
      <c r="O41" s="4" t="inlineStr">
        <is>
          <t>https://simpleswap.io/?from=usdc-sol&amp;to=usdc-bsc</t>
        </is>
      </c>
      <c r="P41" s="4" t="inlineStr">
        <is>
          <t>20260923T141817Z</t>
        </is>
      </c>
      <c r="Q41" s="4" t="inlineStr">
        <is>
          <t>2026-09-23T14:19:58.627Z</t>
        </is>
      </c>
      <c r="R41" s="4" t="inlineStr">
        <is>
          <t>2026-09-23T14:19:57.622Z</t>
        </is>
      </c>
      <c r="S41" s="13" t="n">
        <v>0.004</v>
      </c>
    </row>
    <row r="42">
      <c r="A42" s="4" t="inlineStr">
        <is>
          <t>fa8b4231fde3</t>
        </is>
      </c>
      <c r="B42" s="4" t="inlineStr">
        <is>
          <t>BSC-&gt;SOL</t>
        </is>
      </c>
      <c r="C42" s="4" t="n">
        <v>1</v>
      </c>
      <c r="D42" s="4" t="inlineStr">
        <is>
          <t>Bridg</t>
        </is>
      </c>
      <c r="E42" s="4" t="inlineStr">
        <is>
          <t>bridg</t>
        </is>
      </c>
      <c r="F42" s="4" t="inlineStr">
        <is>
          <t>OK</t>
        </is>
      </c>
      <c r="G42" s="4" t="inlineStr">
        <is>
          <t>2026-09-23T14:20:23.792Z</t>
        </is>
      </c>
      <c r="H42" s="4" t="inlineStr">
        <is>
          <t>2026-09-23T14:20:25.034Z</t>
        </is>
      </c>
      <c r="I42" s="4" t="inlineStr">
        <is>
          <t>2026-09-23T14:20:29.494Z</t>
        </is>
      </c>
      <c r="J42" s="13" t="n"/>
      <c r="K42" s="19" t="n">
        <v>99.64047100000001</v>
      </c>
      <c r="L42" s="20" t="n"/>
      <c r="M42" s="4" t="n"/>
      <c r="N42" s="4" t="inlineStr">
        <is>
          <t>best via Mayan; 10 venues priced; fees [['Mayan fee', 0.30953], ['Bridg fee', 0.05]]</t>
        </is>
      </c>
      <c r="O42" s="4" t="inlineStr">
        <is>
          <t>https://bridg.now/swap/</t>
        </is>
      </c>
      <c r="P42" s="4" t="inlineStr">
        <is>
          <t>20260923T141817Z</t>
        </is>
      </c>
      <c r="Q42" s="4" t="inlineStr">
        <is>
          <t>2026-09-23T14:20:29.480Z</t>
        </is>
      </c>
      <c r="R42" s="4" t="inlineStr">
        <is>
          <t>2026-09-23T14:20:27.195Z</t>
        </is>
      </c>
      <c r="S42" s="13" t="n">
        <v>0.004</v>
      </c>
    </row>
    <row r="43">
      <c r="A43" s="4" t="inlineStr">
        <is>
          <t>fa8b4231fde3</t>
        </is>
      </c>
      <c r="B43" s="4" t="inlineStr">
        <is>
          <t>BSC-&gt;SOL</t>
        </is>
      </c>
      <c r="C43" s="4" t="n">
        <v>1</v>
      </c>
      <c r="D43" s="4" t="inlineStr">
        <is>
          <t>Relay</t>
        </is>
      </c>
      <c r="E43" s="4" t="inlineStr">
        <is>
          <t>venue</t>
        </is>
      </c>
      <c r="F43" s="4" t="inlineStr">
        <is>
          <t>OK</t>
        </is>
      </c>
      <c r="G43" s="4" t="inlineStr">
        <is>
          <t>2026-09-23T14:20:23.791Z</t>
        </is>
      </c>
      <c r="H43" s="4" t="inlineStr">
        <is>
          <t>2026-09-23T14:20:25.793Z</t>
        </is>
      </c>
      <c r="I43" s="4" t="inlineStr">
        <is>
          <t>2026-09-23T14:20:29.496Z</t>
        </is>
      </c>
      <c r="J43" s="13" t="n">
        <v>0.002</v>
      </c>
      <c r="K43" s="19" t="n">
        <v>99.885705</v>
      </c>
      <c r="L43" s="20" t="n"/>
      <c r="M43" s="4" t="n"/>
      <c r="N43" s="4" t="inlineStr">
        <is>
          <t>rate=0.9988</t>
        </is>
      </c>
      <c r="O43" s="4" t="inlineStr">
        <is>
          <t>https://relay.link/bridge/solana?fromChainId=56&amp;fromCurrency=0x8ac76a51cc950d9822d68b83fe1ad97b32cd580d&amp;toCurrency=EPjFWdd5AufqSSqeM2qN1xzybapC8G4wEGGkZwyTDt1v</t>
        </is>
      </c>
      <c r="P43" s="4" t="inlineStr">
        <is>
          <t>20260923T141817Z</t>
        </is>
      </c>
      <c r="Q43" s="4" t="inlineStr">
        <is>
          <t>2026-09-23T14:20:29.482Z</t>
        </is>
      </c>
      <c r="R43" s="4" t="inlineStr">
        <is>
          <t>2026-09-23T14:20:27.933Z</t>
        </is>
      </c>
      <c r="S43" s="13" t="n">
        <v>0.004</v>
      </c>
    </row>
    <row r="44">
      <c r="A44" s="4" t="inlineStr">
        <is>
          <t>fa8b4231fde3</t>
        </is>
      </c>
      <c r="B44" s="4" t="inlineStr">
        <is>
          <t>BSC-&gt;SOL</t>
        </is>
      </c>
      <c r="C44" s="4" t="n">
        <v>1</v>
      </c>
      <c r="D44" s="4" t="inlineStr">
        <is>
          <t>deBridge</t>
        </is>
      </c>
      <c r="E44" s="4" t="inlineStr">
        <is>
          <t>venue</t>
        </is>
      </c>
      <c r="F44" s="4" t="inlineStr">
        <is>
          <t>OK</t>
        </is>
      </c>
      <c r="G44" s="4" t="inlineStr">
        <is>
          <t>2026-09-23T14:20:23.792Z</t>
        </is>
      </c>
      <c r="H44" s="4" t="inlineStr">
        <is>
          <t>2026-09-23T14:20:26.058Z</t>
        </is>
      </c>
      <c r="I44" s="4" t="inlineStr">
        <is>
          <t>2026-09-23T14:20:29.497Z</t>
        </is>
      </c>
      <c r="J44" s="13" t="n">
        <v>0.002</v>
      </c>
      <c r="K44" s="19" t="n">
        <v>99.920017</v>
      </c>
      <c r="L44" s="20" t="n">
        <v>1.0173</v>
      </c>
      <c r="M44" s="4" t="inlineStr">
        <is>
          <t>USDC</t>
        </is>
      </c>
      <c r="N44" s="4" t="inlineStr">
        <is>
          <t>fixed_fee_on_top=1.0173; fixed_fee_token=USDC</t>
        </is>
      </c>
      <c r="O44" s="4" t="inlineStr">
        <is>
          <t>https://app.debridge.com/?inputChain=56&amp;outputChain=7565164&amp;inputCurrency=0x8ac76a51cc950d9822d68b83fe1ad97b32cd580d&amp;outputCurrency=EPjFWdd5AufqSSqeM2qN1xzybapC8G4wEGGkZwyTDt1v&amp;dlnMode=simple</t>
        </is>
      </c>
      <c r="P44" s="4" t="inlineStr">
        <is>
          <t>20260923T141817Z</t>
        </is>
      </c>
      <c r="Q44" s="4" t="inlineStr">
        <is>
          <t>2026-09-23T14:20:29.482Z</t>
        </is>
      </c>
      <c r="R44" s="4" t="inlineStr">
        <is>
          <t>2026-09-23T14:20:28.213Z</t>
        </is>
      </c>
      <c r="S44" s="13" t="n">
        <v>0.004</v>
      </c>
    </row>
    <row r="45">
      <c r="A45" s="4" t="inlineStr">
        <is>
          <t>fa8b4231fde3</t>
        </is>
      </c>
      <c r="B45" s="4" t="inlineStr">
        <is>
          <t>BSC-&gt;SOL</t>
        </is>
      </c>
      <c r="C45" s="4" t="n">
        <v>1</v>
      </c>
      <c r="D45" s="4" t="inlineStr">
        <is>
          <t>LI.FI (Jumper)</t>
        </is>
      </c>
      <c r="E45" s="4" t="inlineStr">
        <is>
          <t>venue</t>
        </is>
      </c>
      <c r="F45" s="4" t="inlineStr">
        <is>
          <t>OK</t>
        </is>
      </c>
      <c r="G45" s="4" t="inlineStr">
        <is>
          <t>2026-09-23T14:20:23.793Z</t>
        </is>
      </c>
      <c r="H45" s="4" t="inlineStr">
        <is>
          <t>2026-09-23T14:20:26.598Z</t>
        </is>
      </c>
      <c r="I45" s="4" t="inlineStr">
        <is>
          <t>2026-09-23T14:20:29.490Z</t>
        </is>
      </c>
      <c r="J45" s="13" t="n">
        <v>0.004</v>
      </c>
      <c r="K45" s="19" t="n">
        <v>99.885705</v>
      </c>
      <c r="L45" s="20" t="n"/>
      <c r="M45" s="4" t="n"/>
      <c r="N45" s="4" t="inlineStr">
        <is>
          <t>best_return_venue=Relay; max_out=99.885705</t>
        </is>
      </c>
      <c r="O45" s="4" t="inlineStr">
        <is>
          <t>https://jumper.xyz/?fromChain=56&amp;fromToken=0x8ac76a51cc950d9822d68b83fe1ad97b32cd580d&amp;toChain=1151111081099710&amp;toToken=EPjFWdd5AufqSSqeM2qN1xzybapC8G4wEGGkZwyTDt1v</t>
        </is>
      </c>
      <c r="P45" s="4" t="inlineStr">
        <is>
          <t>20260923T141817Z</t>
        </is>
      </c>
      <c r="Q45" s="4" t="inlineStr">
        <is>
          <t>2026-09-23T14:20:29.484Z</t>
        </is>
      </c>
      <c r="R45" s="4" t="inlineStr">
        <is>
          <t>2026-09-23T14:20:28.729Z</t>
        </is>
      </c>
      <c r="S45" s="13" t="n">
        <v>0.004</v>
      </c>
    </row>
    <row r="46">
      <c r="A46" s="4" t="inlineStr">
        <is>
          <t>fa8b4231fde3</t>
        </is>
      </c>
      <c r="B46" s="4" t="inlineStr">
        <is>
          <t>BSC-&gt;SOL</t>
        </is>
      </c>
      <c r="C46" s="4" t="n">
        <v>1</v>
      </c>
      <c r="D46" s="4" t="inlineStr">
        <is>
          <t>Across</t>
        </is>
      </c>
      <c r="E46" s="4" t="inlineStr">
        <is>
          <t>venue</t>
        </is>
      </c>
      <c r="F46" s="4" t="inlineStr">
        <is>
          <t>OK</t>
        </is>
      </c>
      <c r="G46" s="4" t="inlineStr">
        <is>
          <t>2026-09-23T14:20:23.791Z</t>
        </is>
      </c>
      <c r="H46" s="4" t="inlineStr">
        <is>
          <t>2026-09-23T14:20:25.098Z</t>
        </is>
      </c>
      <c r="I46" s="4" t="inlineStr">
        <is>
          <t>2026-09-23T14:20:29.487Z</t>
        </is>
      </c>
      <c r="J46" s="13" t="n">
        <v>0.001</v>
      </c>
      <c r="K46" s="19" t="n">
        <v>99.981745</v>
      </c>
      <c r="L46" s="20" t="n"/>
      <c r="M46" s="4" t="n"/>
      <c r="N46" s="4" t="inlineStr"/>
      <c r="O46" s="4" t="inlineStr">
        <is>
          <t>https://across.to/?from=bsc&amp;to=solana&amp;inputToken=USDC&amp;outputToken=USDC</t>
        </is>
      </c>
      <c r="P46" s="4" t="inlineStr">
        <is>
          <t>20260923T141817Z</t>
        </is>
      </c>
      <c r="Q46" s="4" t="inlineStr">
        <is>
          <t>2026-09-23T14:20:29.481Z</t>
        </is>
      </c>
      <c r="R46" s="4" t="inlineStr">
        <is>
          <t>2026-09-23T14:20:27.225Z</t>
        </is>
      </c>
      <c r="S46" s="13" t="n">
        <v>0.004</v>
      </c>
    </row>
    <row r="47">
      <c r="A47" s="4" t="inlineStr">
        <is>
          <t>fa8b4231fde3</t>
        </is>
      </c>
      <c r="B47" s="4" t="inlineStr">
        <is>
          <t>BSC-&gt;SOL</t>
        </is>
      </c>
      <c r="C47" s="4" t="n">
        <v>1</v>
      </c>
      <c r="D47" s="4" t="inlineStr">
        <is>
          <t>Mayan</t>
        </is>
      </c>
      <c r="E47" s="4" t="inlineStr">
        <is>
          <t>venue</t>
        </is>
      </c>
      <c r="F47" s="4" t="inlineStr">
        <is>
          <t>OK</t>
        </is>
      </c>
      <c r="G47" s="4" t="inlineStr">
        <is>
          <t>2026-09-23T14:20:23.791Z</t>
        </is>
      </c>
      <c r="H47" s="4" t="inlineStr">
        <is>
          <t>2026-09-23T14:20:25.519Z</t>
        </is>
      </c>
      <c r="I47" s="4" t="inlineStr">
        <is>
          <t>2026-09-23T14:20:29.488Z</t>
        </is>
      </c>
      <c r="J47" s="13" t="n">
        <v>0.001</v>
      </c>
      <c r="K47" s="19" t="n">
        <v>99.69</v>
      </c>
      <c r="L47" s="20" t="n"/>
      <c r="M47" s="4" t="n"/>
      <c r="N47" s="4" t="inlineStr">
        <is>
          <t>mode=Swift v2; eta=3s; display_decimals=2</t>
        </is>
      </c>
      <c r="O47" s="4" t="inlineStr">
        <is>
          <t>https://swap.mayan.finance/</t>
        </is>
      </c>
      <c r="P47" s="4" t="inlineStr">
        <is>
          <t>20260923T141817Z</t>
        </is>
      </c>
      <c r="Q47" s="4" t="inlineStr">
        <is>
          <t>2026-09-23T14:20:29.481Z</t>
        </is>
      </c>
      <c r="R47" s="4" t="inlineStr">
        <is>
          <t>2026-09-23T14:20:27.645Z</t>
        </is>
      </c>
      <c r="S47" s="13" t="n">
        <v>0.004</v>
      </c>
    </row>
    <row r="48">
      <c r="A48" s="4" t="inlineStr">
        <is>
          <t>fa8b4231fde3</t>
        </is>
      </c>
      <c r="B48" s="4" t="inlineStr">
        <is>
          <t>BSC-&gt;SOL</t>
        </is>
      </c>
      <c r="C48" s="4" t="n">
        <v>1</v>
      </c>
      <c r="D48" s="4" t="inlineStr">
        <is>
          <t>Husher</t>
        </is>
      </c>
      <c r="E48" s="4" t="inlineStr">
        <is>
          <t>venue</t>
        </is>
      </c>
      <c r="F48" s="4" t="inlineStr">
        <is>
          <t>OK</t>
        </is>
      </c>
      <c r="G48" s="4" t="inlineStr">
        <is>
          <t>2026-09-23T14:20:23.793Z</t>
        </is>
      </c>
      <c r="H48" s="4" t="inlineStr">
        <is>
          <t>2026-09-23T14:20:25.285Z</t>
        </is>
      </c>
      <c r="I48" s="4" t="inlineStr">
        <is>
          <t>2026-09-23T14:20:29.495Z</t>
        </is>
      </c>
      <c r="J48" s="13" t="n">
        <v>0.001</v>
      </c>
      <c r="K48" s="19" t="n">
        <v>99.34999999999999</v>
      </c>
      <c r="L48" s="20" t="n"/>
      <c r="M48" s="4" t="n"/>
      <c r="N48" s="4" t="inlineStr">
        <is>
          <t>out_usd=$99.37; provider=Husher (Best Rate); rate_type=floating; fee_deducted=0.35; network_fee_deducted=0.3; api_receive=99.35000000; eta_s=40; display_decimals=2</t>
        </is>
      </c>
      <c r="O48" s="4" t="inlineStr">
        <is>
          <t>https://www.husher.io/</t>
        </is>
      </c>
      <c r="P48" s="4" t="inlineStr">
        <is>
          <t>20260923T141817Z</t>
        </is>
      </c>
      <c r="Q48" s="4" t="inlineStr">
        <is>
          <t>2026-09-23T14:20:29.481Z</t>
        </is>
      </c>
      <c r="R48" s="4" t="inlineStr">
        <is>
          <t>2026-09-23T14:20:27.432Z</t>
        </is>
      </c>
      <c r="S48" s="13" t="n">
        <v>0.004</v>
      </c>
    </row>
    <row r="49">
      <c r="A49" s="4" t="inlineStr">
        <is>
          <t>fa8b4231fde3</t>
        </is>
      </c>
      <c r="B49" s="4" t="inlineStr">
        <is>
          <t>BSC-&gt;SOL</t>
        </is>
      </c>
      <c r="C49" s="4" t="n">
        <v>1</v>
      </c>
      <c r="D49" s="4" t="inlineStr">
        <is>
          <t>Layerswap</t>
        </is>
      </c>
      <c r="E49" s="4" t="inlineStr">
        <is>
          <t>venue</t>
        </is>
      </c>
      <c r="F49" s="4" t="inlineStr">
        <is>
          <t>OK</t>
        </is>
      </c>
      <c r="G49" s="4" t="inlineStr">
        <is>
          <t>2026-09-23T14:20:23.792Z</t>
        </is>
      </c>
      <c r="H49" s="4" t="inlineStr">
        <is>
          <t>2026-09-23T14:20:26.199Z</t>
        </is>
      </c>
      <c r="I49" s="4" t="inlineStr">
        <is>
          <t>2026-09-23T14:20:29.498Z</t>
        </is>
      </c>
      <c r="J49" s="13" t="n">
        <v>0.004</v>
      </c>
      <c r="K49" s="19" t="n">
        <v>99.633822</v>
      </c>
      <c r="L49" s="20" t="n"/>
      <c r="M49" s="4" t="n"/>
      <c r="N49" s="4" t="inlineStr">
        <is>
          <t>out_usd=$99.61; fee_usd=0.37; slippage=0.00%; eta=22 secs; to_token=USDC; to_chain=Solana; display_decimals=6</t>
        </is>
      </c>
      <c r="O49" s="4" t="inlineStr">
        <is>
          <t>https://layerswap.io/app?from=BSC_MAINNET&amp;to=SOLANA_MAINNET&amp;fromAsset=USDC&amp;toAsset=USDC</t>
        </is>
      </c>
      <c r="P49" s="4" t="inlineStr">
        <is>
          <t>20260923T141817Z</t>
        </is>
      </c>
      <c r="Q49" s="4" t="inlineStr">
        <is>
          <t>2026-09-23T14:20:29.484Z</t>
        </is>
      </c>
      <c r="R49" s="4" t="inlineStr">
        <is>
          <t>2026-09-23T14:20:28.356Z</t>
        </is>
      </c>
      <c r="S49" s="13" t="n">
        <v>0.004</v>
      </c>
    </row>
    <row r="50">
      <c r="A50" s="4" t="inlineStr">
        <is>
          <t>fa8b4231fde3</t>
        </is>
      </c>
      <c r="B50" s="4" t="inlineStr">
        <is>
          <t>BSC-&gt;SOL</t>
        </is>
      </c>
      <c r="C50" s="4" t="n">
        <v>1</v>
      </c>
      <c r="D50" s="4" t="inlineStr">
        <is>
          <t>Meson</t>
        </is>
      </c>
      <c r="E50" s="4" t="inlineStr">
        <is>
          <t>venue</t>
        </is>
      </c>
      <c r="F50" s="4" t="inlineStr">
        <is>
          <t>OK</t>
        </is>
      </c>
      <c r="G50" s="4" t="inlineStr">
        <is>
          <t>2026-09-23T14:20:23.793Z</t>
        </is>
      </c>
      <c r="H50" s="4" t="inlineStr">
        <is>
          <t>2026-09-23T14:20:24.270Z</t>
        </is>
      </c>
      <c r="I50" s="4" t="inlineStr">
        <is>
          <t>2026-09-23T14:20:29.488Z</t>
        </is>
      </c>
      <c r="J50" s="13" t="n">
        <v>0</v>
      </c>
      <c r="K50" s="19" t="n">
        <v>99.59999999999999</v>
      </c>
      <c r="L50" s="20" t="n">
        <v>0</v>
      </c>
      <c r="M50" s="4" t="n"/>
      <c r="N50" s="4" t="inlineStr">
        <is>
          <t>fees_deducted=[['Fee', 0.4, 'USDC']]; fee_total=0.4; fixed_fee_on_top=0.0; display_decimals=1</t>
        </is>
      </c>
      <c r="O50" s="4" t="inlineStr">
        <is>
          <t>https://meson.fi/swap</t>
        </is>
      </c>
      <c r="P50" s="4" t="inlineStr">
        <is>
          <t>20260923T141817Z</t>
        </is>
      </c>
      <c r="Q50" s="4" t="inlineStr">
        <is>
          <t>2026-09-23T14:20:29.480Z</t>
        </is>
      </c>
      <c r="R50" s="4" t="inlineStr">
        <is>
          <t>2026-09-23T14:20:26.411Z</t>
        </is>
      </c>
      <c r="S50" s="13" t="n">
        <v>0.004</v>
      </c>
    </row>
    <row r="51">
      <c r="A51" s="4" t="inlineStr">
        <is>
          <t>fa8b4231fde3</t>
        </is>
      </c>
      <c r="B51" s="4" t="inlineStr">
        <is>
          <t>BSC-&gt;SOL</t>
        </is>
      </c>
      <c r="C51" s="4" t="n">
        <v>1</v>
      </c>
      <c r="D51" s="4" t="inlineStr">
        <is>
          <t>SimpleSwap</t>
        </is>
      </c>
      <c r="E51" s="4" t="inlineStr">
        <is>
          <t>venue</t>
        </is>
      </c>
      <c r="F51" s="4" t="inlineStr">
        <is>
          <t>OK</t>
        </is>
      </c>
      <c r="G51" s="4" t="inlineStr">
        <is>
          <t>2026-09-23T14:20:23.795Z</t>
        </is>
      </c>
      <c r="H51" s="4" t="inlineStr">
        <is>
          <t>2026-09-23T14:20:26.630Z</t>
        </is>
      </c>
      <c r="I51" s="4" t="inlineStr">
        <is>
          <t>2026-09-23T14:20:29.634Z</t>
        </is>
      </c>
      <c r="J51" s="13" t="n">
        <v>0.004</v>
      </c>
      <c r="K51" s="19" t="n">
        <v>98.180302</v>
      </c>
      <c r="L51" s="20" t="n">
        <v>0</v>
      </c>
      <c r="M51" s="4" t="inlineStr">
        <is>
          <t>USDC</t>
        </is>
      </c>
      <c r="N51" s="4" t="inlineStr">
        <is>
          <t>best_card_out=98.180302; selected_card=Best rate; rate_type=floating; fixed_fee_on_top=0.0; fixed_fee_token=USDC; display_decimals=6; small_sum_warning=False</t>
        </is>
      </c>
      <c r="O51" s="4" t="inlineStr">
        <is>
          <t>https://simpleswap.io/?from=usdc-bsc&amp;to=usdc-sol</t>
        </is>
      </c>
      <c r="P51" s="4" t="inlineStr">
        <is>
          <t>20260923T141817Z</t>
        </is>
      </c>
      <c r="Q51" s="4" t="inlineStr">
        <is>
          <t>2026-09-23T14:20:29.484Z</t>
        </is>
      </c>
      <c r="R51" s="4" t="inlineStr">
        <is>
          <t>2026-09-23T14:20:28.851Z</t>
        </is>
      </c>
      <c r="S51" s="13" t="n">
        <v>0.004</v>
      </c>
    </row>
    <row r="52">
      <c r="A52" s="4" t="inlineStr">
        <is>
          <t>fa8b4231fde3</t>
        </is>
      </c>
      <c r="B52" s="4" t="inlineStr">
        <is>
          <t>BSC-&gt;SOL</t>
        </is>
      </c>
      <c r="C52" s="4" t="n">
        <v>1</v>
      </c>
      <c r="D52" s="4" t="inlineStr">
        <is>
          <t>Symbiosis</t>
        </is>
      </c>
      <c r="E52" s="4" t="inlineStr">
        <is>
          <t>venue</t>
        </is>
      </c>
      <c r="F52" s="4" t="inlineStr">
        <is>
          <t>OK</t>
        </is>
      </c>
      <c r="G52" s="4" t="inlineStr">
        <is>
          <t>2026-09-23T14:20:23.792Z</t>
        </is>
      </c>
      <c r="H52" s="4" t="inlineStr">
        <is>
          <t>2026-09-23T14:20:27.336Z</t>
        </is>
      </c>
      <c r="I52" s="4" t="inlineStr">
        <is>
          <t>2026-09-23T14:20:29.492Z</t>
        </is>
      </c>
      <c r="J52" s="13" t="n">
        <v>0</v>
      </c>
      <c r="K52" s="19" t="n">
        <v>98.355626</v>
      </c>
      <c r="L52" s="20" t="n">
        <v>0</v>
      </c>
      <c r="M52" s="4" t="n"/>
      <c r="N52" s="4" t="inlineStr">
        <is>
          <t>min_received=97.8638; fee_usd_deducted=1.52; eta=2 - 3 Min; price_impact=-0.08%; slippage=2%; route=Bridge to Arbitrum One; fixed_fee_on_top=0.0; display_decimals=6</t>
        </is>
      </c>
      <c r="O52" s="4" t="inlineStr">
        <is>
          <t>https://app.symbiosis.finance/swap?chainIn=BNB&amp;chainOut=Solana&amp;tokenIn=0x8ac76a51cc950d9822d68b83fe1ad97b32cd580d&amp;tokenOut=0x0000000000000000000000000000000000000003</t>
        </is>
      </c>
      <c r="P52" s="4" t="inlineStr">
        <is>
          <t>20260923T141817Z</t>
        </is>
      </c>
      <c r="Q52" s="4" t="inlineStr">
        <is>
          <t>2026-09-23T14:20:29.480Z</t>
        </is>
      </c>
      <c r="R52" s="4" t="inlineStr">
        <is>
          <t>2026-09-23T14:20:29.480Z</t>
        </is>
      </c>
      <c r="S52" s="13" t="n">
        <v>0.004</v>
      </c>
    </row>
    <row r="53">
      <c r="A53" s="4" t="inlineStr">
        <is>
          <t>53ab1ac32c3a</t>
        </is>
      </c>
      <c r="B53" s="4" t="inlineStr">
        <is>
          <t>SOL-&gt;Base</t>
        </is>
      </c>
      <c r="C53" s="4" t="n">
        <v>1</v>
      </c>
      <c r="D53" s="4" t="inlineStr">
        <is>
          <t>Bridg</t>
        </is>
      </c>
      <c r="E53" s="4" t="inlineStr">
        <is>
          <t>bridg</t>
        </is>
      </c>
      <c r="F53" s="4" t="inlineStr">
        <is>
          <t>OK</t>
        </is>
      </c>
      <c r="G53" s="4" t="inlineStr">
        <is>
          <t>2026-09-23T14:21:02.757Z</t>
        </is>
      </c>
      <c r="H53" s="4" t="inlineStr">
        <is>
          <t>2026-09-23T14:21:03.882Z</t>
        </is>
      </c>
      <c r="I53" s="4" t="inlineStr">
        <is>
          <t>2026-09-23T14:21:09.361Z</t>
        </is>
      </c>
      <c r="J53" s="13" t="n"/>
      <c r="K53" s="19" t="n">
        <v>99.943099</v>
      </c>
      <c r="L53" s="20" t="n"/>
      <c r="M53" s="4" t="n"/>
      <c r="N53" s="4" t="inlineStr">
        <is>
          <t>best via Skip Go; 15 venues priced; fees [['Skip Go fee', 0.006901], ['Bridg fee', 0.05]]</t>
        </is>
      </c>
      <c r="O53" s="4" t="inlineStr">
        <is>
          <t>https://bridg.now/swap/</t>
        </is>
      </c>
      <c r="P53" s="4" t="inlineStr">
        <is>
          <t>20260923T141817Z</t>
        </is>
      </c>
      <c r="Q53" s="4" t="inlineStr">
        <is>
          <t>2026-09-23T14:21:09.321Z</t>
        </is>
      </c>
      <c r="R53" s="4" t="inlineStr">
        <is>
          <t>2026-09-23T14:21:07.554Z</t>
        </is>
      </c>
      <c r="S53" s="13" t="n">
        <v>0.006</v>
      </c>
    </row>
    <row r="54">
      <c r="A54" s="4" t="inlineStr">
        <is>
          <t>53ab1ac32c3a</t>
        </is>
      </c>
      <c r="B54" s="4" t="inlineStr">
        <is>
          <t>SOL-&gt;Base</t>
        </is>
      </c>
      <c r="C54" s="4" t="n">
        <v>1</v>
      </c>
      <c r="D54" s="4" t="inlineStr">
        <is>
          <t>Relay</t>
        </is>
      </c>
      <c r="E54" s="4" t="inlineStr">
        <is>
          <t>venue</t>
        </is>
      </c>
      <c r="F54" s="4" t="inlineStr">
        <is>
          <t>OK</t>
        </is>
      </c>
      <c r="G54" s="4" t="inlineStr">
        <is>
          <t>2026-09-23T14:21:02.755Z</t>
        </is>
      </c>
      <c r="H54" s="4" t="inlineStr">
        <is>
          <t>2026-09-23T14:21:04.473Z</t>
        </is>
      </c>
      <c r="I54" s="4" t="inlineStr">
        <is>
          <t>2026-09-23T14:21:09.339Z</t>
        </is>
      </c>
      <c r="J54" s="13" t="n">
        <v>0.003</v>
      </c>
      <c r="K54" s="19" t="n">
        <v>99.937898</v>
      </c>
      <c r="L54" s="20" t="n"/>
      <c r="M54" s="4" t="n"/>
      <c r="N54" s="4" t="inlineStr">
        <is>
          <t>rate=0.9993</t>
        </is>
      </c>
      <c r="O54" s="4" t="inlineStr">
        <is>
          <t>https://relay.link/bridge/base?fromChainId=792703809&amp;fromCurrency=EPjFWdd5AufqSSqeM2qN1xzybapC8G4wEGGkZwyTDt1v&amp;toCurrency=0x833589fcd6edb6e08f4c7c32d4f71b54bda02913</t>
        </is>
      </c>
      <c r="P54" s="4" t="inlineStr">
        <is>
          <t>20260923T141817Z</t>
        </is>
      </c>
      <c r="Q54" s="4" t="inlineStr">
        <is>
          <t>2026-09-23T14:21:09.318Z</t>
        </is>
      </c>
      <c r="R54" s="4" t="inlineStr">
        <is>
          <t>2026-09-23T14:21:06.935Z</t>
        </is>
      </c>
      <c r="S54" s="13" t="n">
        <v>0.006</v>
      </c>
    </row>
    <row r="55">
      <c r="A55" s="4" t="inlineStr">
        <is>
          <t>53ab1ac32c3a</t>
        </is>
      </c>
      <c r="B55" s="4" t="inlineStr">
        <is>
          <t>SOL-&gt;Base</t>
        </is>
      </c>
      <c r="C55" s="4" t="n">
        <v>1</v>
      </c>
      <c r="D55" s="4" t="inlineStr">
        <is>
          <t>deBridge</t>
        </is>
      </c>
      <c r="E55" s="4" t="inlineStr">
        <is>
          <t>venue</t>
        </is>
      </c>
      <c r="F55" s="4" t="inlineStr">
        <is>
          <t>OK</t>
        </is>
      </c>
      <c r="G55" s="4" t="inlineStr">
        <is>
          <t>2026-09-23T14:21:02.756Z</t>
        </is>
      </c>
      <c r="H55" s="4" t="inlineStr">
        <is>
          <t>2026-09-23T14:21:05.343Z</t>
        </is>
      </c>
      <c r="I55" s="4" t="inlineStr">
        <is>
          <t>2026-09-23T14:21:09.346Z</t>
        </is>
      </c>
      <c r="J55" s="13" t="n">
        <v>0.001</v>
      </c>
      <c r="K55" s="19" t="n">
        <v>99.880033</v>
      </c>
      <c r="L55" s="20" t="n">
        <v>1.5278</v>
      </c>
      <c r="M55" s="4" t="inlineStr">
        <is>
          <t>USDC</t>
        </is>
      </c>
      <c r="N55" s="4" t="inlineStr">
        <is>
          <t>fixed_fee_on_top=1.5278; fixed_fee_token=USDC</t>
        </is>
      </c>
      <c r="O55" s="4" t="inlineStr">
        <is>
          <t>https://app.debridge.com/?inputChain=7565164&amp;outputChain=8453&amp;inputCurrency=EPjFWdd5AufqSSqeM2qN1xzybapC8G4wEGGkZwyTDt1v&amp;outputCurrency=0x833589fcd6edb6e08f4c7c32d4f71b54bda02913&amp;dlnMode=simple</t>
        </is>
      </c>
      <c r="P55" s="4" t="inlineStr">
        <is>
          <t>20260923T141817Z</t>
        </is>
      </c>
      <c r="Q55" s="4" t="inlineStr">
        <is>
          <t>2026-09-23T14:21:09.320Z</t>
        </is>
      </c>
      <c r="R55" s="4" t="inlineStr">
        <is>
          <t>2026-09-23T14:21:07.550Z</t>
        </is>
      </c>
      <c r="S55" s="13" t="n">
        <v>0.006</v>
      </c>
    </row>
    <row r="56">
      <c r="A56" s="4" t="inlineStr">
        <is>
          <t>53ab1ac32c3a</t>
        </is>
      </c>
      <c r="B56" s="4" t="inlineStr">
        <is>
          <t>SOL-&gt;Base</t>
        </is>
      </c>
      <c r="C56" s="4" t="n">
        <v>1</v>
      </c>
      <c r="D56" s="4" t="inlineStr">
        <is>
          <t>LI.FI (Jumper)</t>
        </is>
      </c>
      <c r="E56" s="4" t="inlineStr">
        <is>
          <t>venue</t>
        </is>
      </c>
      <c r="F56" s="4" t="inlineStr">
        <is>
          <t>OK</t>
        </is>
      </c>
      <c r="G56" s="4" t="inlineStr">
        <is>
          <t>2026-09-23T14:21:02.757Z</t>
        </is>
      </c>
      <c r="H56" s="4" t="inlineStr">
        <is>
          <t>2026-09-23T14:21:07.186Z</t>
        </is>
      </c>
      <c r="I56" s="4" t="inlineStr">
        <is>
          <t>2026-09-23T14:21:09.323Z</t>
        </is>
      </c>
      <c r="J56" s="13" t="n">
        <v>0.005</v>
      </c>
      <c r="K56" s="19" t="n">
        <v>100</v>
      </c>
      <c r="L56" s="20" t="n"/>
      <c r="M56" s="4" t="n"/>
      <c r="N56" s="4" t="inlineStr">
        <is>
          <t>best_return_venue=Eco; max_out=100.0</t>
        </is>
      </c>
      <c r="O56" s="4" t="inlineStr">
        <is>
          <t>https://jumper.xyz/?fromChain=1151111081099710&amp;fromToken=EPjFWdd5AufqSSqeM2qN1xzybapC8G4wEGGkZwyTDt1v&amp;toChain=8453&amp;toToken=0x833589fcd6edb6e08f4c7c32d4f71b54bda02913</t>
        </is>
      </c>
      <c r="P56" s="4" t="inlineStr">
        <is>
          <t>20260923T141817Z</t>
        </is>
      </c>
      <c r="Q56" s="4" t="inlineStr">
        <is>
          <t>2026-09-23T14:21:09.316Z</t>
        </is>
      </c>
      <c r="R56" s="4" t="inlineStr">
        <is>
          <t>2026-09-23T14:21:09.316Z</t>
        </is>
      </c>
      <c r="S56" s="13" t="n">
        <v>0.006</v>
      </c>
    </row>
    <row r="57">
      <c r="A57" s="4" t="inlineStr">
        <is>
          <t>53ab1ac32c3a</t>
        </is>
      </c>
      <c r="B57" s="4" t="inlineStr">
        <is>
          <t>SOL-&gt;Base</t>
        </is>
      </c>
      <c r="C57" s="4" t="n">
        <v>1</v>
      </c>
      <c r="D57" s="4" t="inlineStr">
        <is>
          <t>Across</t>
        </is>
      </c>
      <c r="E57" s="4" t="inlineStr">
        <is>
          <t>venue</t>
        </is>
      </c>
      <c r="F57" s="4" t="inlineStr">
        <is>
          <t>OK</t>
        </is>
      </c>
      <c r="G57" s="4" t="inlineStr">
        <is>
          <t>2026-09-23T14:21:02.756Z</t>
        </is>
      </c>
      <c r="H57" s="4" t="inlineStr">
        <is>
          <t>2026-09-23T14:21:04.200Z</t>
        </is>
      </c>
      <c r="I57" s="4" t="inlineStr">
        <is>
          <t>2026-09-23T14:21:09.325Z</t>
        </is>
      </c>
      <c r="J57" s="13" t="n">
        <v>0.004</v>
      </c>
      <c r="K57" s="19" t="n">
        <v>99.98999999999999</v>
      </c>
      <c r="L57" s="20" t="n"/>
      <c r="M57" s="4" t="n"/>
      <c r="N57" s="4" t="inlineStr"/>
      <c r="O57" s="4" t="inlineStr">
        <is>
          <t>https://across.to/?from=solana&amp;to=base&amp;inputToken=USDC&amp;outputToken=USDC</t>
        </is>
      </c>
      <c r="P57" s="4" t="inlineStr">
        <is>
          <t>20260923T141817Z</t>
        </is>
      </c>
      <c r="Q57" s="4" t="inlineStr">
        <is>
          <t>2026-09-23T14:21:09.317Z</t>
        </is>
      </c>
      <c r="R57" s="4" t="inlineStr">
        <is>
          <t>2026-09-23T14:21:06.436Z</t>
        </is>
      </c>
      <c r="S57" s="13" t="n">
        <v>0.006</v>
      </c>
    </row>
    <row r="58">
      <c r="A58" s="4" t="inlineStr">
        <is>
          <t>53ab1ac32c3a</t>
        </is>
      </c>
      <c r="B58" s="4" t="inlineStr">
        <is>
          <t>SOL-&gt;Base</t>
        </is>
      </c>
      <c r="C58" s="4" t="n">
        <v>1</v>
      </c>
      <c r="D58" s="4" t="inlineStr">
        <is>
          <t>Mayan</t>
        </is>
      </c>
      <c r="E58" s="4" t="inlineStr">
        <is>
          <t>venue</t>
        </is>
      </c>
      <c r="F58" s="4" t="inlineStr">
        <is>
          <t>OK</t>
        </is>
      </c>
      <c r="G58" s="4" t="inlineStr">
        <is>
          <t>2026-09-23T14:21:02.754Z</t>
        </is>
      </c>
      <c r="H58" s="4" t="inlineStr">
        <is>
          <t>2026-09-23T14:21:04.081Z</t>
        </is>
      </c>
      <c r="I58" s="4" t="inlineStr">
        <is>
          <t>2026-09-23T14:21:09.324Z</t>
        </is>
      </c>
      <c r="J58" s="13" t="n">
        <v>0.005</v>
      </c>
      <c r="K58" s="19" t="n">
        <v>99.93300000000001</v>
      </c>
      <c r="L58" s="20" t="n"/>
      <c r="M58" s="4" t="n"/>
      <c r="N58" s="4" t="inlineStr">
        <is>
          <t>mode=Swift v2; eta=3s; display_decimals=3</t>
        </is>
      </c>
      <c r="O58" s="4" t="inlineStr">
        <is>
          <t>https://swap.mayan.finance/</t>
        </is>
      </c>
      <c r="P58" s="4" t="inlineStr">
        <is>
          <t>20260923T141817Z</t>
        </is>
      </c>
      <c r="Q58" s="4" t="inlineStr">
        <is>
          <t>2026-09-23T14:21:09.316Z</t>
        </is>
      </c>
      <c r="R58" s="4" t="inlineStr">
        <is>
          <t>2026-09-23T14:21:06.306Z</t>
        </is>
      </c>
      <c r="S58" s="13" t="n">
        <v>0.006</v>
      </c>
    </row>
    <row r="59">
      <c r="A59" s="4" t="inlineStr">
        <is>
          <t>53ab1ac32c3a</t>
        </is>
      </c>
      <c r="B59" s="4" t="inlineStr">
        <is>
          <t>SOL-&gt;Base</t>
        </is>
      </c>
      <c r="C59" s="4" t="n">
        <v>1</v>
      </c>
      <c r="D59" s="4" t="inlineStr">
        <is>
          <t>Allbridge Core</t>
        </is>
      </c>
      <c r="E59" s="4" t="inlineStr">
        <is>
          <t>venue</t>
        </is>
      </c>
      <c r="F59" s="4" t="inlineStr">
        <is>
          <t>OK</t>
        </is>
      </c>
      <c r="G59" s="4" t="inlineStr">
        <is>
          <t>2026-09-23T14:21:02.757Z</t>
        </is>
      </c>
      <c r="H59" s="4" t="inlineStr">
        <is>
          <t>2026-09-23T14:21:04.267Z</t>
        </is>
      </c>
      <c r="I59" s="4" t="inlineStr">
        <is>
          <t>2026-09-23T14:21:09.608Z</t>
        </is>
      </c>
      <c r="J59" s="13" t="n">
        <v>0.004</v>
      </c>
      <c r="K59" s="19" t="n">
        <v>99.90000000000001</v>
      </c>
      <c r="L59" s="20" t="n">
        <v>0.002418</v>
      </c>
      <c r="M59" s="4" t="inlineStr">
        <is>
          <t>SOL (relayer fee, fee=native)</t>
        </is>
      </c>
      <c r="N59" s="4" t="inlineStr">
        <is>
          <t>out_input_box=99.9; out_details_2dp=99.9; fixed_fee_on_top=0.002418; fixed_fee_token=SOL (relayer fee, fee=native); transfer_fee=0.10 USDC; messenger=CCTP; eta=~1 min; display_decimals=1; picked=['USDC from Solana', 'USDC to Base']</t>
        </is>
      </c>
      <c r="O59" s="4" t="inlineStr">
        <is>
          <t>https://core.allbridge.io/?fee=native&amp;ft=USDC&amp;tt=USDC&amp;f=SOL&amp;t=BAS</t>
        </is>
      </c>
      <c r="P59" s="4" t="inlineStr">
        <is>
          <t>20260923T141817Z</t>
        </is>
      </c>
      <c r="Q59" s="4" t="inlineStr">
        <is>
          <t>2026-09-23T14:21:09.317Z</t>
        </is>
      </c>
      <c r="R59" s="4" t="inlineStr">
        <is>
          <t>2026-09-23T14:21:06.535Z</t>
        </is>
      </c>
      <c r="S59" s="13" t="n">
        <v>0.006</v>
      </c>
    </row>
    <row r="60">
      <c r="A60" s="4" t="inlineStr">
        <is>
          <t>53ab1ac32c3a</t>
        </is>
      </c>
      <c r="B60" s="4" t="inlineStr">
        <is>
          <t>SOL-&gt;Base</t>
        </is>
      </c>
      <c r="C60" s="4" t="n">
        <v>1</v>
      </c>
      <c r="D60" s="4" t="inlineStr">
        <is>
          <t>CCTP (via Portal)</t>
        </is>
      </c>
      <c r="E60" s="4" t="inlineStr">
        <is>
          <t>venue</t>
        </is>
      </c>
      <c r="F60" s="4" t="inlineStr">
        <is>
          <t>OK</t>
        </is>
      </c>
      <c r="G60" s="4" t="inlineStr">
        <is>
          <t>2026-09-23T14:21:02.755Z</t>
        </is>
      </c>
      <c r="H60" s="4" t="inlineStr">
        <is>
          <t>2026-09-23T14:21:05.721Z</t>
        </is>
      </c>
      <c r="I60" s="4" t="inlineStr">
        <is>
          <t>2026-09-23T14:21:09.364Z</t>
        </is>
      </c>
      <c r="J60" s="13" t="n">
        <v>0.001</v>
      </c>
      <c r="K60" s="19" t="n">
        <v>99.98999999999999</v>
      </c>
      <c r="L60" s="20" t="n"/>
      <c r="M60" s="4" t="n"/>
      <c r="N60" s="4" t="inlineStr">
        <is>
          <t>venue_ui=CCTP via Portal (portalbridge.com/usdc-bridge); messenger=Circle CCTP; route_type=CCTPv2StandardExecutorRoute; eta=14 sec; usd_value=99.99; price_impact=-0.01%; fixed_fee_note=executor/relayer fee not shown without a wallet; display_decimals=2</t>
        </is>
      </c>
      <c r="O60" s="4" t="inlineStr">
        <is>
          <t>https://portalbridge.com/usdc-bridge?fromChain=Solana&amp;fromToken=USDC&amp;toChain=Base&amp;toToken=USDC</t>
        </is>
      </c>
      <c r="P60" s="4" t="inlineStr">
        <is>
          <t>20260923T141817Z</t>
        </is>
      </c>
      <c r="Q60" s="4" t="inlineStr">
        <is>
          <t>2026-09-23T14:21:09.322Z</t>
        </is>
      </c>
      <c r="R60" s="4" t="inlineStr">
        <is>
          <t>2026-09-23T14:21:07.864Z</t>
        </is>
      </c>
      <c r="S60" s="13" t="n">
        <v>0.006</v>
      </c>
    </row>
    <row r="61">
      <c r="A61" s="4" t="inlineStr">
        <is>
          <t>53ab1ac32c3a</t>
        </is>
      </c>
      <c r="B61" s="4" t="inlineStr">
        <is>
          <t>SOL-&gt;Base</t>
        </is>
      </c>
      <c r="C61" s="4" t="n">
        <v>1</v>
      </c>
      <c r="D61" s="4" t="inlineStr">
        <is>
          <t>Husher</t>
        </is>
      </c>
      <c r="E61" s="4" t="inlineStr">
        <is>
          <t>venue</t>
        </is>
      </c>
      <c r="F61" s="4" t="inlineStr">
        <is>
          <t>OK</t>
        </is>
      </c>
      <c r="G61" s="4" t="inlineStr">
        <is>
          <t>2026-09-23T14:21:02.759Z</t>
        </is>
      </c>
      <c r="H61" s="4" t="inlineStr">
        <is>
          <t>2026-09-23T14:21:04.147Z</t>
        </is>
      </c>
      <c r="I61" s="4" t="inlineStr">
        <is>
          <t>2026-09-23T14:21:09.336Z</t>
        </is>
      </c>
      <c r="J61" s="13" t="n">
        <v>0.004</v>
      </c>
      <c r="K61" s="19" t="n">
        <v>99.45</v>
      </c>
      <c r="L61" s="20" t="n"/>
      <c r="M61" s="4" t="n"/>
      <c r="N61" s="4" t="inlineStr">
        <is>
          <t>out_usd=$99.47; provider=Husher (Best Rate); rate_type=floating; fee_deducted=0.35; network_fee_deducted=0.2; api_receive=99.45000000; eta_s=40; display_decimals=2</t>
        </is>
      </c>
      <c r="O61" s="4" t="inlineStr">
        <is>
          <t>https://www.husher.io/</t>
        </is>
      </c>
      <c r="P61" s="4" t="inlineStr">
        <is>
          <t>20260923T141817Z</t>
        </is>
      </c>
      <c r="Q61" s="4" t="inlineStr">
        <is>
          <t>2026-09-23T14:21:09.317Z</t>
        </is>
      </c>
      <c r="R61" s="4" t="inlineStr">
        <is>
          <t>2026-09-23T14:21:06.440Z</t>
        </is>
      </c>
      <c r="S61" s="13" t="n">
        <v>0.006</v>
      </c>
    </row>
    <row r="62">
      <c r="A62" s="4" t="inlineStr">
        <is>
          <t>53ab1ac32c3a</t>
        </is>
      </c>
      <c r="B62" s="4" t="inlineStr">
        <is>
          <t>SOL-&gt;Base</t>
        </is>
      </c>
      <c r="C62" s="4" t="n">
        <v>1</v>
      </c>
      <c r="D62" s="4" t="inlineStr">
        <is>
          <t>Layerswap</t>
        </is>
      </c>
      <c r="E62" s="4" t="inlineStr">
        <is>
          <t>venue</t>
        </is>
      </c>
      <c r="F62" s="4" t="inlineStr">
        <is>
          <t>OK</t>
        </is>
      </c>
      <c r="G62" s="4" t="inlineStr">
        <is>
          <t>2026-09-23T14:21:02.756Z</t>
        </is>
      </c>
      <c r="H62" s="4" t="inlineStr">
        <is>
          <t>2026-09-23T14:21:05.390Z</t>
        </is>
      </c>
      <c r="I62" s="4" t="inlineStr">
        <is>
          <t>2026-09-23T14:21:09.358Z</t>
        </is>
      </c>
      <c r="J62" s="13" t="n">
        <v>0</v>
      </c>
      <c r="K62" s="19" t="n">
        <v>99.864045</v>
      </c>
      <c r="L62" s="20" t="n"/>
      <c r="M62" s="4" t="n"/>
      <c r="N62" s="4" t="inlineStr">
        <is>
          <t>out_usd=$99.84; fee_usd=0.14; slippage=0.00%; eta=5 secs; to_token=USDC; to_chain=Base; display_decimals=6</t>
        </is>
      </c>
      <c r="O62" s="4" t="inlineStr">
        <is>
          <t>https://layerswap.io/app?from=SOLANA_MAINNET&amp;to=BASE_MAINNET&amp;fromAsset=USDC&amp;toAsset=USDC</t>
        </is>
      </c>
      <c r="P62" s="4" t="inlineStr">
        <is>
          <t>20260923T141817Z</t>
        </is>
      </c>
      <c r="Q62" s="4" t="inlineStr">
        <is>
          <t>2026-09-23T14:21:09.321Z</t>
        </is>
      </c>
      <c r="R62" s="4" t="inlineStr">
        <is>
          <t>2026-09-23T14:21:07.553Z</t>
        </is>
      </c>
      <c r="S62" s="13" t="n">
        <v>0.006</v>
      </c>
    </row>
    <row r="63">
      <c r="A63" s="4" t="inlineStr">
        <is>
          <t>53ab1ac32c3a</t>
        </is>
      </c>
      <c r="B63" s="4" t="inlineStr">
        <is>
          <t>SOL-&gt;Base</t>
        </is>
      </c>
      <c r="C63" s="4" t="n">
        <v>1</v>
      </c>
      <c r="D63" s="4" t="inlineStr">
        <is>
          <t>Meson</t>
        </is>
      </c>
      <c r="E63" s="4" t="inlineStr">
        <is>
          <t>venue</t>
        </is>
      </c>
      <c r="F63" s="4" t="inlineStr">
        <is>
          <t>OK</t>
        </is>
      </c>
      <c r="G63" s="4" t="inlineStr">
        <is>
          <t>2026-09-23T14:21:02.759Z</t>
        </is>
      </c>
      <c r="H63" s="4" t="inlineStr">
        <is>
          <t>2026-09-23T14:21:03.426Z</t>
        </is>
      </c>
      <c r="I63" s="4" t="inlineStr">
        <is>
          <t>2026-09-23T14:21:09.328Z</t>
        </is>
      </c>
      <c r="J63" s="13" t="n">
        <v>0.005</v>
      </c>
      <c r="K63" s="19" t="n">
        <v>99.84</v>
      </c>
      <c r="L63" s="20" t="n">
        <v>0</v>
      </c>
      <c r="M63" s="4" t="n"/>
      <c r="N63" s="4" t="inlineStr">
        <is>
          <t>fees_deducted=[['Fee', 0.16, 'USDC']]; fee_total=0.16; fixed_fee_on_top=0.0; display_decimals=2</t>
        </is>
      </c>
      <c r="O63" s="4" t="inlineStr">
        <is>
          <t>https://meson.fi/swap</t>
        </is>
      </c>
      <c r="P63" s="4" t="inlineStr">
        <is>
          <t>20260923T141817Z</t>
        </is>
      </c>
      <c r="Q63" s="4" t="inlineStr">
        <is>
          <t>2026-09-23T14:21:09.316Z</t>
        </is>
      </c>
      <c r="R63" s="4" t="inlineStr">
        <is>
          <t>2026-09-23T14:21:05.680Z</t>
        </is>
      </c>
      <c r="S63" s="13" t="n">
        <v>0.006</v>
      </c>
    </row>
    <row r="64">
      <c r="A64" s="4" t="inlineStr">
        <is>
          <t>53ab1ac32c3a</t>
        </is>
      </c>
      <c r="B64" s="4" t="inlineStr">
        <is>
          <t>SOL-&gt;Base</t>
        </is>
      </c>
      <c r="C64" s="4" t="n">
        <v>1</v>
      </c>
      <c r="D64" s="4" t="inlineStr">
        <is>
          <t>OpenSea</t>
        </is>
      </c>
      <c r="E64" s="4" t="inlineStr">
        <is>
          <t>platform</t>
        </is>
      </c>
      <c r="F64" s="4" t="inlineStr">
        <is>
          <t>OK</t>
        </is>
      </c>
      <c r="G64" s="4" t="inlineStr">
        <is>
          <t>2026-09-23T14:21:02.758Z</t>
        </is>
      </c>
      <c r="H64" s="4" t="inlineStr">
        <is>
          <t>2026-09-23T14:21:05.886Z</t>
        </is>
      </c>
      <c r="I64" s="4" t="inlineStr">
        <is>
          <t>2026-09-23T14:21:09.367Z</t>
        </is>
      </c>
      <c r="J64" s="13" t="n">
        <v>0.001</v>
      </c>
      <c r="K64" s="19" t="n">
        <v>99.9332</v>
      </c>
      <c r="L64" s="20" t="n">
        <v>0.02</v>
      </c>
      <c r="M64" s="4" t="inlineStr">
        <is>
          <t>native (gas, USD shown)</t>
        </is>
      </c>
      <c r="N64" s="4" t="inlineStr">
        <is>
          <t>out_usd=$99.91; provider=LI.FI; fee_total_usd=0.02; provider_fee_usd=0.0; provider_fee_pct=0%; provider_fee_deducted=True; opensea_fee_usd=0.0; opensea_fee_pct=0%; gas_fee_usd=0.02; gas_fee_display=$0.02; fixed_fee_on_top=0.02; fixed_fee_token=native (gas, USD shown); price_impact=(-$0.07) -0.07%; s</t>
        </is>
      </c>
      <c r="O64" s="4" t="inlineStr">
        <is>
          <t>https://opensea.io/swap?fromChain=solana&amp;fromAddress=EPjFWdd5AufqSSqeM2qN1xzybapC8G4wEGGkZwyTDt1v&amp;toChain=base&amp;toAddress=0x833589fcd6edb6e08f4c7c32d4f71b54bda02913</t>
        </is>
      </c>
      <c r="P64" s="4" t="inlineStr">
        <is>
          <t>20260923T141817Z</t>
        </is>
      </c>
      <c r="Q64" s="4" t="inlineStr">
        <is>
          <t>2026-09-23T14:21:09.322Z</t>
        </is>
      </c>
      <c r="R64" s="4" t="inlineStr">
        <is>
          <t>2026-09-23T14:21:08.196Z</t>
        </is>
      </c>
      <c r="S64" s="13" t="n">
        <v>0.006</v>
      </c>
    </row>
    <row r="65">
      <c r="A65" s="4" t="inlineStr">
        <is>
          <t>53ab1ac32c3a</t>
        </is>
      </c>
      <c r="B65" s="4" t="inlineStr">
        <is>
          <t>SOL-&gt;Base</t>
        </is>
      </c>
      <c r="C65" s="4" t="n">
        <v>1</v>
      </c>
      <c r="D65" s="4" t="inlineStr">
        <is>
          <t>SimpleSwap</t>
        </is>
      </c>
      <c r="E65" s="4" t="inlineStr">
        <is>
          <t>venue</t>
        </is>
      </c>
      <c r="F65" s="4" t="inlineStr">
        <is>
          <t>OK</t>
        </is>
      </c>
      <c r="G65" s="4" t="inlineStr">
        <is>
          <t>2026-09-23T14:21:02.758Z</t>
        </is>
      </c>
      <c r="H65" s="4" t="inlineStr">
        <is>
          <t>2026-09-23T14:21:05.710Z</t>
        </is>
      </c>
      <c r="I65" s="4" t="inlineStr">
        <is>
          <t>2026-09-23T14:21:09.555Z</t>
        </is>
      </c>
      <c r="J65" s="13" t="n">
        <v>0.001</v>
      </c>
      <c r="K65" s="19" t="n">
        <v>98.49149199999999</v>
      </c>
      <c r="L65" s="20" t="n">
        <v>0</v>
      </c>
      <c r="M65" s="4" t="inlineStr">
        <is>
          <t>USDC</t>
        </is>
      </c>
      <c r="N65" s="4" t="inlineStr">
        <is>
          <t>best_card_out=98.491492; selected_card=Best rate / Decentralized; rate_type=floating; fixed_fee_on_top=0.0; fixed_fee_token=USDC; display_decimals=6; small_sum_warning=False</t>
        </is>
      </c>
      <c r="O65" s="4" t="inlineStr">
        <is>
          <t>https://simpleswap.io/?from=usdc-sol&amp;to=usdc-base</t>
        </is>
      </c>
      <c r="P65" s="4" t="inlineStr">
        <is>
          <t>20260923T141817Z</t>
        </is>
      </c>
      <c r="Q65" s="4" t="inlineStr">
        <is>
          <t>2026-09-23T14:21:09.322Z</t>
        </is>
      </c>
      <c r="R65" s="4" t="inlineStr">
        <is>
          <t>2026-09-23T14:21:07.905Z</t>
        </is>
      </c>
      <c r="S65" s="13" t="n">
        <v>0.006</v>
      </c>
    </row>
    <row r="66">
      <c r="A66" s="4" t="inlineStr">
        <is>
          <t>53ab1ac32c3a</t>
        </is>
      </c>
      <c r="B66" s="4" t="inlineStr">
        <is>
          <t>SOL-&gt;Base</t>
        </is>
      </c>
      <c r="C66" s="4" t="n">
        <v>1</v>
      </c>
      <c r="D66" s="4" t="inlineStr">
        <is>
          <t>Skip Go</t>
        </is>
      </c>
      <c r="E66" s="4" t="inlineStr">
        <is>
          <t>venue</t>
        </is>
      </c>
      <c r="F66" s="4" t="inlineStr">
        <is>
          <t>OK</t>
        </is>
      </c>
      <c r="G66" s="4" t="inlineStr">
        <is>
          <t>2026-09-23T14:21:02.755Z</t>
        </is>
      </c>
      <c r="H66" s="4" t="inlineStr">
        <is>
          <t>2026-09-23T14:21:05.309Z</t>
        </is>
      </c>
      <c r="I66" s="4" t="inlineStr">
        <is>
          <t>2026-09-23T14:21:09.342Z</t>
        </is>
      </c>
      <c r="J66" s="13" t="n">
        <v>0.002</v>
      </c>
      <c r="K66" s="19" t="n">
        <v>99.9811</v>
      </c>
      <c r="L66" s="20" t="n"/>
      <c r="M66" s="4" t="n"/>
      <c r="N66" s="4" t="inlineStr">
        <is>
          <t>fees_usd_in_quote=0.02; eta=30 secs; usd_values=['99.98', '99.96']; display_decimals=4</t>
        </is>
      </c>
      <c r="O66" s="4" t="inlineStr">
        <is>
          <t>https://go.skip.build/?src_chain=solana&amp;src_asset=EPjFWdd5AufqSSqeM2qN1xzybapC8G4wEGGkZwyTDt1v&amp;dest_chain=8453&amp;dest_asset=0x833589fcd6edb6e08f4c7c32d4f71b54bda02913</t>
        </is>
      </c>
      <c r="P66" s="4" t="inlineStr">
        <is>
          <t>20260923T141817Z</t>
        </is>
      </c>
      <c r="Q66" s="4" t="inlineStr">
        <is>
          <t>2026-09-23T14:21:09.319Z</t>
        </is>
      </c>
      <c r="R66" s="4" t="inlineStr">
        <is>
          <t>2026-09-23T14:21:07.550Z</t>
        </is>
      </c>
      <c r="S66" s="13" t="n">
        <v>0.006</v>
      </c>
    </row>
    <row r="67">
      <c r="A67" s="4" t="inlineStr">
        <is>
          <t>21aa030fe856</t>
        </is>
      </c>
      <c r="B67" s="4" t="inlineStr">
        <is>
          <t>Base-&gt;SOL</t>
        </is>
      </c>
      <c r="C67" s="4" t="n">
        <v>1</v>
      </c>
      <c r="D67" s="4" t="inlineStr">
        <is>
          <t>Bridg</t>
        </is>
      </c>
      <c r="E67" s="4" t="inlineStr">
        <is>
          <t>bridg</t>
        </is>
      </c>
      <c r="F67" s="4" t="inlineStr">
        <is>
          <t>OK</t>
        </is>
      </c>
      <c r="G67" s="4" t="inlineStr">
        <is>
          <t>2026-09-23T14:21:37.200Z</t>
        </is>
      </c>
      <c r="H67" s="4" t="inlineStr">
        <is>
          <t>2026-09-23T14:21:39.376Z</t>
        </is>
      </c>
      <c r="I67" s="4" t="inlineStr">
        <is>
          <t>2026-09-23T14:21:44.840Z</t>
        </is>
      </c>
      <c r="J67" s="13" t="n"/>
      <c r="K67" s="19" t="n">
        <v>99.85005</v>
      </c>
      <c r="L67" s="20" t="n"/>
      <c r="M67" s="4" t="n"/>
      <c r="N67" s="4" t="inlineStr">
        <is>
          <t>best via Allbridge Core; 15 venues priced; fees [['Allbridge Core fee', 0.09995], ['Bridg fee', 0.05]]</t>
        </is>
      </c>
      <c r="O67" s="4" t="inlineStr">
        <is>
          <t>https://bridg.now/swap/</t>
        </is>
      </c>
      <c r="P67" s="4" t="inlineStr">
        <is>
          <t>20260923T141817Z</t>
        </is>
      </c>
      <c r="Q67" s="4" t="inlineStr">
        <is>
          <t>2026-09-23T14:21:44.562Z</t>
        </is>
      </c>
      <c r="R67" s="4" t="inlineStr">
        <is>
          <t>2026-09-23T14:21:43.331Z</t>
        </is>
      </c>
      <c r="S67" s="13" t="n">
        <v>0.008</v>
      </c>
    </row>
    <row r="68">
      <c r="A68" s="4" t="inlineStr">
        <is>
          <t>21aa030fe856</t>
        </is>
      </c>
      <c r="B68" s="4" t="inlineStr">
        <is>
          <t>Base-&gt;SOL</t>
        </is>
      </c>
      <c r="C68" s="4" t="n">
        <v>1</v>
      </c>
      <c r="D68" s="4" t="inlineStr">
        <is>
          <t>Relay</t>
        </is>
      </c>
      <c r="E68" s="4" t="inlineStr">
        <is>
          <t>venue</t>
        </is>
      </c>
      <c r="F68" s="4" t="inlineStr">
        <is>
          <t>OK</t>
        </is>
      </c>
      <c r="G68" s="4" t="inlineStr">
        <is>
          <t>2026-09-23T14:21:37.181Z</t>
        </is>
      </c>
      <c r="H68" s="4" t="inlineStr">
        <is>
          <t>2026-09-23T14:21:40.533Z</t>
        </is>
      </c>
      <c r="I68" s="4" t="inlineStr">
        <is>
          <t>2026-09-23T14:21:44.781Z</t>
        </is>
      </c>
      <c r="J68" s="13" t="n">
        <v>0.003</v>
      </c>
      <c r="K68" s="19" t="n">
        <v>99.945701</v>
      </c>
      <c r="L68" s="20" t="n"/>
      <c r="M68" s="4" t="n"/>
      <c r="N68" s="4" t="inlineStr">
        <is>
          <t>rate=0.9994</t>
        </is>
      </c>
      <c r="O68" s="4" t="inlineStr">
        <is>
          <t>https://relay.link/bridge/solana?fromChainId=8453&amp;fromCurrency=0x833589fcd6edb6e08f4c7c32d4f71b54bda02913&amp;toCurrency=EPjFWdd5AufqSSqeM2qN1xzybapC8G4wEGGkZwyTDt1v</t>
        </is>
      </c>
      <c r="P68" s="4" t="inlineStr">
        <is>
          <t>20260923T141817Z</t>
        </is>
      </c>
      <c r="Q68" s="4" t="inlineStr">
        <is>
          <t>2026-09-23T14:21:44.559Z</t>
        </is>
      </c>
      <c r="R68" s="4" t="inlineStr">
        <is>
          <t>2026-09-23T14:21:42.873Z</t>
        </is>
      </c>
      <c r="S68" s="13" t="n">
        <v>0.008</v>
      </c>
    </row>
    <row r="69">
      <c r="A69" s="4" t="inlineStr">
        <is>
          <t>21aa030fe856</t>
        </is>
      </c>
      <c r="B69" s="4" t="inlineStr">
        <is>
          <t>Base-&gt;SOL</t>
        </is>
      </c>
      <c r="C69" s="4" t="n">
        <v>1</v>
      </c>
      <c r="D69" s="4" t="inlineStr">
        <is>
          <t>deBridge</t>
        </is>
      </c>
      <c r="E69" s="4" t="inlineStr">
        <is>
          <t>venue</t>
        </is>
      </c>
      <c r="F69" s="4" t="inlineStr">
        <is>
          <t>OK</t>
        </is>
      </c>
      <c r="G69" s="4" t="inlineStr">
        <is>
          <t>2026-09-23T14:21:37.189Z</t>
        </is>
      </c>
      <c r="H69" s="4" t="inlineStr">
        <is>
          <t>2026-09-23T14:21:40.569Z</t>
        </is>
      </c>
      <c r="I69" s="4" t="inlineStr">
        <is>
          <t>2026-09-23T14:21:44.781Z</t>
        </is>
      </c>
      <c r="J69" s="13" t="n">
        <v>0.002</v>
      </c>
      <c r="K69" s="19" t="n">
        <v>99.880032</v>
      </c>
      <c r="L69" s="20" t="n">
        <v>1.0278</v>
      </c>
      <c r="M69" s="4" t="inlineStr">
        <is>
          <t>USDC</t>
        </is>
      </c>
      <c r="N69" s="4" t="inlineStr">
        <is>
          <t>fixed_fee_on_top=1.0278; fixed_fee_token=USDC</t>
        </is>
      </c>
      <c r="O69" s="4" t="inlineStr">
        <is>
          <t>https://app.debridge.com/?inputChain=8453&amp;outputChain=7565164&amp;inputCurrency=0x833589fcd6edb6e08f4c7c32d4f71b54bda02913&amp;outputCurrency=EPjFWdd5AufqSSqeM2qN1xzybapC8G4wEGGkZwyTDt1v&amp;dlnMode=simple</t>
        </is>
      </c>
      <c r="P69" s="4" t="inlineStr">
        <is>
          <t>20260923T141817Z</t>
        </is>
      </c>
      <c r="Q69" s="4" t="inlineStr">
        <is>
          <t>2026-09-23T14:21:44.560Z</t>
        </is>
      </c>
      <c r="R69" s="4" t="inlineStr">
        <is>
          <t>2026-09-23T14:21:42.874Z</t>
        </is>
      </c>
      <c r="S69" s="13" t="n">
        <v>0.008</v>
      </c>
    </row>
    <row r="70">
      <c r="A70" s="4" t="inlineStr">
        <is>
          <t>21aa030fe856</t>
        </is>
      </c>
      <c r="B70" s="4" t="inlineStr">
        <is>
          <t>Base-&gt;SOL</t>
        </is>
      </c>
      <c r="C70" s="4" t="n">
        <v>1</v>
      </c>
      <c r="D70" s="4" t="inlineStr">
        <is>
          <t>LI.FI (Jumper)</t>
        </is>
      </c>
      <c r="E70" s="4" t="inlineStr">
        <is>
          <t>venue</t>
        </is>
      </c>
      <c r="F70" s="4" t="inlineStr">
        <is>
          <t>OK</t>
        </is>
      </c>
      <c r="G70" s="4" t="inlineStr">
        <is>
          <t>2026-09-23T14:21:37.203Z</t>
        </is>
      </c>
      <c r="H70" s="4" t="inlineStr">
        <is>
          <t>2026-09-23T14:21:40.400Z</t>
        </is>
      </c>
      <c r="I70" s="4" t="inlineStr">
        <is>
          <t>2026-09-23T14:21:44.594Z</t>
        </is>
      </c>
      <c r="J70" s="13" t="n">
        <v>0.004</v>
      </c>
      <c r="K70" s="19" t="n">
        <v>100</v>
      </c>
      <c r="L70" s="20" t="n"/>
      <c r="M70" s="4" t="n"/>
      <c r="N70" s="4" t="inlineStr">
        <is>
          <t>best_return_venue=Polymer (Standard); max_out=100.0</t>
        </is>
      </c>
      <c r="O70" s="4" t="inlineStr">
        <is>
          <t>https://jumper.xyz/?fromChain=8453&amp;fromToken=0x833589fcd6edb6e08f4c7c32d4f71b54bda02913&amp;toChain=1151111081099710&amp;toToken=EPjFWdd5AufqSSqeM2qN1xzybapC8G4wEGGkZwyTDt1v</t>
        </is>
      </c>
      <c r="P70" s="4" t="inlineStr">
        <is>
          <t>20260923T141817Z</t>
        </is>
      </c>
      <c r="Q70" s="4" t="inlineStr">
        <is>
          <t>2026-09-23T14:21:44.558Z</t>
        </is>
      </c>
      <c r="R70" s="4" t="inlineStr">
        <is>
          <t>2026-09-23T14:21:42.762Z</t>
        </is>
      </c>
      <c r="S70" s="13" t="n">
        <v>0.008</v>
      </c>
    </row>
    <row r="71">
      <c r="A71" s="4" t="inlineStr">
        <is>
          <t>21aa030fe856</t>
        </is>
      </c>
      <c r="B71" s="4" t="inlineStr">
        <is>
          <t>Base-&gt;SOL</t>
        </is>
      </c>
      <c r="C71" s="4" t="n">
        <v>1</v>
      </c>
      <c r="D71" s="4" t="inlineStr">
        <is>
          <t>Across</t>
        </is>
      </c>
      <c r="E71" s="4" t="inlineStr">
        <is>
          <t>venue</t>
        </is>
      </c>
      <c r="F71" s="4" t="inlineStr">
        <is>
          <t>OK</t>
        </is>
      </c>
      <c r="G71" s="4" t="inlineStr">
        <is>
          <t>2026-09-23T14:21:37.183Z</t>
        </is>
      </c>
      <c r="H71" s="4" t="inlineStr">
        <is>
          <t>2026-09-23T14:21:39.362Z</t>
        </is>
      </c>
      <c r="I71" s="4" t="inlineStr">
        <is>
          <t>2026-09-23T14:21:44.590Z</t>
        </is>
      </c>
      <c r="J71" s="13" t="n">
        <v>0.004</v>
      </c>
      <c r="K71" s="19" t="n">
        <v>99.98699999999999</v>
      </c>
      <c r="L71" s="20" t="n"/>
      <c r="M71" s="4" t="n"/>
      <c r="N71" s="4" t="inlineStr"/>
      <c r="O71" s="4" t="inlineStr">
        <is>
          <t>https://across.to/?from=base&amp;to=solana&amp;inputToken=USDC&amp;outputToken=USDC</t>
        </is>
      </c>
      <c r="P71" s="4" t="inlineStr">
        <is>
          <t>20260923T141817Z</t>
        </is>
      </c>
      <c r="Q71" s="4" t="inlineStr">
        <is>
          <t>2026-09-23T14:21:44.558Z</t>
        </is>
      </c>
      <c r="R71" s="4" t="inlineStr">
        <is>
          <t>2026-09-23T14:21:41.478Z</t>
        </is>
      </c>
      <c r="S71" s="13" t="n">
        <v>0.008</v>
      </c>
    </row>
    <row r="72">
      <c r="A72" s="4" t="inlineStr">
        <is>
          <t>21aa030fe856</t>
        </is>
      </c>
      <c r="B72" s="4" t="inlineStr">
        <is>
          <t>Base-&gt;SOL</t>
        </is>
      </c>
      <c r="C72" s="4" t="n">
        <v>1</v>
      </c>
      <c r="D72" s="4" t="inlineStr">
        <is>
          <t>Mayan</t>
        </is>
      </c>
      <c r="E72" s="4" t="inlineStr">
        <is>
          <t>venue</t>
        </is>
      </c>
      <c r="F72" s="4" t="inlineStr">
        <is>
          <t>OK</t>
        </is>
      </c>
      <c r="G72" s="4" t="inlineStr">
        <is>
          <t>2026-09-23T14:21:37.180Z</t>
        </is>
      </c>
      <c r="H72" s="4" t="inlineStr">
        <is>
          <t>2026-09-23T14:21:38.952Z</t>
        </is>
      </c>
      <c r="I72" s="4" t="inlineStr">
        <is>
          <t>2026-09-23T14:21:44.585Z</t>
        </is>
      </c>
      <c r="J72" s="13" t="n">
        <v>0.005</v>
      </c>
      <c r="K72" s="19" t="n">
        <v>99.685</v>
      </c>
      <c r="L72" s="20" t="n"/>
      <c r="M72" s="4" t="n"/>
      <c r="N72" s="4" t="inlineStr">
        <is>
          <t>mode=Swift v2; eta=3s; display_decimals=3</t>
        </is>
      </c>
      <c r="O72" s="4" t="inlineStr">
        <is>
          <t>https://swap.mayan.finance/</t>
        </is>
      </c>
      <c r="P72" s="4" t="inlineStr">
        <is>
          <t>20260923T141817Z</t>
        </is>
      </c>
      <c r="Q72" s="4" t="inlineStr">
        <is>
          <t>2026-09-23T14:21:44.557Z</t>
        </is>
      </c>
      <c r="R72" s="4" t="inlineStr">
        <is>
          <t>2026-09-23T14:21:41.476Z</t>
        </is>
      </c>
      <c r="S72" s="13" t="n">
        <v>0.008</v>
      </c>
    </row>
    <row r="73">
      <c r="A73" s="4" t="inlineStr">
        <is>
          <t>21aa030fe856</t>
        </is>
      </c>
      <c r="B73" s="4" t="inlineStr">
        <is>
          <t>Base-&gt;SOL</t>
        </is>
      </c>
      <c r="C73" s="4" t="n">
        <v>1</v>
      </c>
      <c r="D73" s="4" t="inlineStr">
        <is>
          <t>Allbridge Core</t>
        </is>
      </c>
      <c r="E73" s="4" t="inlineStr">
        <is>
          <t>venue</t>
        </is>
      </c>
      <c r="F73" s="4" t="inlineStr">
        <is>
          <t>OK</t>
        </is>
      </c>
      <c r="G73" s="4" t="inlineStr">
        <is>
          <t>2026-09-23T14:21:37.192Z</t>
        </is>
      </c>
      <c r="H73" s="4" t="inlineStr">
        <is>
          <t>2026-09-23T14:21:40.259Z</t>
        </is>
      </c>
      <c r="I73" s="4" t="inlineStr">
        <is>
          <t>2026-09-23T14:21:45.658Z</t>
        </is>
      </c>
      <c r="J73" s="13" t="n">
        <v>0.001</v>
      </c>
      <c r="K73" s="19" t="n">
        <v>99.90000000000001</v>
      </c>
      <c r="L73" s="20" t="n">
        <v>0.000136</v>
      </c>
      <c r="M73" s="4" t="inlineStr">
        <is>
          <t>ETH (relayer fee, fee=native)</t>
        </is>
      </c>
      <c r="N73" s="4" t="inlineStr">
        <is>
          <t>out_input_box=99.9; out_details_2dp=99.9; fixed_fee_on_top=0.000136; fixed_fee_token=ETH (relayer fee, fee=native); transfer_fee=0.10 USDC; messenger=CCTP; eta=~24 min; display_decimals=1; picked=['USDC from Base', 'USDC to Solana']</t>
        </is>
      </c>
      <c r="O73" s="4" t="inlineStr">
        <is>
          <t>https://core.allbridge.io/?fee=native&amp;ft=USDC&amp;tt=USDC&amp;f=BAS&amp;t=SOL</t>
        </is>
      </c>
      <c r="P73" s="4" t="inlineStr">
        <is>
          <t>20260923T141817Z</t>
        </is>
      </c>
      <c r="Q73" s="4" t="inlineStr">
        <is>
          <t>2026-09-23T14:21:44.563Z</t>
        </is>
      </c>
      <c r="R73" s="4" t="inlineStr">
        <is>
          <t>2026-09-23T14:21:43.332Z</t>
        </is>
      </c>
      <c r="S73" s="13" t="n">
        <v>0.008</v>
      </c>
    </row>
    <row r="74">
      <c r="A74" s="4" t="inlineStr">
        <is>
          <t>21aa030fe856</t>
        </is>
      </c>
      <c r="B74" s="4" t="inlineStr">
        <is>
          <t>Base-&gt;SOL</t>
        </is>
      </c>
      <c r="C74" s="4" t="n">
        <v>1</v>
      </c>
      <c r="D74" s="4" t="inlineStr">
        <is>
          <t>CCTP (via Portal)</t>
        </is>
      </c>
      <c r="E74" s="4" t="inlineStr">
        <is>
          <t>venue</t>
        </is>
      </c>
      <c r="F74" s="4" t="inlineStr">
        <is>
          <t>OK</t>
        </is>
      </c>
      <c r="G74" s="4" t="inlineStr">
        <is>
          <t>2026-09-23T14:21:37.234Z</t>
        </is>
      </c>
      <c r="H74" s="4" t="inlineStr">
        <is>
          <t>2026-09-23T14:21:42.201Z</t>
        </is>
      </c>
      <c r="I74" s="4" t="inlineStr">
        <is>
          <t>2026-09-23T14:21:44.731Z</t>
        </is>
      </c>
      <c r="J74" s="13" t="n">
        <v>0.006</v>
      </c>
      <c r="K74" s="19" t="n">
        <v>99.977001</v>
      </c>
      <c r="L74" s="20" t="n"/>
      <c r="M74" s="4" t="n"/>
      <c r="N74" s="4" t="inlineStr">
        <is>
          <t>venue_ui=CCTP via Portal (portalbridge.com/usdc-bridge); messenger=Circle CCTP; route_type=CCTPv2FastExecutorRoute; eta=8 sec; usd_value=99.98; price_impact=-0.02%; fixed_fee_note=executor/relayer fee not shown without a wallet; display_decimals=6</t>
        </is>
      </c>
      <c r="O74" s="4" t="inlineStr">
        <is>
          <t>https://portalbridge.com/usdc-bridge?fromChain=Base&amp;fromToken=USDC&amp;toChain=Solana&amp;toToken=USDC</t>
        </is>
      </c>
      <c r="P74" s="4" t="inlineStr">
        <is>
          <t>20260923T141817Z</t>
        </is>
      </c>
      <c r="Q74" s="4" t="inlineStr">
        <is>
          <t>2026-09-23T14:21:44.556Z</t>
        </is>
      </c>
      <c r="R74" s="4" t="inlineStr">
        <is>
          <t>2026-09-23T14:21:44.556Z</t>
        </is>
      </c>
      <c r="S74" s="13" t="n">
        <v>0.008</v>
      </c>
    </row>
    <row r="75">
      <c r="A75" s="4" t="inlineStr">
        <is>
          <t>21aa030fe856</t>
        </is>
      </c>
      <c r="B75" s="4" t="inlineStr">
        <is>
          <t>Base-&gt;SOL</t>
        </is>
      </c>
      <c r="C75" s="4" t="n">
        <v>1</v>
      </c>
      <c r="D75" s="4" t="inlineStr">
        <is>
          <t>Husher</t>
        </is>
      </c>
      <c r="E75" s="4" t="inlineStr">
        <is>
          <t>venue</t>
        </is>
      </c>
      <c r="F75" s="4" t="inlineStr">
        <is>
          <t>OK</t>
        </is>
      </c>
      <c r="G75" s="4" t="inlineStr">
        <is>
          <t>2026-09-23T14:21:37.206Z</t>
        </is>
      </c>
      <c r="H75" s="4" t="inlineStr">
        <is>
          <t>2026-09-23T14:21:40.560Z</t>
        </is>
      </c>
      <c r="I75" s="4" t="inlineStr">
        <is>
          <t>2026-09-23T14:21:44.783Z</t>
        </is>
      </c>
      <c r="J75" s="13" t="n">
        <v>0.002</v>
      </c>
      <c r="K75" s="19" t="n">
        <v>99.34999999999999</v>
      </c>
      <c r="L75" s="20" t="n"/>
      <c r="M75" s="4" t="n"/>
      <c r="N75" s="4" t="inlineStr">
        <is>
          <t>out_usd=$99.37; provider=Husher (Best Rate); rate_type=floating; fee_deducted=0.35; network_fee_deducted=0.3; api_receive=99.35000000; eta_s=40; display_decimals=2</t>
        </is>
      </c>
      <c r="O75" s="4" t="inlineStr">
        <is>
          <t>https://www.husher.io/</t>
        </is>
      </c>
      <c r="P75" s="4" t="inlineStr">
        <is>
          <t>20260923T141817Z</t>
        </is>
      </c>
      <c r="Q75" s="4" t="inlineStr">
        <is>
          <t>2026-09-23T14:21:44.560Z</t>
        </is>
      </c>
      <c r="R75" s="4" t="inlineStr">
        <is>
          <t>2026-09-23T14:21:42.873Z</t>
        </is>
      </c>
      <c r="S75" s="13" t="n">
        <v>0.008</v>
      </c>
    </row>
    <row r="76">
      <c r="A76" s="4" t="inlineStr">
        <is>
          <t>21aa030fe856</t>
        </is>
      </c>
      <c r="B76" s="4" t="inlineStr">
        <is>
          <t>Base-&gt;SOL</t>
        </is>
      </c>
      <c r="C76" s="4" t="n">
        <v>1</v>
      </c>
      <c r="D76" s="4" t="inlineStr">
        <is>
          <t>Layerswap</t>
        </is>
      </c>
      <c r="E76" s="4" t="inlineStr">
        <is>
          <t>venue</t>
        </is>
      </c>
      <c r="F76" s="4" t="inlineStr">
        <is>
          <t>OK</t>
        </is>
      </c>
      <c r="G76" s="4" t="inlineStr">
        <is>
          <t>2026-09-23T14:21:37.190Z</t>
        </is>
      </c>
      <c r="H76" s="4" t="inlineStr">
        <is>
          <t>2026-09-23T14:21:41.380Z</t>
        </is>
      </c>
      <c r="I76" s="4" t="inlineStr">
        <is>
          <t>2026-09-23T14:21:44.815Z</t>
        </is>
      </c>
      <c r="J76" s="13" t="n">
        <v>0.001</v>
      </c>
      <c r="K76" s="19" t="n">
        <v>99.68203099999999</v>
      </c>
      <c r="L76" s="20" t="n"/>
      <c r="M76" s="4" t="n"/>
      <c r="N76" s="4" t="inlineStr">
        <is>
          <t>out_usd=$99.66; fee_usd=0.32; slippage=0.00%; eta=22 secs; to_token=USDC; to_chain=Solana; display_decimals=6</t>
        </is>
      </c>
      <c r="O76" s="4" t="inlineStr">
        <is>
          <t>https://layerswap.io/app?from=BASE_MAINNET&amp;to=SOLANA_MAINNET&amp;fromAsset=USDC&amp;toAsset=USDC</t>
        </is>
      </c>
      <c r="P76" s="4" t="inlineStr">
        <is>
          <t>20260923T141817Z</t>
        </is>
      </c>
      <c r="Q76" s="4" t="inlineStr">
        <is>
          <t>2026-09-23T14:21:44.563Z</t>
        </is>
      </c>
      <c r="R76" s="4" t="inlineStr">
        <is>
          <t>2026-09-23T14:21:43.643Z</t>
        </is>
      </c>
      <c r="S76" s="13" t="n">
        <v>0.008</v>
      </c>
    </row>
    <row r="77">
      <c r="A77" s="4" t="inlineStr">
        <is>
          <t>21aa030fe856</t>
        </is>
      </c>
      <c r="B77" s="4" t="inlineStr">
        <is>
          <t>Base-&gt;SOL</t>
        </is>
      </c>
      <c r="C77" s="4" t="n">
        <v>1</v>
      </c>
      <c r="D77" s="4" t="inlineStr">
        <is>
          <t>Meson</t>
        </is>
      </c>
      <c r="E77" s="4" t="inlineStr">
        <is>
          <t>venue</t>
        </is>
      </c>
      <c r="F77" s="4" t="inlineStr">
        <is>
          <t>OK</t>
        </is>
      </c>
      <c r="G77" s="4" t="inlineStr">
        <is>
          <t>2026-09-23T14:21:37.204Z</t>
        </is>
      </c>
      <c r="H77" s="4" t="inlineStr">
        <is>
          <t>2026-09-23T14:21:38.379Z</t>
        </is>
      </c>
      <c r="I77" s="4" t="inlineStr">
        <is>
          <t>2026-09-23T14:21:44.590Z</t>
        </is>
      </c>
      <c r="J77" s="13" t="n">
        <v>0.005</v>
      </c>
      <c r="K77" s="19" t="n">
        <v>99.59999999999999</v>
      </c>
      <c r="L77" s="20" t="n">
        <v>0</v>
      </c>
      <c r="M77" s="4" t="n"/>
      <c r="N77" s="4" t="inlineStr">
        <is>
          <t>fees_deducted=[['Fee', 0.4, 'USDC']]; fee_total=0.4; fixed_fee_on_top=0.0; display_decimals=1</t>
        </is>
      </c>
      <c r="O77" s="4" t="inlineStr">
        <is>
          <t>https://meson.fi/swap</t>
        </is>
      </c>
      <c r="P77" s="4" t="inlineStr">
        <is>
          <t>20260923T141817Z</t>
        </is>
      </c>
      <c r="Q77" s="4" t="inlineStr">
        <is>
          <t>2026-09-23T14:21:44.557Z</t>
        </is>
      </c>
      <c r="R77" s="4" t="inlineStr">
        <is>
          <t>2026-09-23T14:21:40.560Z</t>
        </is>
      </c>
      <c r="S77" s="13" t="n">
        <v>0.008</v>
      </c>
    </row>
    <row r="78">
      <c r="A78" s="4" t="inlineStr">
        <is>
          <t>21aa030fe856</t>
        </is>
      </c>
      <c r="B78" s="4" t="inlineStr">
        <is>
          <t>Base-&gt;SOL</t>
        </is>
      </c>
      <c r="C78" s="4" t="n">
        <v>1</v>
      </c>
      <c r="D78" s="4" t="inlineStr">
        <is>
          <t>OpenSea</t>
        </is>
      </c>
      <c r="E78" s="4" t="inlineStr">
        <is>
          <t>platform</t>
        </is>
      </c>
      <c r="F78" s="4" t="inlineStr">
        <is>
          <t>OK</t>
        </is>
      </c>
      <c r="G78" s="4" t="inlineStr">
        <is>
          <t>2026-09-23T14:21:37.195Z</t>
        </is>
      </c>
      <c r="H78" s="4" t="inlineStr">
        <is>
          <t>2026-09-23T14:21:41.545Z</t>
        </is>
      </c>
      <c r="I78" s="4" t="inlineStr">
        <is>
          <t>2026-09-23T14:21:44.908Z</t>
        </is>
      </c>
      <c r="J78" s="13" t="n">
        <v>0.002</v>
      </c>
      <c r="K78" s="19" t="n">
        <v>99.7453</v>
      </c>
      <c r="L78" s="20" t="n">
        <v>0.02</v>
      </c>
      <c r="M78" s="4" t="inlineStr">
        <is>
          <t>native (gas, USD shown)</t>
        </is>
      </c>
      <c r="N78" s="4" t="inlineStr">
        <is>
          <t>out_usd=$99.72; provider=Relay; fee_total_usd=0.25; provider_fee_usd=0.22; provider_fee_pct=0.22%; provider_fee_deducted=True; opensea_fee_usd=0.0; opensea_fee_pct=0%; gas_fee_usd=0.02; gas_fee_display=$0.02; fixed_fee_on_top=0.02; fixed_fee_token=native (gas, USD shown); price_impact=(-$0.03) -0.03</t>
        </is>
      </c>
      <c r="O78" s="4" t="inlineStr">
        <is>
          <t>https://opensea.io/swap?fromChain=base&amp;fromAddress=0x833589fcd6edb6e08f4c7c32d4f71b54bda02913&amp;toChain=solana&amp;toAddress=EPjFWdd5AufqSSqeM2qN1xzybapC8G4wEGGkZwyTDt1v</t>
        </is>
      </c>
      <c r="P78" s="4" t="inlineStr">
        <is>
          <t>20260923T141817Z</t>
        </is>
      </c>
      <c r="Q78" s="4" t="inlineStr">
        <is>
          <t>2026-09-23T14:21:44.564Z</t>
        </is>
      </c>
      <c r="R78" s="4" t="inlineStr">
        <is>
          <t>2026-09-23T14:21:43.645Z</t>
        </is>
      </c>
      <c r="S78" s="13" t="n">
        <v>0.008</v>
      </c>
    </row>
    <row r="79">
      <c r="A79" s="4" t="inlineStr">
        <is>
          <t>21aa030fe856</t>
        </is>
      </c>
      <c r="B79" s="4" t="inlineStr">
        <is>
          <t>Base-&gt;SOL</t>
        </is>
      </c>
      <c r="C79" s="4" t="n">
        <v>1</v>
      </c>
      <c r="D79" s="4" t="inlineStr">
        <is>
          <t>SimpleSwap</t>
        </is>
      </c>
      <c r="E79" s="4" t="inlineStr">
        <is>
          <t>venue</t>
        </is>
      </c>
      <c r="F79" s="4" t="inlineStr">
        <is>
          <t>OK</t>
        </is>
      </c>
      <c r="G79" s="4" t="inlineStr">
        <is>
          <t>2026-09-23T14:21:37.207Z</t>
        </is>
      </c>
      <c r="H79" s="4" t="inlineStr">
        <is>
          <t>2026-09-23T14:21:40.852Z</t>
        </is>
      </c>
      <c r="I79" s="4" t="inlineStr">
        <is>
          <t>2026-09-23T14:21:45.628Z</t>
        </is>
      </c>
      <c r="J79" s="13" t="n">
        <v>0.001</v>
      </c>
      <c r="K79" s="19" t="n">
        <v>98.485001</v>
      </c>
      <c r="L79" s="20" t="n">
        <v>0</v>
      </c>
      <c r="M79" s="4" t="inlineStr">
        <is>
          <t>USDC</t>
        </is>
      </c>
      <c r="N79" s="4" t="inlineStr">
        <is>
          <t>best_card_out=98.485001; selected_card=Best rate / Decentralized; rate_type=floating; fixed_fee_on_top=0.0; fixed_fee_token=USDC; display_decimals=6; small_sum_warning=False</t>
        </is>
      </c>
      <c r="O79" s="4" t="inlineStr">
        <is>
          <t>https://simpleswap.io/?from=usdc-base&amp;to=usdc-sol</t>
        </is>
      </c>
      <c r="P79" s="4" t="inlineStr">
        <is>
          <t>20260923T141817Z</t>
        </is>
      </c>
      <c r="Q79" s="4" t="inlineStr">
        <is>
          <t>2026-09-23T14:21:44.561Z</t>
        </is>
      </c>
      <c r="R79" s="4" t="inlineStr">
        <is>
          <t>2026-09-23T14:21:42.940Z</t>
        </is>
      </c>
      <c r="S79" s="13" t="n">
        <v>0.008</v>
      </c>
    </row>
    <row r="80">
      <c r="A80" s="4" t="inlineStr">
        <is>
          <t>21aa030fe856</t>
        </is>
      </c>
      <c r="B80" s="4" t="inlineStr">
        <is>
          <t>Base-&gt;SOL</t>
        </is>
      </c>
      <c r="C80" s="4" t="n">
        <v>1</v>
      </c>
      <c r="D80" s="4" t="inlineStr">
        <is>
          <t>Skip Go</t>
        </is>
      </c>
      <c r="E80" s="4" t="inlineStr">
        <is>
          <t>venue</t>
        </is>
      </c>
      <c r="F80" s="4" t="inlineStr">
        <is>
          <t>OK</t>
        </is>
      </c>
      <c r="G80" s="4" t="inlineStr">
        <is>
          <t>2026-09-23T14:21:37.186Z</t>
        </is>
      </c>
      <c r="H80" s="4" t="inlineStr">
        <is>
          <t>2026-09-23T14:21:40.571Z</t>
        </is>
      </c>
      <c r="I80" s="4" t="inlineStr">
        <is>
          <t>2026-09-23T14:21:44.782Z</t>
        </is>
      </c>
      <c r="J80" s="13" t="n">
        <v>0.001</v>
      </c>
      <c r="K80" s="19" t="n">
        <v>99.72471</v>
      </c>
      <c r="L80" s="20" t="n"/>
      <c r="M80" s="4" t="n"/>
      <c r="N80" s="4" t="inlineStr">
        <is>
          <t>fees_usd_in_quote=0.28; eta=2 mins; usd_values=['99.98', '99.70']; display_decimals=5</t>
        </is>
      </c>
      <c r="O80" s="4" t="inlineStr">
        <is>
          <t>https://go.skip.build/?src_chain=8453&amp;src_asset=0x833589fcd6edb6e08f4c7c32d4f71b54bda02913&amp;dest_chain=solana&amp;dest_asset=EPjFWdd5AufqSSqeM2qN1xzybapC8G4wEGGkZwyTDt1v</t>
        </is>
      </c>
      <c r="P80" s="4" t="inlineStr">
        <is>
          <t>20260923T141817Z</t>
        </is>
      </c>
      <c r="Q80" s="4" t="inlineStr">
        <is>
          <t>2026-09-23T14:21:44.561Z</t>
        </is>
      </c>
      <c r="R80" s="4" t="inlineStr">
        <is>
          <t>2026-09-23T14:21:42.874Z</t>
        </is>
      </c>
      <c r="S80" s="13" t="n">
        <v>0.008</v>
      </c>
    </row>
    <row r="81">
      <c r="A81" s="4" t="inlineStr">
        <is>
          <t>21aa030fe856</t>
        </is>
      </c>
      <c r="B81" s="4" t="inlineStr">
        <is>
          <t>Base-&gt;SOL</t>
        </is>
      </c>
      <c r="C81" s="4" t="n">
        <v>1</v>
      </c>
      <c r="D81" s="4" t="inlineStr">
        <is>
          <t>Symbiosis</t>
        </is>
      </c>
      <c r="E81" s="4" t="inlineStr">
        <is>
          <t>venue</t>
        </is>
      </c>
      <c r="F81" s="4" t="inlineStr">
        <is>
          <t>OK</t>
        </is>
      </c>
      <c r="G81" s="4" t="inlineStr">
        <is>
          <t>2026-09-23T14:21:37.183Z</t>
        </is>
      </c>
      <c r="H81" s="4" t="inlineStr">
        <is>
          <t>2026-09-23T14:21:41.535Z</t>
        </is>
      </c>
      <c r="I81" s="4" t="inlineStr">
        <is>
          <t>2026-09-23T14:21:44.899Z</t>
        </is>
      </c>
      <c r="J81" s="13" t="n">
        <v>0.001</v>
      </c>
      <c r="K81" s="19" t="n">
        <v>98.351938</v>
      </c>
      <c r="L81" s="20" t="n">
        <v>0</v>
      </c>
      <c r="M81" s="4" t="n"/>
      <c r="N81" s="4" t="inlineStr">
        <is>
          <t>min_received=97.8601; fee_usd_deducted=1.52; eta=2 - 3 Min; price_impact=-0.08%; slippage=2%; route=Swap on Base; fixed_fee_on_top=0.0; display_decimals=6</t>
        </is>
      </c>
      <c r="O81" s="4" t="inlineStr">
        <is>
          <t>https://app.symbiosis.finance/swap?chainIn=Base&amp;chainOut=Solana&amp;tokenIn=0x833589fcd6edb6e08f4c7c32d4f71b54bda02913&amp;tokenOut=0x0000000000000000000000000000000000000003</t>
        </is>
      </c>
      <c r="P81" s="4" t="inlineStr">
        <is>
          <t>20260923T141817Z</t>
        </is>
      </c>
      <c r="Q81" s="4" t="inlineStr">
        <is>
          <t>2026-09-23T14:21:44.563Z</t>
        </is>
      </c>
      <c r="R81" s="4" t="inlineStr">
        <is>
          <t>2026-09-23T14:21:43.644Z</t>
        </is>
      </c>
      <c r="S81" s="13" t="n">
        <v>0.008</v>
      </c>
    </row>
    <row r="82">
      <c r="A82" s="4" t="inlineStr">
        <is>
          <t>98a832663b80</t>
        </is>
      </c>
      <c r="B82" s="4" t="inlineStr">
        <is>
          <t>SOL-&gt;ETH</t>
        </is>
      </c>
      <c r="C82" s="4" t="n">
        <v>2</v>
      </c>
      <c r="D82" s="4" t="inlineStr">
        <is>
          <t>Bridg</t>
        </is>
      </c>
      <c r="E82" s="4" t="inlineStr">
        <is>
          <t>bridg</t>
        </is>
      </c>
      <c r="F82" s="4" t="inlineStr">
        <is>
          <t>OK</t>
        </is>
      </c>
      <c r="G82" s="4" t="inlineStr">
        <is>
          <t>2026-09-23T14:22:16.319Z</t>
        </is>
      </c>
      <c r="H82" s="4" t="inlineStr">
        <is>
          <t>2026-09-23T14:22:17.847Z</t>
        </is>
      </c>
      <c r="I82" s="4" t="inlineStr">
        <is>
          <t>2026-09-23T14:22:28.676Z</t>
        </is>
      </c>
      <c r="J82" s="13" t="n"/>
      <c r="K82" s="19" t="n">
        <v>99.84001499999999</v>
      </c>
      <c r="L82" s="20" t="n"/>
      <c r="M82" s="4" t="n"/>
      <c r="N82" s="4" t="inlineStr">
        <is>
          <t>best via Across; 16 venues priced; fees [['Across fee', 0.009985], ['Bridg fee', 0.15]]</t>
        </is>
      </c>
      <c r="O82" s="4" t="inlineStr">
        <is>
          <t>https://bridg.now/swap/</t>
        </is>
      </c>
      <c r="P82" s="4" t="inlineStr">
        <is>
          <t>20260923T141817Z</t>
        </is>
      </c>
      <c r="Q82" s="4" t="inlineStr">
        <is>
          <t>2026-09-23T14:22:28.648Z</t>
        </is>
      </c>
      <c r="R82" s="4" t="inlineStr">
        <is>
          <t>2026-09-23T14:22:21.965Z</t>
        </is>
      </c>
      <c r="S82" s="13" t="n">
        <v>0.01</v>
      </c>
    </row>
    <row r="83">
      <c r="A83" s="4" t="inlineStr">
        <is>
          <t>98a832663b80</t>
        </is>
      </c>
      <c r="B83" s="4" t="inlineStr">
        <is>
          <t>SOL-&gt;ETH</t>
        </is>
      </c>
      <c r="C83" s="4" t="n">
        <v>2</v>
      </c>
      <c r="D83" s="4" t="inlineStr">
        <is>
          <t>Relay</t>
        </is>
      </c>
      <c r="E83" s="4" t="inlineStr">
        <is>
          <t>venue</t>
        </is>
      </c>
      <c r="F83" s="4" t="inlineStr">
        <is>
          <t>OK</t>
        </is>
      </c>
      <c r="G83" s="4" t="inlineStr">
        <is>
          <t>2026-09-23T14:22:16.318Z</t>
        </is>
      </c>
      <c r="H83" s="4" t="inlineStr">
        <is>
          <t>2026-09-23T14:22:18.601Z</t>
        </is>
      </c>
      <c r="I83" s="4" t="inlineStr">
        <is>
          <t>2026-09-23T14:22:28.670Z</t>
        </is>
      </c>
      <c r="J83" s="13" t="n">
        <v>0.003</v>
      </c>
      <c r="K83" s="19" t="n">
        <v>99.087326</v>
      </c>
      <c r="L83" s="20" t="n"/>
      <c r="M83" s="4" t="n"/>
      <c r="N83" s="4" t="inlineStr">
        <is>
          <t>rate=0.9908</t>
        </is>
      </c>
      <c r="O83" s="4" t="inlineStr">
        <is>
          <t>https://relay.link/bridge/ethereum?fromChainId=792703809&amp;fromCurrency=EPjFWdd5AufqSSqeM2qN1xzybapC8G4wEGGkZwyTDt1v&amp;toCurrency=0xa0b86991c6218b36c1d19d4a2e9eb0ce3606eb48</t>
        </is>
      </c>
      <c r="P83" s="4" t="inlineStr">
        <is>
          <t>20260923T141817Z</t>
        </is>
      </c>
      <c r="Q83" s="4" t="inlineStr">
        <is>
          <t>2026-09-23T14:22:28.645Z</t>
        </is>
      </c>
      <c r="R83" s="4" t="inlineStr">
        <is>
          <t>2026-09-23T14:22:20.738Z</t>
        </is>
      </c>
      <c r="S83" s="13" t="n">
        <v>0.01</v>
      </c>
    </row>
    <row r="84">
      <c r="A84" s="4" t="inlineStr">
        <is>
          <t>98a832663b80</t>
        </is>
      </c>
      <c r="B84" s="4" t="inlineStr">
        <is>
          <t>SOL-&gt;ETH</t>
        </is>
      </c>
      <c r="C84" s="4" t="n">
        <v>2</v>
      </c>
      <c r="D84" s="4" t="inlineStr">
        <is>
          <t>deBridge</t>
        </is>
      </c>
      <c r="E84" s="4" t="inlineStr">
        <is>
          <t>venue</t>
        </is>
      </c>
      <c r="F84" s="4" t="inlineStr">
        <is>
          <t>OK</t>
        </is>
      </c>
      <c r="G84" s="4" t="inlineStr">
        <is>
          <t>2026-09-23T14:22:16.317Z</t>
        </is>
      </c>
      <c r="H84" s="4" t="inlineStr">
        <is>
          <t>2026-09-23T14:22:18.511Z</t>
        </is>
      </c>
      <c r="I84" s="4" t="inlineStr">
        <is>
          <t>2026-09-23T14:22:28.671Z</t>
        </is>
      </c>
      <c r="J84" s="13" t="n">
        <v>0.002</v>
      </c>
      <c r="K84" s="19" t="n">
        <v>99.920018</v>
      </c>
      <c r="L84" s="20" t="n">
        <v>3.2734</v>
      </c>
      <c r="M84" s="4" t="inlineStr">
        <is>
          <t>USDC</t>
        </is>
      </c>
      <c r="N84" s="4" t="inlineStr">
        <is>
          <t>fixed_fee_on_top=3.2734; fixed_fee_token=USDC</t>
        </is>
      </c>
      <c r="O84" s="4" t="inlineStr">
        <is>
          <t>https://app.debridge.com/?inputChain=7565164&amp;outputChain=1&amp;inputCurrency=EPjFWdd5AufqSSqeM2qN1xzybapC8G4wEGGkZwyTDt1v&amp;outputCurrency=0xa0b86991c6218b36c1d19d4a2e9eb0ce3606eb48&amp;dlnMode=simple</t>
        </is>
      </c>
      <c r="P84" s="4" t="inlineStr">
        <is>
          <t>20260923T141817Z</t>
        </is>
      </c>
      <c r="Q84" s="4" t="inlineStr">
        <is>
          <t>2026-09-23T14:22:28.646Z</t>
        </is>
      </c>
      <c r="R84" s="4" t="inlineStr">
        <is>
          <t>2026-09-23T14:22:20.738Z</t>
        </is>
      </c>
      <c r="S84" s="13" t="n">
        <v>0.01</v>
      </c>
    </row>
    <row r="85">
      <c r="A85" s="4" t="inlineStr">
        <is>
          <t>98a832663b80</t>
        </is>
      </c>
      <c r="B85" s="4" t="inlineStr">
        <is>
          <t>SOL-&gt;ETH</t>
        </is>
      </c>
      <c r="C85" s="4" t="n">
        <v>2</v>
      </c>
      <c r="D85" s="4" t="inlineStr">
        <is>
          <t>LI.FI (Jumper)</t>
        </is>
      </c>
      <c r="E85" s="4" t="inlineStr">
        <is>
          <t>venue</t>
        </is>
      </c>
      <c r="F85" s="4" t="inlineStr">
        <is>
          <t>OK</t>
        </is>
      </c>
      <c r="G85" s="4" t="inlineStr">
        <is>
          <t>2026-09-23T14:22:16.319Z</t>
        </is>
      </c>
      <c r="H85" s="4" t="inlineStr">
        <is>
          <t>2026-09-23T14:22:20.712Z</t>
        </is>
      </c>
      <c r="I85" s="4" t="inlineStr">
        <is>
          <t>2026-09-23T14:22:28.663Z</t>
        </is>
      </c>
      <c r="J85" s="13" t="n">
        <v>0.002</v>
      </c>
      <c r="K85" s="19" t="n">
        <v>99.087326</v>
      </c>
      <c r="L85" s="20" t="n"/>
      <c r="M85" s="4" t="n"/>
      <c r="N85" s="4" t="inlineStr">
        <is>
          <t>best_return_venue=Relay; max_out=99.99</t>
        </is>
      </c>
      <c r="O85" s="4" t="inlineStr">
        <is>
          <t>https://jumper.xyz/?fromChain=1151111081099710&amp;fromToken=EPjFWdd5AufqSSqeM2qN1xzybapC8G4wEGGkZwyTDt1v&amp;toChain=1&amp;toToken=0xa0b86991c6218b36c1d19d4a2e9eb0ce3606eb48</t>
        </is>
      </c>
      <c r="P85" s="4" t="inlineStr">
        <is>
          <t>20260923T141817Z</t>
        </is>
      </c>
      <c r="Q85" s="4" t="inlineStr">
        <is>
          <t>2026-09-23T14:22:28.650Z</t>
        </is>
      </c>
      <c r="R85" s="4" t="inlineStr">
        <is>
          <t>2026-09-23T14:22:22.841Z</t>
        </is>
      </c>
      <c r="S85" s="13" t="n">
        <v>0.01</v>
      </c>
    </row>
    <row r="86">
      <c r="A86" s="4" t="inlineStr">
        <is>
          <t>98a832663b80</t>
        </is>
      </c>
      <c r="B86" s="4" t="inlineStr">
        <is>
          <t>SOL-&gt;ETH</t>
        </is>
      </c>
      <c r="C86" s="4" t="n">
        <v>2</v>
      </c>
      <c r="D86" s="4" t="inlineStr">
        <is>
          <t>Across</t>
        </is>
      </c>
      <c r="E86" s="4" t="inlineStr">
        <is>
          <t>venue</t>
        </is>
      </c>
      <c r="F86" s="4" t="inlineStr">
        <is>
          <t>OK</t>
        </is>
      </c>
      <c r="G86" s="4" t="inlineStr">
        <is>
          <t>2026-09-23T14:22:16.318Z</t>
        </is>
      </c>
      <c r="H86" s="4" t="inlineStr">
        <is>
          <t>2026-09-23T14:22:18.203Z</t>
        </is>
      </c>
      <c r="I86" s="4" t="inlineStr">
        <is>
          <t>2026-09-23T14:22:28.652Z</t>
        </is>
      </c>
      <c r="J86" s="13" t="n">
        <v>0.004</v>
      </c>
      <c r="K86" s="19" t="n">
        <v>99.98999999999999</v>
      </c>
      <c r="L86" s="20" t="n"/>
      <c r="M86" s="4" t="n"/>
      <c r="N86" s="4" t="inlineStr"/>
      <c r="O86" s="4" t="inlineStr">
        <is>
          <t>https://across.to/?from=solana&amp;to=ethereum&amp;inputToken=USDC&amp;outputToken=USDC</t>
        </is>
      </c>
      <c r="P86" s="4" t="inlineStr">
        <is>
          <t>20260923T141817Z</t>
        </is>
      </c>
      <c r="Q86" s="4" t="inlineStr">
        <is>
          <t>2026-09-23T14:22:28.644Z</t>
        </is>
      </c>
      <c r="R86" s="4" t="inlineStr">
        <is>
          <t>2026-09-23T14:22:20.549Z</t>
        </is>
      </c>
      <c r="S86" s="13" t="n">
        <v>0.01</v>
      </c>
    </row>
    <row r="87">
      <c r="A87" s="4" t="inlineStr">
        <is>
          <t>98a832663b80</t>
        </is>
      </c>
      <c r="B87" s="4" t="inlineStr">
        <is>
          <t>SOL-&gt;ETH</t>
        </is>
      </c>
      <c r="C87" s="4" t="n">
        <v>2</v>
      </c>
      <c r="D87" s="4" t="inlineStr">
        <is>
          <t>Mayan</t>
        </is>
      </c>
      <c r="E87" s="4" t="inlineStr">
        <is>
          <t>venue</t>
        </is>
      </c>
      <c r="F87" s="4" t="inlineStr">
        <is>
          <t>OK</t>
        </is>
      </c>
      <c r="G87" s="4" t="inlineStr">
        <is>
          <t>2026-09-23T14:22:16.315Z</t>
        </is>
      </c>
      <c r="H87" s="4" t="inlineStr">
        <is>
          <t>2026-09-23T14:22:17.685Z</t>
        </is>
      </c>
      <c r="I87" s="4" t="inlineStr">
        <is>
          <t>2026-09-23T14:22:28.652Z</t>
        </is>
      </c>
      <c r="J87" s="13" t="n">
        <v>0.005</v>
      </c>
      <c r="K87" s="19" t="n">
        <v>96.6844</v>
      </c>
      <c r="L87" s="20" t="n"/>
      <c r="M87" s="4" t="n"/>
      <c r="N87" s="4" t="inlineStr">
        <is>
          <t>mode=Swift v2; eta=3s; display_decimals=4</t>
        </is>
      </c>
      <c r="O87" s="4" t="inlineStr">
        <is>
          <t>https://swap.mayan.finance/</t>
        </is>
      </c>
      <c r="P87" s="4" t="inlineStr">
        <is>
          <t>20260923T141817Z</t>
        </is>
      </c>
      <c r="Q87" s="4" t="inlineStr">
        <is>
          <t>2026-09-23T14:22:28.643Z</t>
        </is>
      </c>
      <c r="R87" s="4" t="inlineStr">
        <is>
          <t>2026-09-23T14:22:19.906Z</t>
        </is>
      </c>
      <c r="S87" s="13" t="n">
        <v>0.01</v>
      </c>
    </row>
    <row r="88">
      <c r="A88" s="4" t="inlineStr">
        <is>
          <t>98a832663b80</t>
        </is>
      </c>
      <c r="B88" s="4" t="inlineStr">
        <is>
          <t>SOL-&gt;ETH</t>
        </is>
      </c>
      <c r="C88" s="4" t="n">
        <v>2</v>
      </c>
      <c r="D88" s="4" t="inlineStr">
        <is>
          <t>Allbridge Core</t>
        </is>
      </c>
      <c r="E88" s="4" t="inlineStr">
        <is>
          <t>venue</t>
        </is>
      </c>
      <c r="F88" s="4" t="inlineStr">
        <is>
          <t>OK</t>
        </is>
      </c>
      <c r="G88" s="4" t="inlineStr">
        <is>
          <t>2026-09-23T14:22:16.319Z</t>
        </is>
      </c>
      <c r="H88" s="4" t="inlineStr">
        <is>
          <t>2026-09-23T14:22:18.086Z</t>
        </is>
      </c>
      <c r="I88" s="4" t="inlineStr">
        <is>
          <t>2026-09-23T14:22:28.838Z</t>
        </is>
      </c>
      <c r="J88" s="13" t="n">
        <v>0.004</v>
      </c>
      <c r="K88" s="19" t="n">
        <v>99.90000000000001</v>
      </c>
      <c r="L88" s="20" t="n">
        <v>0.014082</v>
      </c>
      <c r="M88" s="4" t="inlineStr">
        <is>
          <t>SOL (relayer fee, fee=native)</t>
        </is>
      </c>
      <c r="N88" s="4" t="inlineStr">
        <is>
          <t>out_input_box=99.9; out_details_2dp=99.9; fixed_fee_on_top=0.014082; fixed_fee_token=SOL (relayer fee, fee=native); transfer_fee=0.10 USDC; messenger=CCTP; eta=~2 min; display_decimals=1; picked=['USDC from Solana', 'USDC to Ethereum']</t>
        </is>
      </c>
      <c r="O88" s="4" t="inlineStr">
        <is>
          <t>https://core.allbridge.io/?fee=native&amp;ft=USDC&amp;tt=USDC&amp;f=SOL&amp;t=ETH</t>
        </is>
      </c>
      <c r="P88" s="4" t="inlineStr">
        <is>
          <t>20260923T141817Z</t>
        </is>
      </c>
      <c r="Q88" s="4" t="inlineStr">
        <is>
          <t>2026-09-23T14:22:28.644Z</t>
        </is>
      </c>
      <c r="R88" s="4" t="inlineStr">
        <is>
          <t>2026-09-23T14:22:20.560Z</t>
        </is>
      </c>
      <c r="S88" s="13" t="n">
        <v>0.01</v>
      </c>
    </row>
    <row r="89">
      <c r="A89" s="4" t="inlineStr">
        <is>
          <t>98a832663b80</t>
        </is>
      </c>
      <c r="B89" s="4" t="inlineStr">
        <is>
          <t>SOL-&gt;ETH</t>
        </is>
      </c>
      <c r="C89" s="4" t="n">
        <v>2</v>
      </c>
      <c r="D89" s="4" t="inlineStr">
        <is>
          <t>CCTP (via Portal)</t>
        </is>
      </c>
      <c r="E89" s="4" t="inlineStr">
        <is>
          <t>venue</t>
        </is>
      </c>
      <c r="F89" s="4" t="inlineStr">
        <is>
          <t>OK</t>
        </is>
      </c>
      <c r="G89" s="4" t="inlineStr">
        <is>
          <t>2026-09-23T14:22:16.318Z</t>
        </is>
      </c>
      <c r="H89" s="4" t="inlineStr">
        <is>
          <t>2026-09-23T14:22:20.102Z</t>
        </is>
      </c>
      <c r="I89" s="4" t="inlineStr">
        <is>
          <t>2026-09-23T14:22:28.681Z</t>
        </is>
      </c>
      <c r="J89" s="13" t="n">
        <v>0.001</v>
      </c>
      <c r="K89" s="19" t="n">
        <v>99.98999999999999</v>
      </c>
      <c r="L89" s="20" t="n"/>
      <c r="M89" s="4" t="n"/>
      <c r="N89" s="4" t="inlineStr">
        <is>
          <t>venue_ui=CCTP via Portal (portalbridge.com/usdc-bridge); messenger=Circle CCTP; route_type=CCTPv2StandardExecutorRoute; eta=14 sec; usd_value=99.99; price_impact=-0.01%; fixed_fee_note=executor/relayer fee not shown without a wallet; display_decimals=2</t>
        </is>
      </c>
      <c r="O89" s="4" t="inlineStr">
        <is>
          <t>https://portalbridge.com/usdc-bridge?fromChain=Solana&amp;fromToken=USDC&amp;toChain=Ethereum&amp;toToken=USDC</t>
        </is>
      </c>
      <c r="P89" s="4" t="inlineStr">
        <is>
          <t>20260923T141817Z</t>
        </is>
      </c>
      <c r="Q89" s="4" t="inlineStr">
        <is>
          <t>2026-09-23T14:22:28.649Z</t>
        </is>
      </c>
      <c r="R89" s="4" t="inlineStr">
        <is>
          <t>2026-09-23T14:22:22.330Z</t>
        </is>
      </c>
      <c r="S89" s="13" t="n">
        <v>0.01</v>
      </c>
    </row>
    <row r="90">
      <c r="A90" s="4" t="inlineStr">
        <is>
          <t>98a832663b80</t>
        </is>
      </c>
      <c r="B90" s="4" t="inlineStr">
        <is>
          <t>SOL-&gt;ETH</t>
        </is>
      </c>
      <c r="C90" s="4" t="n">
        <v>2</v>
      </c>
      <c r="D90" s="4" t="inlineStr">
        <is>
          <t>Husher</t>
        </is>
      </c>
      <c r="E90" s="4" t="inlineStr">
        <is>
          <t>venue</t>
        </is>
      </c>
      <c r="F90" s="4" t="inlineStr">
        <is>
          <t>OK</t>
        </is>
      </c>
      <c r="G90" s="4" t="inlineStr">
        <is>
          <t>2026-09-23T14:22:16.320Z</t>
        </is>
      </c>
      <c r="H90" s="4" t="inlineStr">
        <is>
          <t>2026-09-23T14:22:18.196Z</t>
        </is>
      </c>
      <c r="I90" s="4" t="inlineStr">
        <is>
          <t>2026-09-23T14:22:28.667Z</t>
        </is>
      </c>
      <c r="J90" s="13" t="n">
        <v>0.005</v>
      </c>
      <c r="K90" s="19" t="n">
        <v>99.05</v>
      </c>
      <c r="L90" s="20" t="n"/>
      <c r="M90" s="4" t="n"/>
      <c r="N90" s="4" t="inlineStr">
        <is>
          <t>out_usd=$99.07; provider=Husher (Best Rate); rate_type=floating; fee_deducted=0.35; network_fee_deducted=0.6; api_receive=99.05000000; eta_s=40; display_decimals=2</t>
        </is>
      </c>
      <c r="O90" s="4" t="inlineStr">
        <is>
          <t>https://www.husher.io/</t>
        </is>
      </c>
      <c r="P90" s="4" t="inlineStr">
        <is>
          <t>20260923T141817Z</t>
        </is>
      </c>
      <c r="Q90" s="4" t="inlineStr">
        <is>
          <t>2026-09-23T14:22:28.643Z</t>
        </is>
      </c>
      <c r="R90" s="4" t="inlineStr">
        <is>
          <t>2026-09-23T14:22:20.421Z</t>
        </is>
      </c>
      <c r="S90" s="13" t="n">
        <v>0.01</v>
      </c>
    </row>
    <row r="91">
      <c r="A91" s="4" t="inlineStr">
        <is>
          <t>98a832663b80</t>
        </is>
      </c>
      <c r="B91" s="4" t="inlineStr">
        <is>
          <t>SOL-&gt;ETH</t>
        </is>
      </c>
      <c r="C91" s="4" t="n">
        <v>2</v>
      </c>
      <c r="D91" s="4" t="inlineStr">
        <is>
          <t>Layerswap</t>
        </is>
      </c>
      <c r="E91" s="4" t="inlineStr">
        <is>
          <t>venue</t>
        </is>
      </c>
      <c r="F91" s="4" t="inlineStr">
        <is>
          <t>OK</t>
        </is>
      </c>
      <c r="G91" s="4" t="inlineStr">
        <is>
          <t>2026-09-23T14:22:16.316Z</t>
        </is>
      </c>
      <c r="H91" s="4" t="inlineStr">
        <is>
          <t>2026-09-23T14:22:18.642Z</t>
        </is>
      </c>
      <c r="I91" s="4" t="inlineStr">
        <is>
          <t>2026-09-23T14:22:28.675Z</t>
        </is>
      </c>
      <c r="J91" s="13" t="n">
        <v>0.002</v>
      </c>
      <c r="K91" s="19" t="n">
        <v>99.717755</v>
      </c>
      <c r="L91" s="20" t="n"/>
      <c r="M91" s="4" t="n"/>
      <c r="N91" s="4" t="inlineStr">
        <is>
          <t>out_usd=$99.69; fee_usd=0.28; slippage=0.00%; eta=26 secs; to_token=USDC; to_chain=Ethereum; display_decimals=6</t>
        </is>
      </c>
      <c r="O91" s="4" t="inlineStr">
        <is>
          <t>https://layerswap.io/app?from=SOLANA_MAINNET&amp;to=ETHEREUM_MAINNET&amp;fromAsset=USDC&amp;toAsset=USDC</t>
        </is>
      </c>
      <c r="P91" s="4" t="inlineStr">
        <is>
          <t>20260923T141817Z</t>
        </is>
      </c>
      <c r="Q91" s="4" t="inlineStr">
        <is>
          <t>2026-09-23T14:22:28.646Z</t>
        </is>
      </c>
      <c r="R91" s="4" t="inlineStr">
        <is>
          <t>2026-09-23T14:22:20.738Z</t>
        </is>
      </c>
      <c r="S91" s="13" t="n">
        <v>0.01</v>
      </c>
    </row>
    <row r="92">
      <c r="A92" s="4" t="inlineStr">
        <is>
          <t>98a832663b80</t>
        </is>
      </c>
      <c r="B92" s="4" t="inlineStr">
        <is>
          <t>SOL-&gt;ETH</t>
        </is>
      </c>
      <c r="C92" s="4" t="n">
        <v>2</v>
      </c>
      <c r="D92" s="4" t="inlineStr">
        <is>
          <t>Meson</t>
        </is>
      </c>
      <c r="E92" s="4" t="inlineStr">
        <is>
          <t>venue</t>
        </is>
      </c>
      <c r="F92" s="4" t="inlineStr">
        <is>
          <t>OK</t>
        </is>
      </c>
      <c r="G92" s="4" t="inlineStr">
        <is>
          <t>2026-09-23T14:22:16.320Z</t>
        </is>
      </c>
      <c r="H92" s="4" t="inlineStr">
        <is>
          <t>2026-09-23T14:22:17.212Z</t>
        </is>
      </c>
      <c r="I92" s="4" t="inlineStr">
        <is>
          <t>2026-09-23T14:22:28.653Z</t>
        </is>
      </c>
      <c r="J92" s="13" t="n">
        <v>0.006</v>
      </c>
      <c r="K92" s="19" t="n">
        <v>98.37</v>
      </c>
      <c r="L92" s="20" t="n">
        <v>0</v>
      </c>
      <c r="M92" s="4" t="n"/>
      <c r="N92" s="4" t="inlineStr">
        <is>
          <t>fees_deducted=[['Fee', 1.63, 'USDC']]; fee_total=1.63; fixed_fee_on_top=0.0; display_decimals=2</t>
        </is>
      </c>
      <c r="O92" s="4" t="inlineStr">
        <is>
          <t>https://meson.fi/swap</t>
        </is>
      </c>
      <c r="P92" s="4" t="inlineStr">
        <is>
          <t>20260923T141817Z</t>
        </is>
      </c>
      <c r="Q92" s="4" t="inlineStr">
        <is>
          <t>2026-09-23T14:22:28.642Z</t>
        </is>
      </c>
      <c r="R92" s="4" t="inlineStr">
        <is>
          <t>2026-09-23T14:22:19.239Z</t>
        </is>
      </c>
      <c r="S92" s="13" t="n">
        <v>0.01</v>
      </c>
    </row>
    <row r="93">
      <c r="A93" s="4" t="inlineStr">
        <is>
          <t>98a832663b80</t>
        </is>
      </c>
      <c r="B93" s="4" t="inlineStr">
        <is>
          <t>SOL-&gt;ETH</t>
        </is>
      </c>
      <c r="C93" s="4" t="n">
        <v>2</v>
      </c>
      <c r="D93" s="4" t="inlineStr">
        <is>
          <t>OpenSea</t>
        </is>
      </c>
      <c r="E93" s="4" t="inlineStr">
        <is>
          <t>platform</t>
        </is>
      </c>
      <c r="F93" s="4" t="inlineStr">
        <is>
          <t>OK</t>
        </is>
      </c>
      <c r="G93" s="4" t="inlineStr">
        <is>
          <t>2026-09-23T14:22:16.319Z</t>
        </is>
      </c>
      <c r="H93" s="4" t="inlineStr">
        <is>
          <t>2026-09-23T14:22:22.327Z</t>
        </is>
      </c>
      <c r="I93" s="4" t="inlineStr">
        <is>
          <t>2026-09-23T14:22:31.668Z</t>
        </is>
      </c>
      <c r="J93" s="13" t="n">
        <v>0.008</v>
      </c>
      <c r="K93" s="19" t="n">
        <v>98.78740000000001</v>
      </c>
      <c r="L93" s="20" t="n"/>
      <c r="M93" s="4" t="n"/>
      <c r="N93" s="4" t="inlineStr">
        <is>
          <t>display_decimals=4</t>
        </is>
      </c>
      <c r="O93" s="4" t="inlineStr">
        <is>
          <t>https://opensea.io/swap?fromChain=solana&amp;fromAddress=EPjFWdd5AufqSSqeM2qN1xzybapC8G4wEGGkZwyTDt1v&amp;toChain=ethereum&amp;toAddress=0xa0b86991c6218b36c1d19d4a2e9eb0ce3606eb48</t>
        </is>
      </c>
      <c r="P93" s="4" t="inlineStr">
        <is>
          <t>20260923T141817Z</t>
        </is>
      </c>
      <c r="Q93" s="4" t="inlineStr">
        <is>
          <t>2026-09-23T14:22:28.640Z</t>
        </is>
      </c>
      <c r="R93" s="4" t="inlineStr">
        <is>
          <t>2026-09-23T14:22:28.640Z</t>
        </is>
      </c>
      <c r="S93" s="13" t="n">
        <v>0.01</v>
      </c>
    </row>
    <row r="94">
      <c r="A94" s="4" t="inlineStr">
        <is>
          <t>98a832663b80</t>
        </is>
      </c>
      <c r="B94" s="4" t="inlineStr">
        <is>
          <t>SOL-&gt;ETH</t>
        </is>
      </c>
      <c r="C94" s="4" t="n">
        <v>2</v>
      </c>
      <c r="D94" s="4" t="inlineStr">
        <is>
          <t>SimpleSwap</t>
        </is>
      </c>
      <c r="E94" s="4" t="inlineStr">
        <is>
          <t>venue</t>
        </is>
      </c>
      <c r="F94" s="4" t="inlineStr">
        <is>
          <t>OK</t>
        </is>
      </c>
      <c r="G94" s="4" t="inlineStr">
        <is>
          <t>2026-09-23T14:22:16.320Z</t>
        </is>
      </c>
      <c r="H94" s="4" t="inlineStr">
        <is>
          <t>2026-09-23T14:22:19.635Z</t>
        </is>
      </c>
      <c r="I94" s="4" t="inlineStr">
        <is>
          <t>2026-09-23T14:22:28.754Z</t>
        </is>
      </c>
      <c r="J94" s="13" t="n">
        <v>0.002</v>
      </c>
      <c r="K94" s="19" t="n">
        <v>98.205703</v>
      </c>
      <c r="L94" s="20" t="n">
        <v>0</v>
      </c>
      <c r="M94" s="4" t="inlineStr">
        <is>
          <t>USDC</t>
        </is>
      </c>
      <c r="N94" s="4" t="inlineStr">
        <is>
          <t>best_card_out=98.205703; selected_card=Best rate / Decentralized; rate_type=floating; fixed_fee_on_top=0.0; fixed_fee_token=USDC; display_decimals=6; small_sum_warning=False</t>
        </is>
      </c>
      <c r="O94" s="4" t="inlineStr">
        <is>
          <t>https://simpleswap.io/?from=usdc-sol&amp;to=usdc-eth</t>
        </is>
      </c>
      <c r="P94" s="4" t="inlineStr">
        <is>
          <t>20260923T141817Z</t>
        </is>
      </c>
      <c r="Q94" s="4" t="inlineStr">
        <is>
          <t>2026-09-23T14:22:28.646Z</t>
        </is>
      </c>
      <c r="R94" s="4" t="inlineStr">
        <is>
          <t>2026-09-23T14:22:21.864Z</t>
        </is>
      </c>
      <c r="S94" s="13" t="n">
        <v>0.01</v>
      </c>
    </row>
    <row r="95">
      <c r="A95" s="4" t="inlineStr">
        <is>
          <t>98a832663b80</t>
        </is>
      </c>
      <c r="B95" s="4" t="inlineStr">
        <is>
          <t>SOL-&gt;ETH</t>
        </is>
      </c>
      <c r="C95" s="4" t="n">
        <v>2</v>
      </c>
      <c r="D95" s="4" t="inlineStr">
        <is>
          <t>Skip Go</t>
        </is>
      </c>
      <c r="E95" s="4" t="inlineStr">
        <is>
          <t>venue</t>
        </is>
      </c>
      <c r="F95" s="4" t="inlineStr">
        <is>
          <t>OK</t>
        </is>
      </c>
      <c r="G95" s="4" t="inlineStr">
        <is>
          <t>2026-09-23T14:22:16.318Z</t>
        </is>
      </c>
      <c r="H95" s="4" t="inlineStr">
        <is>
          <t>2026-09-23T14:22:19.744Z</t>
        </is>
      </c>
      <c r="I95" s="4" t="inlineStr">
        <is>
          <t>2026-09-23T14:22:28.677Z</t>
        </is>
      </c>
      <c r="J95" s="13" t="n">
        <v>0</v>
      </c>
      <c r="K95" s="19" t="n">
        <v>96.94911</v>
      </c>
      <c r="L95" s="20" t="n"/>
      <c r="M95" s="4" t="n"/>
      <c r="N95" s="4" t="inlineStr">
        <is>
          <t>fees_usd_in_quote=3.05; eta=30 secs; usd_values=['99.98', '96.93']; display_decimals=5</t>
        </is>
      </c>
      <c r="O95" s="4" t="inlineStr">
        <is>
          <t>https://go.skip.build/?src_chain=solana&amp;src_asset=EPjFWdd5AufqSSqeM2qN1xzybapC8G4wEGGkZwyTDt1v&amp;dest_chain=1&amp;dest_asset=0xa0b86991c6218b36c1d19d4a2e9eb0ce3606eb48</t>
        </is>
      </c>
      <c r="P95" s="4" t="inlineStr">
        <is>
          <t>20260923T141817Z</t>
        </is>
      </c>
      <c r="Q95" s="4" t="inlineStr">
        <is>
          <t>2026-09-23T14:22:28.648Z</t>
        </is>
      </c>
      <c r="R95" s="4" t="inlineStr">
        <is>
          <t>2026-09-23T14:22:22.015Z</t>
        </is>
      </c>
      <c r="S95" s="13" t="n">
        <v>0.01</v>
      </c>
    </row>
    <row r="96">
      <c r="A96" s="4" t="inlineStr">
        <is>
          <t>98a832663b80</t>
        </is>
      </c>
      <c r="B96" s="4" t="inlineStr">
        <is>
          <t>SOL-&gt;ETH</t>
        </is>
      </c>
      <c r="C96" s="4" t="n">
        <v>2</v>
      </c>
      <c r="D96" s="4" t="inlineStr">
        <is>
          <t>Symbiosis</t>
        </is>
      </c>
      <c r="E96" s="4" t="inlineStr">
        <is>
          <t>venue</t>
        </is>
      </c>
      <c r="F96" s="4" t="inlineStr">
        <is>
          <t>OK</t>
        </is>
      </c>
      <c r="G96" s="4" t="inlineStr">
        <is>
          <t>2026-09-23T14:22:16.317Z</t>
        </is>
      </c>
      <c r="H96" s="4" t="inlineStr">
        <is>
          <t>2026-09-23T14:22:20.005Z</t>
        </is>
      </c>
      <c r="I96" s="4" t="inlineStr">
        <is>
          <t>2026-09-23T14:22:28.679Z</t>
        </is>
      </c>
      <c r="J96" s="13" t="n">
        <v>0.001</v>
      </c>
      <c r="K96" s="19" t="n">
        <v>96.37869999999999</v>
      </c>
      <c r="L96" s="20" t="n">
        <v>0</v>
      </c>
      <c r="M96" s="4" t="n"/>
      <c r="N96" s="4" t="inlineStr">
        <is>
          <t>min_received=95.8968; fee_usd_deducted=3.62; eta=1 - 3 Min; price_impact=-3.6%; slippage=2%; route=Bridge to Ethereum; fixed_fee_on_top=0.0; display_decimals=6</t>
        </is>
      </c>
      <c r="O96" s="4" t="inlineStr">
        <is>
          <t>https://app.symbiosis.finance/swap?chainIn=Solana&amp;chainOut=Ethereum&amp;tokenIn=0x0000000000000000000000000000000000000003&amp;tokenOut=0xa0b86991c6218b36c1d19d4a2e9eb0ce3606eb48</t>
        </is>
      </c>
      <c r="P96" s="4" t="inlineStr">
        <is>
          <t>20260923T141817Z</t>
        </is>
      </c>
      <c r="Q96" s="4" t="inlineStr">
        <is>
          <t>2026-09-23T14:22:28.649Z</t>
        </is>
      </c>
      <c r="R96" s="4" t="inlineStr">
        <is>
          <t>2026-09-23T14:22:22.272Z</t>
        </is>
      </c>
      <c r="S96" s="13" t="n">
        <v>0.01</v>
      </c>
    </row>
    <row r="97">
      <c r="A97" s="4" t="inlineStr">
        <is>
          <t>137ec5258862</t>
        </is>
      </c>
      <c r="B97" s="4" t="inlineStr">
        <is>
          <t>ETH-&gt;SOL</t>
        </is>
      </c>
      <c r="C97" s="4" t="n">
        <v>2</v>
      </c>
      <c r="D97" s="4" t="inlineStr">
        <is>
          <t>Bridg</t>
        </is>
      </c>
      <c r="E97" s="4" t="inlineStr">
        <is>
          <t>bridg</t>
        </is>
      </c>
      <c r="F97" s="4" t="inlineStr">
        <is>
          <t>OK</t>
        </is>
      </c>
      <c r="G97" s="4" t="inlineStr">
        <is>
          <t>2026-09-23T14:23:01.562Z</t>
        </is>
      </c>
      <c r="H97" s="4" t="inlineStr">
        <is>
          <t>2026-09-23T14:23:02.870Z</t>
        </is>
      </c>
      <c r="I97" s="4" t="inlineStr">
        <is>
          <t>2026-09-23T14:23:47.173Z</t>
        </is>
      </c>
      <c r="J97" s="13" t="n"/>
      <c r="K97" s="19" t="n">
        <v>99.85005</v>
      </c>
      <c r="L97" s="20" t="n"/>
      <c r="M97" s="4" t="n"/>
      <c r="N97" s="4" t="inlineStr">
        <is>
          <t>best via Allbridge Core; 15 venues priced; fees [['Allbridge Core fee', 0.09995], ['Bridg fee', 0.05]]</t>
        </is>
      </c>
      <c r="O97" s="4" t="inlineStr">
        <is>
          <t>https://bridg.now/swap/</t>
        </is>
      </c>
      <c r="P97" s="4" t="inlineStr">
        <is>
          <t>20260923T141817Z</t>
        </is>
      </c>
      <c r="Q97" s="4" t="inlineStr">
        <is>
          <t>2026-09-23T14:23:47.144Z</t>
        </is>
      </c>
      <c r="R97" s="4" t="inlineStr">
        <is>
          <t>2026-09-23T14:23:06.435Z</t>
        </is>
      </c>
      <c r="S97" s="13" t="n">
        <v>0.008</v>
      </c>
    </row>
    <row r="98">
      <c r="A98" s="4" t="inlineStr">
        <is>
          <t>137ec5258862</t>
        </is>
      </c>
      <c r="B98" s="4" t="inlineStr">
        <is>
          <t>ETH-&gt;SOL</t>
        </is>
      </c>
      <c r="C98" s="4" t="n">
        <v>2</v>
      </c>
      <c r="D98" s="4" t="inlineStr">
        <is>
          <t>Relay</t>
        </is>
      </c>
      <c r="E98" s="4" t="inlineStr">
        <is>
          <t>venue</t>
        </is>
      </c>
      <c r="F98" s="4" t="inlineStr">
        <is>
          <t>OK</t>
        </is>
      </c>
      <c r="G98" s="4" t="inlineStr">
        <is>
          <t>2026-09-23T14:23:01.546Z</t>
        </is>
      </c>
      <c r="H98" s="4" t="inlineStr">
        <is>
          <t>2026-09-23T14:23:03.598Z</t>
        </is>
      </c>
      <c r="I98" s="4" t="inlineStr">
        <is>
          <t>2026-09-23T14:23:47.171Z</t>
        </is>
      </c>
      <c r="J98" s="13" t="n">
        <v>0.003</v>
      </c>
      <c r="K98" s="19" t="n">
        <v>99.945717</v>
      </c>
      <c r="L98" s="20" t="n"/>
      <c r="M98" s="4" t="n"/>
      <c r="N98" s="4" t="inlineStr">
        <is>
          <t>rate=0.9994</t>
        </is>
      </c>
      <c r="O98" s="4" t="inlineStr">
        <is>
          <t>https://relay.link/bridge/solana?fromChainId=1&amp;fromCurrency=0xa0b86991c6218b36c1d19d4a2e9eb0ce3606eb48&amp;toCurrency=EPjFWdd5AufqSSqeM2qN1xzybapC8G4wEGGkZwyTDt1v</t>
        </is>
      </c>
      <c r="P98" s="4" t="inlineStr">
        <is>
          <t>20260923T141817Z</t>
        </is>
      </c>
      <c r="Q98" s="4" t="inlineStr">
        <is>
          <t>2026-09-23T14:23:47.141Z</t>
        </is>
      </c>
      <c r="R98" s="4" t="inlineStr">
        <is>
          <t>2026-09-23T14:23:05.822Z</t>
        </is>
      </c>
      <c r="S98" s="13" t="n">
        <v>0.008</v>
      </c>
    </row>
    <row r="99">
      <c r="A99" s="4" t="inlineStr">
        <is>
          <t>137ec5258862</t>
        </is>
      </c>
      <c r="B99" s="4" t="inlineStr">
        <is>
          <t>ETH-&gt;SOL</t>
        </is>
      </c>
      <c r="C99" s="4" t="n">
        <v>2</v>
      </c>
      <c r="D99" s="4" t="inlineStr">
        <is>
          <t>deBridge</t>
        </is>
      </c>
      <c r="E99" s="4" t="inlineStr">
        <is>
          <t>venue</t>
        </is>
      </c>
      <c r="F99" s="4" t="inlineStr">
        <is>
          <t>OK</t>
        </is>
      </c>
      <c r="G99" s="4" t="inlineStr">
        <is>
          <t>2026-09-23T14:23:01.551Z</t>
        </is>
      </c>
      <c r="H99" s="4" t="inlineStr">
        <is>
          <t>2026-09-23T14:23:03.437Z</t>
        </is>
      </c>
      <c r="I99" s="4" t="inlineStr">
        <is>
          <t>2026-09-23T14:23:47.165Z</t>
        </is>
      </c>
      <c r="J99" s="13" t="n">
        <v>0.004</v>
      </c>
      <c r="K99" s="19" t="n">
        <v>99.920018</v>
      </c>
      <c r="L99" s="20" t="n">
        <v>2.0844</v>
      </c>
      <c r="M99" s="4" t="inlineStr">
        <is>
          <t>USDC</t>
        </is>
      </c>
      <c r="N99" s="4" t="inlineStr">
        <is>
          <t>fixed_fee_on_top=2.0844; fixed_fee_token=USDC</t>
        </is>
      </c>
      <c r="O99" s="4" t="inlineStr">
        <is>
          <t>https://app.debridge.com/?inputChain=1&amp;outputChain=7565164&amp;inputCurrency=0xa0b86991c6218b36c1d19d4a2e9eb0ce3606eb48&amp;outputCurrency=EPjFWdd5AufqSSqeM2qN1xzybapC8G4wEGGkZwyTDt1v&amp;dlnMode=simple</t>
        </is>
      </c>
      <c r="P99" s="4" t="inlineStr">
        <is>
          <t>20260923T141817Z</t>
        </is>
      </c>
      <c r="Q99" s="4" t="inlineStr">
        <is>
          <t>2026-09-23T14:23:47.140Z</t>
        </is>
      </c>
      <c r="R99" s="4" t="inlineStr">
        <is>
          <t>2026-09-23T14:23:05.517Z</t>
        </is>
      </c>
      <c r="S99" s="13" t="n">
        <v>0.008</v>
      </c>
    </row>
    <row r="100">
      <c r="A100" s="4" t="inlineStr">
        <is>
          <t>137ec5258862</t>
        </is>
      </c>
      <c r="B100" s="4" t="inlineStr">
        <is>
          <t>ETH-&gt;SOL</t>
        </is>
      </c>
      <c r="C100" s="4" t="n">
        <v>2</v>
      </c>
      <c r="D100" s="4" t="inlineStr">
        <is>
          <t>LI.FI (Jumper)</t>
        </is>
      </c>
      <c r="E100" s="4" t="inlineStr">
        <is>
          <t>venue</t>
        </is>
      </c>
      <c r="F100" s="4" t="inlineStr">
        <is>
          <t>OK</t>
        </is>
      </c>
      <c r="G100" s="4" t="inlineStr">
        <is>
          <t>2026-09-23T14:23:01.552Z</t>
        </is>
      </c>
      <c r="H100" s="4" t="inlineStr">
        <is>
          <t>2026-09-23T14:23:04.129Z</t>
        </is>
      </c>
      <c r="I100" s="4" t="inlineStr">
        <is>
          <t>2026-09-23T14:23:47.151Z</t>
        </is>
      </c>
      <c r="J100" s="13" t="n">
        <v>0.002</v>
      </c>
      <c r="K100" s="19" t="n">
        <v>99.945717</v>
      </c>
      <c r="L100" s="20" t="n"/>
      <c r="M100" s="4" t="n"/>
      <c r="N100" s="4" t="inlineStr">
        <is>
          <t>best_return_venue=Relay; max_out=100.0</t>
        </is>
      </c>
      <c r="O100" s="4" t="inlineStr">
        <is>
          <t>https://jumper.xyz/?fromChain=1&amp;fromToken=0xa0b86991c6218b36c1d19d4a2e9eb0ce3606eb48&amp;toChain=1151111081099710&amp;toToken=EPjFWdd5AufqSSqeM2qN1xzybapC8G4wEGGkZwyTDt1v</t>
        </is>
      </c>
      <c r="P100" s="4" t="inlineStr">
        <is>
          <t>20260923T141817Z</t>
        </is>
      </c>
      <c r="Q100" s="4" t="inlineStr">
        <is>
          <t>2026-09-23T14:23:47.142Z</t>
        </is>
      </c>
      <c r="R100" s="4" t="inlineStr">
        <is>
          <t>2026-09-23T14:23:06.279Z</t>
        </is>
      </c>
      <c r="S100" s="13" t="n">
        <v>0.008</v>
      </c>
    </row>
    <row r="101">
      <c r="A101" s="4" t="inlineStr">
        <is>
          <t>137ec5258862</t>
        </is>
      </c>
      <c r="B101" s="4" t="inlineStr">
        <is>
          <t>ETH-&gt;SOL</t>
        </is>
      </c>
      <c r="C101" s="4" t="n">
        <v>2</v>
      </c>
      <c r="D101" s="4" t="inlineStr">
        <is>
          <t>Across</t>
        </is>
      </c>
      <c r="E101" s="4" t="inlineStr">
        <is>
          <t>venue</t>
        </is>
      </c>
      <c r="F101" s="4" t="inlineStr">
        <is>
          <t>OK</t>
        </is>
      </c>
      <c r="G101" s="4" t="inlineStr">
        <is>
          <t>2026-09-23T14:23:01.550Z</t>
        </is>
      </c>
      <c r="H101" s="4" t="inlineStr">
        <is>
          <t>2026-09-23T14:23:02.967Z</t>
        </is>
      </c>
      <c r="I101" s="4" t="inlineStr">
        <is>
          <t>2026-09-23T14:23:47.148Z</t>
        </is>
      </c>
      <c r="J101" s="13" t="n">
        <v>0.005</v>
      </c>
      <c r="K101" s="19" t="n">
        <v>99.98999999999999</v>
      </c>
      <c r="L101" s="20" t="n"/>
      <c r="M101" s="4" t="n"/>
      <c r="N101" s="4" t="inlineStr"/>
      <c r="O101" s="4" t="inlineStr">
        <is>
          <t>https://across.to/?from=ethereum&amp;to=solana&amp;inputToken=USDC&amp;outputToken=USDC</t>
        </is>
      </c>
      <c r="P101" s="4" t="inlineStr">
        <is>
          <t>20260923T141817Z</t>
        </is>
      </c>
      <c r="Q101" s="4" t="inlineStr">
        <is>
          <t>2026-09-23T14:23:47.139Z</t>
        </is>
      </c>
      <c r="R101" s="4" t="inlineStr">
        <is>
          <t>2026-09-23T14:23:05.203Z</t>
        </is>
      </c>
      <c r="S101" s="13" t="n">
        <v>0.008</v>
      </c>
    </row>
    <row r="102">
      <c r="A102" s="4" t="inlineStr">
        <is>
          <t>137ec5258862</t>
        </is>
      </c>
      <c r="B102" s="4" t="inlineStr">
        <is>
          <t>ETH-&gt;SOL</t>
        </is>
      </c>
      <c r="C102" s="4" t="n">
        <v>2</v>
      </c>
      <c r="D102" s="4" t="inlineStr">
        <is>
          <t>Mayan</t>
        </is>
      </c>
      <c r="E102" s="4" t="inlineStr">
        <is>
          <t>venue</t>
        </is>
      </c>
      <c r="F102" s="4" t="inlineStr">
        <is>
          <t>OK</t>
        </is>
      </c>
      <c r="G102" s="4" t="inlineStr">
        <is>
          <t>2026-09-23T14:23:01.545Z</t>
        </is>
      </c>
      <c r="H102" s="4" t="inlineStr">
        <is>
          <t>2026-09-23T14:23:03.274Z</t>
        </is>
      </c>
      <c r="I102" s="4" t="inlineStr">
        <is>
          <t>2026-09-23T14:23:47.149Z</t>
        </is>
      </c>
      <c r="J102" s="13" t="n">
        <v>0.004</v>
      </c>
      <c r="K102" s="19" t="n">
        <v>98.9619</v>
      </c>
      <c r="L102" s="20" t="n"/>
      <c r="M102" s="4" t="n"/>
      <c r="N102" s="4" t="inlineStr">
        <is>
          <t>mode=Swift v2; eta=3s; display_decimals=4</t>
        </is>
      </c>
      <c r="O102" s="4" t="inlineStr">
        <is>
          <t>https://swap.mayan.finance/</t>
        </is>
      </c>
      <c r="P102" s="4" t="inlineStr">
        <is>
          <t>20260923T141817Z</t>
        </is>
      </c>
      <c r="Q102" s="4" t="inlineStr">
        <is>
          <t>2026-09-23T14:23:47.140Z</t>
        </is>
      </c>
      <c r="R102" s="4" t="inlineStr">
        <is>
          <t>2026-09-23T14:23:05.506Z</t>
        </is>
      </c>
      <c r="S102" s="13" t="n">
        <v>0.008</v>
      </c>
    </row>
    <row r="103">
      <c r="A103" s="4" t="inlineStr">
        <is>
          <t>137ec5258862</t>
        </is>
      </c>
      <c r="B103" s="4" t="inlineStr">
        <is>
          <t>ETH-&gt;SOL</t>
        </is>
      </c>
      <c r="C103" s="4" t="n">
        <v>2</v>
      </c>
      <c r="D103" s="4" t="inlineStr">
        <is>
          <t>Allbridge Core</t>
        </is>
      </c>
      <c r="E103" s="4" t="inlineStr">
        <is>
          <t>venue</t>
        </is>
      </c>
      <c r="F103" s="4" t="inlineStr">
        <is>
          <t>OK</t>
        </is>
      </c>
      <c r="G103" s="4" t="inlineStr">
        <is>
          <t>2026-09-23T14:23:01.563Z</t>
        </is>
      </c>
      <c r="H103" s="4" t="inlineStr">
        <is>
          <t>2026-09-23T14:23:03.041Z</t>
        </is>
      </c>
      <c r="I103" s="4" t="inlineStr">
        <is>
          <t>2026-09-23T14:23:47.479Z</t>
        </is>
      </c>
      <c r="J103" s="13" t="n">
        <v>0.005</v>
      </c>
      <c r="K103" s="19" t="n">
        <v>99.90000000000001</v>
      </c>
      <c r="L103" s="20" t="n">
        <v>0.000137</v>
      </c>
      <c r="M103" s="4" t="inlineStr">
        <is>
          <t>ETH (relayer fee, fee=native)</t>
        </is>
      </c>
      <c r="N103" s="4" t="inlineStr">
        <is>
          <t>out_input_box=99.9; out_details_2dp=99.9; fixed_fee_on_top=0.000137; fixed_fee_token=ETH (relayer fee, fee=native); transfer_fee=0.10 USDC; messenger=CCTP; eta=~18 min; display_decimals=1; picked=['USDC from Ethereum', 'USDC to Solana']</t>
        </is>
      </c>
      <c r="O103" s="4" t="inlineStr">
        <is>
          <t>https://core.allbridge.io/?fee=native&amp;ft=USDC&amp;tt=USDC&amp;f=ETH&amp;t=SOL</t>
        </is>
      </c>
      <c r="P103" s="4" t="inlineStr">
        <is>
          <t>20260923T141817Z</t>
        </is>
      </c>
      <c r="Q103" s="4" t="inlineStr">
        <is>
          <t>2026-09-23T14:23:47.139Z</t>
        </is>
      </c>
      <c r="R103" s="4" t="inlineStr">
        <is>
          <t>2026-09-23T14:23:05.104Z</t>
        </is>
      </c>
      <c r="S103" s="13" t="n">
        <v>0.008</v>
      </c>
    </row>
    <row r="104">
      <c r="A104" s="4" t="inlineStr">
        <is>
          <t>137ec5258862</t>
        </is>
      </c>
      <c r="B104" s="4" t="inlineStr">
        <is>
          <t>ETH-&gt;SOL</t>
        </is>
      </c>
      <c r="C104" s="4" t="n">
        <v>2</v>
      </c>
      <c r="D104" s="4" t="inlineStr">
        <is>
          <t>CCTP (via Portal)</t>
        </is>
      </c>
      <c r="E104" s="4" t="inlineStr">
        <is>
          <t>venue</t>
        </is>
      </c>
      <c r="F104" s="4" t="inlineStr">
        <is>
          <t>OK</t>
        </is>
      </c>
      <c r="G104" s="4" t="inlineStr">
        <is>
          <t>2026-09-23T14:23:01.554Z</t>
        </is>
      </c>
      <c r="H104" s="4" t="inlineStr">
        <is>
          <t>2026-09-23T14:23:05.119Z</t>
        </is>
      </c>
      <c r="I104" s="4" t="inlineStr">
        <is>
          <t>2026-09-23T14:23:47.185Z</t>
        </is>
      </c>
      <c r="J104" s="13" t="n">
        <v>0.001</v>
      </c>
      <c r="K104" s="19" t="n">
        <v>99.980001</v>
      </c>
      <c r="L104" s="20" t="n"/>
      <c r="M104" s="4" t="n"/>
      <c r="N104" s="4" t="inlineStr">
        <is>
          <t>venue_ui=CCTP via Portal (portalbridge.com/usdc-bridge); messenger=Circle CCTP; route_type=CCTPv2FastExecutorRoute; eta=20 sec; usd_value=99.98; price_impact=-0.02%; fixed_fee_note=executor/relayer fee not shown without a wallet; display_decimals=6</t>
        </is>
      </c>
      <c r="O104" s="4" t="inlineStr">
        <is>
          <t>https://portalbridge.com/usdc-bridge?fromChain=Ethereum&amp;fromToken=USDC&amp;toChain=Solana&amp;toToken=USDC</t>
        </is>
      </c>
      <c r="P104" s="4" t="inlineStr">
        <is>
          <t>20260923T141817Z</t>
        </is>
      </c>
      <c r="Q104" s="4" t="inlineStr">
        <is>
          <t>2026-09-23T14:23:47.145Z</t>
        </is>
      </c>
      <c r="R104" s="4" t="inlineStr">
        <is>
          <t>2026-09-23T14:23:07.248Z</t>
        </is>
      </c>
      <c r="S104" s="13" t="n">
        <v>0.008</v>
      </c>
    </row>
    <row r="105">
      <c r="A105" s="4" t="inlineStr">
        <is>
          <t>137ec5258862</t>
        </is>
      </c>
      <c r="B105" s="4" t="inlineStr">
        <is>
          <t>ETH-&gt;SOL</t>
        </is>
      </c>
      <c r="C105" s="4" t="n">
        <v>2</v>
      </c>
      <c r="D105" s="4" t="inlineStr">
        <is>
          <t>Husher</t>
        </is>
      </c>
      <c r="E105" s="4" t="inlineStr">
        <is>
          <t>venue</t>
        </is>
      </c>
      <c r="F105" s="4" t="inlineStr">
        <is>
          <t>OK</t>
        </is>
      </c>
      <c r="G105" s="4" t="inlineStr">
        <is>
          <t>2026-09-23T14:23:01.579Z</t>
        </is>
      </c>
      <c r="H105" s="4" t="inlineStr">
        <is>
          <t>2026-09-23T14:23:03.193Z</t>
        </is>
      </c>
      <c r="I105" s="4" t="inlineStr">
        <is>
          <t>2026-09-23T14:23:47.168Z</t>
        </is>
      </c>
      <c r="J105" s="13" t="n">
        <v>0.004</v>
      </c>
      <c r="K105" s="19" t="n">
        <v>99.34999999999999</v>
      </c>
      <c r="L105" s="20" t="n"/>
      <c r="M105" s="4" t="n"/>
      <c r="N105" s="4" t="inlineStr">
        <is>
          <t>out_usd=$99.37; provider=Husher (Best Rate); rate_type=floating; fee_deducted=0.35; network_fee_deducted=0.3; api_receive=99.35000000; eta_s=40; display_decimals=2</t>
        </is>
      </c>
      <c r="O105" s="4" t="inlineStr">
        <is>
          <t>https://www.husher.io/</t>
        </is>
      </c>
      <c r="P105" s="4" t="inlineStr">
        <is>
          <t>20260923T141817Z</t>
        </is>
      </c>
      <c r="Q105" s="4" t="inlineStr">
        <is>
          <t>2026-09-23T14:23:47.140Z</t>
        </is>
      </c>
      <c r="R105" s="4" t="inlineStr">
        <is>
          <t>2026-09-23T14:23:05.517Z</t>
        </is>
      </c>
      <c r="S105" s="13" t="n">
        <v>0.008</v>
      </c>
    </row>
    <row r="106">
      <c r="A106" s="4" t="inlineStr">
        <is>
          <t>137ec5258862</t>
        </is>
      </c>
      <c r="B106" s="4" t="inlineStr">
        <is>
          <t>ETH-&gt;SOL</t>
        </is>
      </c>
      <c r="C106" s="4" t="n">
        <v>2</v>
      </c>
      <c r="D106" s="4" t="inlineStr">
        <is>
          <t>Layerswap</t>
        </is>
      </c>
      <c r="E106" s="4" t="inlineStr">
        <is>
          <t>venue</t>
        </is>
      </c>
      <c r="F106" s="4" t="inlineStr">
        <is>
          <t>OK</t>
        </is>
      </c>
      <c r="G106" s="4" t="inlineStr">
        <is>
          <t>2026-09-23T14:23:01.546Z</t>
        </is>
      </c>
      <c r="H106" s="4" t="inlineStr">
        <is>
          <t>2026-09-23T14:23:04.153Z</t>
        </is>
      </c>
      <c r="I106" s="4" t="inlineStr">
        <is>
          <t>2026-09-23T14:23:47.175Z</t>
        </is>
      </c>
      <c r="J106" s="13" t="n">
        <v>0.001</v>
      </c>
      <c r="K106" s="19" t="n">
        <v>99.682776</v>
      </c>
      <c r="L106" s="20" t="n"/>
      <c r="M106" s="4" t="n"/>
      <c r="N106" s="4" t="inlineStr">
        <is>
          <t>out_usd=$99.66; fee_usd=0.32; slippage=0.00%; eta=22 secs; to_token=USDC; to_chain=Solana; display_decimals=6</t>
        </is>
      </c>
      <c r="O106" s="4" t="inlineStr">
        <is>
          <t>https://layerswap.io/app?from=ETHEREUM_MAINNET&amp;to=SOLANA_MAINNET&amp;fromAsset=USDC&amp;toAsset=USDC</t>
        </is>
      </c>
      <c r="P106" s="4" t="inlineStr">
        <is>
          <t>20260923T141817Z</t>
        </is>
      </c>
      <c r="Q106" s="4" t="inlineStr">
        <is>
          <t>2026-09-23T14:23:47.143Z</t>
        </is>
      </c>
      <c r="R106" s="4" t="inlineStr">
        <is>
          <t>2026-09-23T14:23:06.281Z</t>
        </is>
      </c>
      <c r="S106" s="13" t="n">
        <v>0.008</v>
      </c>
    </row>
    <row r="107">
      <c r="A107" s="4" t="inlineStr">
        <is>
          <t>137ec5258862</t>
        </is>
      </c>
      <c r="B107" s="4" t="inlineStr">
        <is>
          <t>ETH-&gt;SOL</t>
        </is>
      </c>
      <c r="C107" s="4" t="n">
        <v>2</v>
      </c>
      <c r="D107" s="4" t="inlineStr">
        <is>
          <t>Meson</t>
        </is>
      </c>
      <c r="E107" s="4" t="inlineStr">
        <is>
          <t>venue</t>
        </is>
      </c>
      <c r="F107" s="4" t="inlineStr">
        <is>
          <t>OK</t>
        </is>
      </c>
      <c r="G107" s="4" t="inlineStr">
        <is>
          <t>2026-09-23T14:23:01.580Z</t>
        </is>
      </c>
      <c r="H107" s="4" t="inlineStr">
        <is>
          <t>2026-09-23T14:23:02.198Z</t>
        </is>
      </c>
      <c r="I107" s="4" t="inlineStr">
        <is>
          <t>2026-09-23T14:23:47.147Z</t>
        </is>
      </c>
      <c r="J107" s="13" t="n">
        <v>0.007</v>
      </c>
      <c r="K107" s="19" t="n">
        <v>99.09999999999999</v>
      </c>
      <c r="L107" s="20" t="n">
        <v>0</v>
      </c>
      <c r="M107" s="4" t="n"/>
      <c r="N107" s="4" t="inlineStr">
        <is>
          <t>fees_deducted=[['Fee', 0.9, 'USDC']]; fee_total=0.9; fixed_fee_on_top=0.0; display_decimals=1</t>
        </is>
      </c>
      <c r="O107" s="4" t="inlineStr">
        <is>
          <t>https://meson.fi/swap</t>
        </is>
      </c>
      <c r="P107" s="4" t="inlineStr">
        <is>
          <t>20260923T141817Z</t>
        </is>
      </c>
      <c r="Q107" s="4" t="inlineStr">
        <is>
          <t>2026-09-23T14:23:47.137Z</t>
        </is>
      </c>
      <c r="R107" s="4" t="inlineStr">
        <is>
          <t>2026-09-23T14:23:04.293Z</t>
        </is>
      </c>
      <c r="S107" s="13" t="n">
        <v>0.008</v>
      </c>
    </row>
    <row r="108">
      <c r="A108" s="4" t="inlineStr">
        <is>
          <t>137ec5258862</t>
        </is>
      </c>
      <c r="B108" s="4" t="inlineStr">
        <is>
          <t>ETH-&gt;SOL</t>
        </is>
      </c>
      <c r="C108" s="4" t="n">
        <v>2</v>
      </c>
      <c r="D108" s="4" t="inlineStr">
        <is>
          <t>OpenSea</t>
        </is>
      </c>
      <c r="E108" s="4" t="inlineStr">
        <is>
          <t>platform</t>
        </is>
      </c>
      <c r="F108" s="4" t="inlineStr">
        <is>
          <t>OK</t>
        </is>
      </c>
      <c r="G108" s="4" t="inlineStr">
        <is>
          <t>2026-09-23T14:23:01.547Z</t>
        </is>
      </c>
      <c r="H108" s="4" t="inlineStr">
        <is>
          <t>2026-09-23T14:23:04.895Z</t>
        </is>
      </c>
      <c r="I108" s="4" t="inlineStr">
        <is>
          <t>2026-09-23T14:23:47.181Z</t>
        </is>
      </c>
      <c r="J108" s="13" t="n">
        <v>0.001</v>
      </c>
      <c r="K108" s="19" t="n">
        <v>99.7453</v>
      </c>
      <c r="L108" s="20" t="n">
        <v>1.1</v>
      </c>
      <c r="M108" s="4" t="inlineStr">
        <is>
          <t>native (gas, USD shown)</t>
        </is>
      </c>
      <c r="N108" s="4" t="inlineStr">
        <is>
          <t>out_usd=$99.72; provider=Relay; fee_total_usd=1.32; provider_fee_usd=0.22; provider_fee_pct=0.22%; provider_fee_deducted=True; opensea_fee_usd=0.0; opensea_fee_pct=0%; gas_fee_usd=1.1; gas_fee_display=$1.10; fixed_fee_on_top=1.1; fixed_fee_token=native (gas, USD shown); price_impact=(-$0.03) -0.03%;</t>
        </is>
      </c>
      <c r="O108" s="4" t="inlineStr">
        <is>
          <t>https://opensea.io/swap?fromChain=ethereum&amp;fromAddress=0xa0b86991c6218b36c1d19d4a2e9eb0ce3606eb48&amp;toChain=solana&amp;toAddress=EPjFWdd5AufqSSqeM2qN1xzybapC8G4wEGGkZwyTDt1v</t>
        </is>
      </c>
      <c r="P108" s="4" t="inlineStr">
        <is>
          <t>20260923T141817Z</t>
        </is>
      </c>
      <c r="Q108" s="4" t="inlineStr">
        <is>
          <t>2026-09-23T14:23:47.145Z</t>
        </is>
      </c>
      <c r="R108" s="4" t="inlineStr">
        <is>
          <t>2026-09-23T14:23:07.030Z</t>
        </is>
      </c>
      <c r="S108" s="13" t="n">
        <v>0.008</v>
      </c>
    </row>
    <row r="109">
      <c r="A109" s="4" t="inlineStr">
        <is>
          <t>137ec5258862</t>
        </is>
      </c>
      <c r="B109" s="4" t="inlineStr">
        <is>
          <t>ETH-&gt;SOL</t>
        </is>
      </c>
      <c r="C109" s="4" t="n">
        <v>2</v>
      </c>
      <c r="D109" s="4" t="inlineStr">
        <is>
          <t>SimpleSwap</t>
        </is>
      </c>
      <c r="E109" s="4" t="inlineStr">
        <is>
          <t>venue</t>
        </is>
      </c>
      <c r="F109" s="4" t="inlineStr">
        <is>
          <t>NO_QUOTE</t>
        </is>
      </c>
      <c r="G109" s="4" t="inlineStr">
        <is>
          <t>2026-09-23T14:23:01.575Z</t>
        </is>
      </c>
      <c r="H109" s="4" t="n"/>
      <c r="I109" s="4" t="inlineStr">
        <is>
          <t>2026-09-23T14:23:47.164Z</t>
        </is>
      </c>
      <c r="J109" s="13" t="n">
        <v>0.007</v>
      </c>
      <c r="K109" s="19" t="n"/>
      <c r="L109" s="20" t="n"/>
      <c r="M109" s="4" t="n"/>
      <c r="N109" s="4" t="inlineStr"/>
      <c r="O109" s="4" t="inlineStr">
        <is>
          <t>https://simpleswap.io/?from=usdc-eth&amp;to=usdc-sol</t>
        </is>
      </c>
      <c r="P109" s="4" t="inlineStr">
        <is>
          <t>20260923T141817Z</t>
        </is>
      </c>
      <c r="Q109" s="4" t="inlineStr">
        <is>
          <t>2026-09-23T14:23:47.137Z</t>
        </is>
      </c>
      <c r="R109" s="4" t="inlineStr">
        <is>
          <t>2026-09-23T14:23:47.136Z</t>
        </is>
      </c>
      <c r="S109" s="13" t="n">
        <v>0.008</v>
      </c>
    </row>
    <row r="110">
      <c r="A110" s="4" t="inlineStr">
        <is>
          <t>137ec5258862</t>
        </is>
      </c>
      <c r="B110" s="4" t="inlineStr">
        <is>
          <t>ETH-&gt;SOL</t>
        </is>
      </c>
      <c r="C110" s="4" t="n">
        <v>2</v>
      </c>
      <c r="D110" s="4" t="inlineStr">
        <is>
          <t>Skip Go</t>
        </is>
      </c>
      <c r="E110" s="4" t="inlineStr">
        <is>
          <t>venue</t>
        </is>
      </c>
      <c r="F110" s="4" t="inlineStr">
        <is>
          <t>OK</t>
        </is>
      </c>
      <c r="G110" s="4" t="inlineStr">
        <is>
          <t>2026-09-23T14:23:01.562Z</t>
        </is>
      </c>
      <c r="H110" s="4" t="inlineStr">
        <is>
          <t>2026-09-23T14:23:04.496Z</t>
        </is>
      </c>
      <c r="I110" s="4" t="inlineStr">
        <is>
          <t>2026-09-23T14:23:47.179Z</t>
        </is>
      </c>
      <c r="J110" s="13" t="n">
        <v>0.001</v>
      </c>
      <c r="K110" s="19" t="n">
        <v>99.72581</v>
      </c>
      <c r="L110" s="20" t="n"/>
      <c r="M110" s="4" t="n"/>
      <c r="N110" s="4" t="inlineStr">
        <is>
          <t>fees_usd_in_quote=0.27; eta=2 mins; usd_values=['99.97', '99.70']; display_decimals=5</t>
        </is>
      </c>
      <c r="O110" s="4" t="inlineStr">
        <is>
          <t>https://go.skip.build/?src_chain=1&amp;src_asset=0xa0b86991c6218b36c1d19d4a2e9eb0ce3606eb48&amp;dest_chain=solana&amp;dest_asset=EPjFWdd5AufqSSqeM2qN1xzybapC8G4wEGGkZwyTDt1v</t>
        </is>
      </c>
      <c r="P110" s="4" t="inlineStr">
        <is>
          <t>20260923T141817Z</t>
        </is>
      </c>
      <c r="Q110" s="4" t="inlineStr">
        <is>
          <t>2026-09-23T14:23:47.145Z</t>
        </is>
      </c>
      <c r="R110" s="4" t="inlineStr">
        <is>
          <t>2026-09-23T14:23:06.627Z</t>
        </is>
      </c>
      <c r="S110" s="13" t="n">
        <v>0.008</v>
      </c>
    </row>
    <row r="111">
      <c r="A111" s="4" t="inlineStr">
        <is>
          <t>137ec5258862</t>
        </is>
      </c>
      <c r="B111" s="4" t="inlineStr">
        <is>
          <t>ETH-&gt;SOL</t>
        </is>
      </c>
      <c r="C111" s="4" t="n">
        <v>2</v>
      </c>
      <c r="D111" s="4" t="inlineStr">
        <is>
          <t>Symbiosis</t>
        </is>
      </c>
      <c r="E111" s="4" t="inlineStr">
        <is>
          <t>venue</t>
        </is>
      </c>
      <c r="F111" s="4" t="inlineStr">
        <is>
          <t>OK</t>
        </is>
      </c>
      <c r="G111" s="4" t="inlineStr">
        <is>
          <t>2026-09-23T14:23:01.548Z</t>
        </is>
      </c>
      <c r="H111" s="4" t="inlineStr">
        <is>
          <t>2026-09-23T14:23:04.395Z</t>
        </is>
      </c>
      <c r="I111" s="4" t="inlineStr">
        <is>
          <t>2026-09-23T14:23:47.176Z</t>
        </is>
      </c>
      <c r="J111" s="13" t="n">
        <v>0</v>
      </c>
      <c r="K111" s="19" t="n">
        <v>98.951612</v>
      </c>
      <c r="L111" s="20" t="n">
        <v>0</v>
      </c>
      <c r="M111" s="4" t="n"/>
      <c r="N111" s="4" t="inlineStr">
        <is>
          <t>min_received=98.4568; fee_usd_deducted=1.02; eta=2 - 3 Min; price_impact=0%; slippage=2%; route=Bridge to Solana; fixed_fee_on_top=0.0; display_decimals=6</t>
        </is>
      </c>
      <c r="O111" s="4" t="inlineStr">
        <is>
          <t>https://app.symbiosis.finance/swap?chainIn=Ethereum&amp;chainOut=Solana&amp;tokenIn=0xa0b86991c6218b36c1d19d4a2e9eb0ce3606eb48&amp;tokenOut=0x0000000000000000000000000000000000000003</t>
        </is>
      </c>
      <c r="P111" s="4" t="inlineStr">
        <is>
          <t>20260923T141817Z</t>
        </is>
      </c>
      <c r="Q111" s="4" t="inlineStr">
        <is>
          <t>2026-09-23T14:23:47.144Z</t>
        </is>
      </c>
      <c r="R111" s="4" t="inlineStr">
        <is>
          <t>2026-09-23T14:23:06.529Z</t>
        </is>
      </c>
      <c r="S111" s="13" t="n">
        <v>0.008</v>
      </c>
    </row>
    <row r="112">
      <c r="A112" s="4" t="inlineStr">
        <is>
          <t>f05078ea1a82</t>
        </is>
      </c>
      <c r="B112" s="4" t="inlineStr">
        <is>
          <t>SOL-&gt;BSC</t>
        </is>
      </c>
      <c r="C112" s="4" t="n">
        <v>2</v>
      </c>
      <c r="D112" s="4" t="inlineStr">
        <is>
          <t>Bridg</t>
        </is>
      </c>
      <c r="E112" s="4" t="inlineStr">
        <is>
          <t>bridg</t>
        </is>
      </c>
      <c r="F112" s="4" t="inlineStr">
        <is>
          <t>OK</t>
        </is>
      </c>
      <c r="G112" s="4" t="inlineStr">
        <is>
          <t>2026-09-23T14:24:12.906Z</t>
        </is>
      </c>
      <c r="H112" s="4" t="inlineStr">
        <is>
          <t>2026-09-23T14:24:13.884Z</t>
        </is>
      </c>
      <c r="I112" s="4" t="inlineStr">
        <is>
          <t>2026-09-23T14:24:42.100Z</t>
        </is>
      </c>
      <c r="J112" s="13" t="n"/>
      <c r="K112" s="19" t="n">
        <v>99.87003799999999</v>
      </c>
      <c r="L112" s="20" t="n"/>
      <c r="M112" s="4" t="n"/>
      <c r="N112" s="4" t="inlineStr">
        <is>
          <t>best via Rhino; 9 venues priced; fees [['Rhino fee', 0.079962], ['Bridg fee', 0.05]]</t>
        </is>
      </c>
      <c r="O112" s="4" t="inlineStr">
        <is>
          <t>https://bridg.now/swap/</t>
        </is>
      </c>
      <c r="P112" s="4" t="inlineStr">
        <is>
          <t>20260923T141817Z</t>
        </is>
      </c>
      <c r="Q112" s="4" t="inlineStr">
        <is>
          <t>2026-09-23T14:24:42.081Z</t>
        </is>
      </c>
      <c r="R112" s="4" t="inlineStr">
        <is>
          <t>2026-09-23T14:24:17.777Z</t>
        </is>
      </c>
      <c r="S112" s="13" t="n">
        <v>0.005</v>
      </c>
    </row>
    <row r="113">
      <c r="A113" s="4" t="inlineStr">
        <is>
          <t>f05078ea1a82</t>
        </is>
      </c>
      <c r="B113" s="4" t="inlineStr">
        <is>
          <t>SOL-&gt;BSC</t>
        </is>
      </c>
      <c r="C113" s="4" t="n">
        <v>2</v>
      </c>
      <c r="D113" s="4" t="inlineStr">
        <is>
          <t>Relay</t>
        </is>
      </c>
      <c r="E113" s="4" t="inlineStr">
        <is>
          <t>venue</t>
        </is>
      </c>
      <c r="F113" s="4" t="inlineStr">
        <is>
          <t>OK</t>
        </is>
      </c>
      <c r="G113" s="4" t="inlineStr">
        <is>
          <t>2026-09-23T14:24:12.907Z</t>
        </is>
      </c>
      <c r="H113" s="4" t="inlineStr">
        <is>
          <t>2026-09-23T14:24:15.029Z</t>
        </is>
      </c>
      <c r="I113" s="4" t="inlineStr">
        <is>
          <t>2026-09-23T14:24:42.096Z</t>
        </is>
      </c>
      <c r="J113" s="13" t="n">
        <v>0.001</v>
      </c>
      <c r="K113" s="19" t="n">
        <v>99.64081400000001</v>
      </c>
      <c r="L113" s="20" t="n"/>
      <c r="M113" s="4" t="n"/>
      <c r="N113" s="4" t="inlineStr">
        <is>
          <t>rate=0.9964</t>
        </is>
      </c>
      <c r="O113" s="4" t="inlineStr">
        <is>
          <t>https://relay.link/bridge/bsc?fromChainId=792703809&amp;fromCurrency=EPjFWdd5AufqSSqeM2qN1xzybapC8G4wEGGkZwyTDt1v&amp;toCurrency=0x8ac76a51cc950d9822d68b83fe1ad97b32cd580d</t>
        </is>
      </c>
      <c r="P113" s="4" t="inlineStr">
        <is>
          <t>20260923T141817Z</t>
        </is>
      </c>
      <c r="Q113" s="4" t="inlineStr">
        <is>
          <t>2026-09-23T14:24:42.080Z</t>
        </is>
      </c>
      <c r="R113" s="4" t="inlineStr">
        <is>
          <t>2026-09-23T14:24:17.165Z</t>
        </is>
      </c>
      <c r="S113" s="13" t="n">
        <v>0.005</v>
      </c>
    </row>
    <row r="114">
      <c r="A114" s="4" t="inlineStr">
        <is>
          <t>f05078ea1a82</t>
        </is>
      </c>
      <c r="B114" s="4" t="inlineStr">
        <is>
          <t>SOL-&gt;BSC</t>
        </is>
      </c>
      <c r="C114" s="4" t="n">
        <v>2</v>
      </c>
      <c r="D114" s="4" t="inlineStr">
        <is>
          <t>deBridge</t>
        </is>
      </c>
      <c r="E114" s="4" t="inlineStr">
        <is>
          <t>venue</t>
        </is>
      </c>
      <c r="F114" s="4" t="inlineStr">
        <is>
          <t>OK</t>
        </is>
      </c>
      <c r="G114" s="4" t="inlineStr">
        <is>
          <t>2026-09-23T14:24:12.906Z</t>
        </is>
      </c>
      <c r="H114" s="4" t="inlineStr">
        <is>
          <t>2026-09-23T14:24:15.031Z</t>
        </is>
      </c>
      <c r="I114" s="4" t="inlineStr">
        <is>
          <t>2026-09-23T14:24:42.097Z</t>
        </is>
      </c>
      <c r="J114" s="13" t="n">
        <v>0.001</v>
      </c>
      <c r="K114" s="19" t="n">
        <v>99.92001500000001</v>
      </c>
      <c r="L114" s="20" t="n">
        <v>1.2357</v>
      </c>
      <c r="M114" s="4" t="inlineStr">
        <is>
          <t>USDC</t>
        </is>
      </c>
      <c r="N114" s="4" t="inlineStr">
        <is>
          <t>fixed_fee_on_top=1.2357; fixed_fee_token=USDC</t>
        </is>
      </c>
      <c r="O114" s="4" t="inlineStr">
        <is>
          <t>https://app.debridge.com/?inputChain=7565164&amp;outputChain=56&amp;inputCurrency=EPjFWdd5AufqSSqeM2qN1xzybapC8G4wEGGkZwyTDt1v&amp;outputCurrency=0x8ac76a51cc950d9822d68b83fe1ad97b32cd580d&amp;dlnMode=simple</t>
        </is>
      </c>
      <c r="P114" s="4" t="inlineStr">
        <is>
          <t>20260923T141817Z</t>
        </is>
      </c>
      <c r="Q114" s="4" t="inlineStr">
        <is>
          <t>2026-09-23T14:24:42.080Z</t>
        </is>
      </c>
      <c r="R114" s="4" t="inlineStr">
        <is>
          <t>2026-09-23T14:24:17.165Z</t>
        </is>
      </c>
      <c r="S114" s="13" t="n">
        <v>0.005</v>
      </c>
    </row>
    <row r="115">
      <c r="A115" s="4" t="inlineStr">
        <is>
          <t>f05078ea1a82</t>
        </is>
      </c>
      <c r="B115" s="4" t="inlineStr">
        <is>
          <t>SOL-&gt;BSC</t>
        </is>
      </c>
      <c r="C115" s="4" t="n">
        <v>2</v>
      </c>
      <c r="D115" s="4" t="inlineStr">
        <is>
          <t>LI.FI (Jumper)</t>
        </is>
      </c>
      <c r="E115" s="4" t="inlineStr">
        <is>
          <t>venue</t>
        </is>
      </c>
      <c r="F115" s="4" t="inlineStr">
        <is>
          <t>OK</t>
        </is>
      </c>
      <c r="G115" s="4" t="inlineStr">
        <is>
          <t>2026-09-23T14:24:12.910Z</t>
        </is>
      </c>
      <c r="H115" s="4" t="inlineStr">
        <is>
          <t>2026-09-23T14:24:39.934Z</t>
        </is>
      </c>
      <c r="I115" s="4" t="inlineStr">
        <is>
          <t>2026-09-23T14:24:42.083Z</t>
        </is>
      </c>
      <c r="J115" s="13" t="n">
        <v>0.004</v>
      </c>
      <c r="K115" s="19" t="n">
        <v>99.93159</v>
      </c>
      <c r="L115" s="20" t="n"/>
      <c r="M115" s="4" t="n"/>
      <c r="N115" s="4" t="inlineStr">
        <is>
          <t>best_return_venue=Mayan (Swift); max_out=99.93159</t>
        </is>
      </c>
      <c r="O115" s="4" t="inlineStr">
        <is>
          <t>https://jumper.xyz/?fromChain=1151111081099710&amp;fromToken=EPjFWdd5AufqSSqeM2qN1xzybapC8G4wEGGkZwyTDt1v&amp;toChain=56&amp;toToken=0x8ac76a51cc950d9822d68b83fe1ad97b32cd580d</t>
        </is>
      </c>
      <c r="P115" s="4" t="inlineStr">
        <is>
          <t>20260923T141817Z</t>
        </is>
      </c>
      <c r="Q115" s="4" t="inlineStr">
        <is>
          <t>2026-09-23T14:24:42.077Z</t>
        </is>
      </c>
      <c r="R115" s="4" t="inlineStr">
        <is>
          <t>2026-09-23T14:24:42.077Z</t>
        </is>
      </c>
      <c r="S115" s="13" t="n">
        <v>0.005</v>
      </c>
    </row>
    <row r="116">
      <c r="A116" s="4" t="inlineStr">
        <is>
          <t>f05078ea1a82</t>
        </is>
      </c>
      <c r="B116" s="4" t="inlineStr">
        <is>
          <t>SOL-&gt;BSC</t>
        </is>
      </c>
      <c r="C116" s="4" t="n">
        <v>2</v>
      </c>
      <c r="D116" s="4" t="inlineStr">
        <is>
          <t>Across</t>
        </is>
      </c>
      <c r="E116" s="4" t="inlineStr">
        <is>
          <t>venue</t>
        </is>
      </c>
      <c r="F116" s="4" t="inlineStr">
        <is>
          <t>OK</t>
        </is>
      </c>
      <c r="G116" s="4" t="inlineStr">
        <is>
          <t>2026-09-23T14:24:12.906Z</t>
        </is>
      </c>
      <c r="H116" s="4" t="inlineStr">
        <is>
          <t>2026-09-23T14:24:14.756Z</t>
        </is>
      </c>
      <c r="I116" s="4" t="inlineStr">
        <is>
          <t>2026-09-23T14:24:42.085Z</t>
        </is>
      </c>
      <c r="J116" s="13" t="n">
        <v>0.002</v>
      </c>
      <c r="K116" s="19" t="n">
        <v>99.982214</v>
      </c>
      <c r="L116" s="20" t="n"/>
      <c r="M116" s="4" t="n"/>
      <c r="N116" s="4" t="inlineStr"/>
      <c r="O116" s="4" t="inlineStr">
        <is>
          <t>https://across.to/?from=solana&amp;to=bsc&amp;inputToken=USDC&amp;outputToken=USDC</t>
        </is>
      </c>
      <c r="P116" s="4" t="inlineStr">
        <is>
          <t>20260923T141817Z</t>
        </is>
      </c>
      <c r="Q116" s="4" t="inlineStr">
        <is>
          <t>2026-09-23T14:24:42.079Z</t>
        </is>
      </c>
      <c r="R116" s="4" t="inlineStr">
        <is>
          <t>2026-09-23T14:24:16.895Z</t>
        </is>
      </c>
      <c r="S116" s="13" t="n">
        <v>0.005</v>
      </c>
    </row>
    <row r="117">
      <c r="A117" s="4" t="inlineStr">
        <is>
          <t>f05078ea1a82</t>
        </is>
      </c>
      <c r="B117" s="4" t="inlineStr">
        <is>
          <t>SOL-&gt;BSC</t>
        </is>
      </c>
      <c r="C117" s="4" t="n">
        <v>2</v>
      </c>
      <c r="D117" s="4" t="inlineStr">
        <is>
          <t>Mayan</t>
        </is>
      </c>
      <c r="E117" s="4" t="inlineStr">
        <is>
          <t>venue</t>
        </is>
      </c>
      <c r="F117" s="4" t="inlineStr">
        <is>
          <t>OK</t>
        </is>
      </c>
      <c r="G117" s="4" t="inlineStr">
        <is>
          <t>2026-09-23T14:24:12.905Z</t>
        </is>
      </c>
      <c r="H117" s="4" t="inlineStr">
        <is>
          <t>2026-09-23T14:24:14.406Z</t>
        </is>
      </c>
      <c r="I117" s="4" t="inlineStr">
        <is>
          <t>2026-09-23T14:24:42.084Z</t>
        </is>
      </c>
      <c r="J117" s="13" t="n">
        <v>0.002</v>
      </c>
      <c r="K117" s="19" t="n">
        <v>99.931</v>
      </c>
      <c r="L117" s="20" t="n"/>
      <c r="M117" s="4" t="n"/>
      <c r="N117" s="4" t="inlineStr">
        <is>
          <t>mode=Swift v2; eta=3s; display_decimals=3</t>
        </is>
      </c>
      <c r="O117" s="4" t="inlineStr">
        <is>
          <t>https://swap.mayan.finance/</t>
        </is>
      </c>
      <c r="P117" s="4" t="inlineStr">
        <is>
          <t>20260923T141817Z</t>
        </is>
      </c>
      <c r="Q117" s="4" t="inlineStr">
        <is>
          <t>2026-09-23T14:24:42.079Z</t>
        </is>
      </c>
      <c r="R117" s="4" t="inlineStr">
        <is>
          <t>2026-09-23T14:24:16.540Z</t>
        </is>
      </c>
      <c r="S117" s="13" t="n">
        <v>0.005</v>
      </c>
    </row>
    <row r="118">
      <c r="A118" s="4" t="inlineStr">
        <is>
          <t>f05078ea1a82</t>
        </is>
      </c>
      <c r="B118" s="4" t="inlineStr">
        <is>
          <t>SOL-&gt;BSC</t>
        </is>
      </c>
      <c r="C118" s="4" t="n">
        <v>2</v>
      </c>
      <c r="D118" s="4" t="inlineStr">
        <is>
          <t>Husher</t>
        </is>
      </c>
      <c r="E118" s="4" t="inlineStr">
        <is>
          <t>venue</t>
        </is>
      </c>
      <c r="F118" s="4" t="inlineStr">
        <is>
          <t>OK</t>
        </is>
      </c>
      <c r="G118" s="4" t="inlineStr">
        <is>
          <t>2026-09-23T14:24:12.919Z</t>
        </is>
      </c>
      <c r="H118" s="4" t="inlineStr">
        <is>
          <t>2026-09-23T14:24:14.160Z</t>
        </is>
      </c>
      <c r="I118" s="4" t="inlineStr">
        <is>
          <t>2026-09-23T14:24:42.094Z</t>
        </is>
      </c>
      <c r="J118" s="13" t="n">
        <v>0.003</v>
      </c>
      <c r="K118" s="19" t="n">
        <v>99.65000000000001</v>
      </c>
      <c r="L118" s="20" t="n"/>
      <c r="M118" s="4" t="n"/>
      <c r="N118" s="4" t="inlineStr">
        <is>
          <t>out_usd=$99.67; provider=Husher (Best Rate); rate_type=floating; fee_deducted=0.35; network_fee_deducted=0.0; api_receive=99.65000000; eta_s=40; display_decimals=2</t>
        </is>
      </c>
      <c r="O118" s="4" t="inlineStr">
        <is>
          <t>https://www.husher.io/</t>
        </is>
      </c>
      <c r="P118" s="4" t="inlineStr">
        <is>
          <t>20260923T141817Z</t>
        </is>
      </c>
      <c r="Q118" s="4" t="inlineStr">
        <is>
          <t>2026-09-23T14:24:42.078Z</t>
        </is>
      </c>
      <c r="R118" s="4" t="inlineStr">
        <is>
          <t>2026-09-23T14:24:16.237Z</t>
        </is>
      </c>
      <c r="S118" s="13" t="n">
        <v>0.005</v>
      </c>
    </row>
    <row r="119">
      <c r="A119" s="4" t="inlineStr">
        <is>
          <t>f05078ea1a82</t>
        </is>
      </c>
      <c r="B119" s="4" t="inlineStr">
        <is>
          <t>SOL-&gt;BSC</t>
        </is>
      </c>
      <c r="C119" s="4" t="n">
        <v>2</v>
      </c>
      <c r="D119" s="4" t="inlineStr">
        <is>
          <t>Layerswap</t>
        </is>
      </c>
      <c r="E119" s="4" t="inlineStr">
        <is>
          <t>venue</t>
        </is>
      </c>
      <c r="F119" s="4" t="inlineStr">
        <is>
          <t>OK</t>
        </is>
      </c>
      <c r="G119" s="4" t="inlineStr">
        <is>
          <t>2026-09-23T14:24:12.906Z</t>
        </is>
      </c>
      <c r="H119" s="4" t="inlineStr">
        <is>
          <t>2026-09-23T14:24:15.415Z</t>
        </is>
      </c>
      <c r="I119" s="4" t="inlineStr">
        <is>
          <t>2026-09-23T14:24:42.098Z</t>
        </is>
      </c>
      <c r="J119" s="13" t="n">
        <v>0</v>
      </c>
      <c r="K119" s="19" t="n">
        <v>99.863123</v>
      </c>
      <c r="L119" s="20" t="n"/>
      <c r="M119" s="4" t="n"/>
      <c r="N119" s="4" t="inlineStr">
        <is>
          <t>out_usd=$99.84; fee_usd=0.14; slippage=0.00%; eta=3 secs; to_token=USDC; to_chain=BSC; display_decimals=6</t>
        </is>
      </c>
      <c r="O119" s="4" t="inlineStr">
        <is>
          <t>https://layerswap.io/app?from=SOLANA_MAINNET&amp;to=BSC_MAINNET&amp;fromAsset=USDC&amp;toAsset=USDC</t>
        </is>
      </c>
      <c r="P119" s="4" t="inlineStr">
        <is>
          <t>20260923T141817Z</t>
        </is>
      </c>
      <c r="Q119" s="4" t="inlineStr">
        <is>
          <t>2026-09-23T14:24:42.081Z</t>
        </is>
      </c>
      <c r="R119" s="4" t="inlineStr">
        <is>
          <t>2026-09-23T14:24:17.555Z</t>
        </is>
      </c>
      <c r="S119" s="13" t="n">
        <v>0.005</v>
      </c>
    </row>
    <row r="120">
      <c r="A120" s="4" t="inlineStr">
        <is>
          <t>f05078ea1a82</t>
        </is>
      </c>
      <c r="B120" s="4" t="inlineStr">
        <is>
          <t>SOL-&gt;BSC</t>
        </is>
      </c>
      <c r="C120" s="4" t="n">
        <v>2</v>
      </c>
      <c r="D120" s="4" t="inlineStr">
        <is>
          <t>Meson</t>
        </is>
      </c>
      <c r="E120" s="4" t="inlineStr">
        <is>
          <t>venue</t>
        </is>
      </c>
      <c r="F120" s="4" t="inlineStr">
        <is>
          <t>OK</t>
        </is>
      </c>
      <c r="G120" s="4" t="inlineStr">
        <is>
          <t>2026-09-23T14:24:12.919Z</t>
        </is>
      </c>
      <c r="H120" s="4" t="inlineStr">
        <is>
          <t>2026-09-23T14:24:13.695Z</t>
        </is>
      </c>
      <c r="I120" s="4" t="inlineStr">
        <is>
          <t>2026-09-23T14:24:42.087Z</t>
        </is>
      </c>
      <c r="J120" s="13" t="n">
        <v>0.003</v>
      </c>
      <c r="K120" s="19" t="n">
        <v>99.88</v>
      </c>
      <c r="L120" s="20" t="n">
        <v>0</v>
      </c>
      <c r="M120" s="4" t="n"/>
      <c r="N120" s="4" t="inlineStr">
        <is>
          <t>fees_deducted=[['Fee', 0.12, 'USDC']]; fee_total=0.12; fixed_fee_on_top=0.0; display_decimals=2</t>
        </is>
      </c>
      <c r="O120" s="4" t="inlineStr">
        <is>
          <t>https://meson.fi/swap</t>
        </is>
      </c>
      <c r="P120" s="4" t="inlineStr">
        <is>
          <t>20260923T141817Z</t>
        </is>
      </c>
      <c r="Q120" s="4" t="inlineStr">
        <is>
          <t>2026-09-23T14:24:42.078Z</t>
        </is>
      </c>
      <c r="R120" s="4" t="inlineStr">
        <is>
          <t>2026-09-23T14:24:15.941Z</t>
        </is>
      </c>
      <c r="S120" s="13" t="n">
        <v>0.005</v>
      </c>
    </row>
    <row r="121">
      <c r="A121" s="4" t="inlineStr">
        <is>
          <t>f05078ea1a82</t>
        </is>
      </c>
      <c r="B121" s="4" t="inlineStr">
        <is>
          <t>SOL-&gt;BSC</t>
        </is>
      </c>
      <c r="C121" s="4" t="n">
        <v>2</v>
      </c>
      <c r="D121" s="4" t="inlineStr">
        <is>
          <t>SimpleSwap</t>
        </is>
      </c>
      <c r="E121" s="4" t="inlineStr">
        <is>
          <t>venue</t>
        </is>
      </c>
      <c r="F121" s="4" t="inlineStr">
        <is>
          <t>OK</t>
        </is>
      </c>
      <c r="G121" s="4" t="inlineStr">
        <is>
          <t>2026-09-23T14:24:12.920Z</t>
        </is>
      </c>
      <c r="H121" s="4" t="inlineStr">
        <is>
          <t>2026-09-23T14:24:15.553Z</t>
        </is>
      </c>
      <c r="I121" s="4" t="inlineStr">
        <is>
          <t>2026-09-23T14:24:42.178Z</t>
        </is>
      </c>
      <c r="J121" s="13" t="n">
        <v>0.001</v>
      </c>
      <c r="K121" s="19" t="n">
        <v>98.139</v>
      </c>
      <c r="L121" s="20" t="n">
        <v>0</v>
      </c>
      <c r="M121" s="4" t="inlineStr">
        <is>
          <t>USDC</t>
        </is>
      </c>
      <c r="N121" s="4" t="inlineStr">
        <is>
          <t>best_card_out=98.139; selected_card=Best rate; rate_type=floating; fixed_fee_on_top=0.0; fixed_fee_token=USDC; display_decimals=3; small_sum_warning=False</t>
        </is>
      </c>
      <c r="O121" s="4" t="inlineStr">
        <is>
          <t>https://simpleswap.io/?from=usdc-sol&amp;to=usdc-bsc</t>
        </is>
      </c>
      <c r="P121" s="4" t="inlineStr">
        <is>
          <t>20260923T141817Z</t>
        </is>
      </c>
      <c r="Q121" s="4" t="inlineStr">
        <is>
          <t>2026-09-23T14:24:42.082Z</t>
        </is>
      </c>
      <c r="R121" s="4" t="inlineStr">
        <is>
          <t>2026-09-23T14:24:17.783Z</t>
        </is>
      </c>
      <c r="S121" s="13" t="n">
        <v>0.005</v>
      </c>
    </row>
    <row r="122">
      <c r="A122" s="4" t="inlineStr">
        <is>
          <t>2422392f0b38</t>
        </is>
      </c>
      <c r="B122" s="4" t="inlineStr">
        <is>
          <t>BSC-&gt;SOL</t>
        </is>
      </c>
      <c r="C122" s="4" t="n">
        <v>2</v>
      </c>
      <c r="D122" s="4" t="inlineStr">
        <is>
          <t>Bridg</t>
        </is>
      </c>
      <c r="E122" s="4" t="inlineStr">
        <is>
          <t>bridg</t>
        </is>
      </c>
      <c r="F122" s="4" t="inlineStr">
        <is>
          <t>OK</t>
        </is>
      </c>
      <c r="G122" s="4" t="inlineStr">
        <is>
          <t>2026-09-23T14:25:07.466Z</t>
        </is>
      </c>
      <c r="H122" s="4" t="inlineStr">
        <is>
          <t>2026-09-23T14:25:08.820Z</t>
        </is>
      </c>
      <c r="I122" s="4" t="inlineStr">
        <is>
          <t>2026-09-23T14:25:12.931Z</t>
        </is>
      </c>
      <c r="J122" s="13" t="n"/>
      <c r="K122" s="19" t="n">
        <v>99.639692</v>
      </c>
      <c r="L122" s="20" t="n"/>
      <c r="M122" s="4" t="n"/>
      <c r="N122" s="4" t="inlineStr">
        <is>
          <t>best via Mayan; 10 venues priced; fees [['Mayan fee', 0.310309], ['Bridg fee', 0.05]]</t>
        </is>
      </c>
      <c r="O122" s="4" t="inlineStr">
        <is>
          <t>https://bridg.now/swap/</t>
        </is>
      </c>
      <c r="P122" s="4" t="inlineStr">
        <is>
          <t>20260923T141817Z</t>
        </is>
      </c>
      <c r="Q122" s="4" t="inlineStr">
        <is>
          <t>2026-09-23T14:25:12.872Z</t>
        </is>
      </c>
      <c r="R122" s="4" t="inlineStr">
        <is>
          <t>2026-09-23T14:25:12.564Z</t>
        </is>
      </c>
      <c r="S122" s="13" t="n">
        <v>0.003</v>
      </c>
    </row>
    <row r="123">
      <c r="A123" s="4" t="inlineStr">
        <is>
          <t>2422392f0b38</t>
        </is>
      </c>
      <c r="B123" s="4" t="inlineStr">
        <is>
          <t>BSC-&gt;SOL</t>
        </is>
      </c>
      <c r="C123" s="4" t="n">
        <v>2</v>
      </c>
      <c r="D123" s="4" t="inlineStr">
        <is>
          <t>Relay</t>
        </is>
      </c>
      <c r="E123" s="4" t="inlineStr">
        <is>
          <t>venue</t>
        </is>
      </c>
      <c r="F123" s="4" t="inlineStr">
        <is>
          <t>OK</t>
        </is>
      </c>
      <c r="G123" s="4" t="inlineStr">
        <is>
          <t>2026-09-23T14:25:07.466Z</t>
        </is>
      </c>
      <c r="H123" s="4" t="inlineStr">
        <is>
          <t>2026-09-23T14:25:09.600Z</t>
        </is>
      </c>
      <c r="I123" s="4" t="inlineStr">
        <is>
          <t>2026-09-23T14:25:12.916Z</t>
        </is>
      </c>
      <c r="J123" s="13" t="n">
        <v>0.001</v>
      </c>
      <c r="K123" s="19" t="n">
        <v>99.88570900000001</v>
      </c>
      <c r="L123" s="20" t="n"/>
      <c r="M123" s="4" t="n"/>
      <c r="N123" s="4" t="inlineStr">
        <is>
          <t>rate=0.9988</t>
        </is>
      </c>
      <c r="O123" s="4" t="inlineStr">
        <is>
          <t>https://relay.link/bridge/solana?fromChainId=56&amp;fromCurrency=0x8ac76a51cc950d9822d68b83fe1ad97b32cd580d&amp;toCurrency=EPjFWdd5AufqSSqeM2qN1xzybapC8G4wEGGkZwyTDt1v</t>
        </is>
      </c>
      <c r="P123" s="4" t="inlineStr">
        <is>
          <t>20260923T141817Z</t>
        </is>
      </c>
      <c r="Q123" s="4" t="inlineStr">
        <is>
          <t>2026-09-23T14:25:12.871Z</t>
        </is>
      </c>
      <c r="R123" s="4" t="inlineStr">
        <is>
          <t>2026-09-23T14:25:11.793Z</t>
        </is>
      </c>
      <c r="S123" s="13" t="n">
        <v>0.003</v>
      </c>
    </row>
    <row r="124">
      <c r="A124" s="4" t="inlineStr">
        <is>
          <t>2422392f0b38</t>
        </is>
      </c>
      <c r="B124" s="4" t="inlineStr">
        <is>
          <t>BSC-&gt;SOL</t>
        </is>
      </c>
      <c r="C124" s="4" t="n">
        <v>2</v>
      </c>
      <c r="D124" s="4" t="inlineStr">
        <is>
          <t>deBridge</t>
        </is>
      </c>
      <c r="E124" s="4" t="inlineStr">
        <is>
          <t>venue</t>
        </is>
      </c>
      <c r="F124" s="4" t="inlineStr">
        <is>
          <t>OK</t>
        </is>
      </c>
      <c r="G124" s="4" t="inlineStr">
        <is>
          <t>2026-09-23T14:25:07.467Z</t>
        </is>
      </c>
      <c r="H124" s="4" t="inlineStr">
        <is>
          <t>2026-09-23T14:25:09.558Z</t>
        </is>
      </c>
      <c r="I124" s="4" t="inlineStr">
        <is>
          <t>2026-09-23T14:25:12.910Z</t>
        </is>
      </c>
      <c r="J124" s="13" t="n">
        <v>0.002</v>
      </c>
      <c r="K124" s="19" t="n">
        <v>99.920017</v>
      </c>
      <c r="L124" s="20" t="n">
        <v>1.0085</v>
      </c>
      <c r="M124" s="4" t="inlineStr">
        <is>
          <t>USDC</t>
        </is>
      </c>
      <c r="N124" s="4" t="inlineStr">
        <is>
          <t>fixed_fee_on_top=1.0085; fixed_fee_token=USDC</t>
        </is>
      </c>
      <c r="O124" s="4" t="inlineStr">
        <is>
          <t>https://app.debridge.com/?inputChain=56&amp;outputChain=7565164&amp;inputCurrency=0x8ac76a51cc950d9822d68b83fe1ad97b32cd580d&amp;outputCurrency=EPjFWdd5AufqSSqeM2qN1xzybapC8G4wEGGkZwyTDt1v&amp;dlnMode=simple</t>
        </is>
      </c>
      <c r="P124" s="4" t="inlineStr">
        <is>
          <t>20260923T141817Z</t>
        </is>
      </c>
      <c r="Q124" s="4" t="inlineStr">
        <is>
          <t>2026-09-23T14:25:12.870Z</t>
        </is>
      </c>
      <c r="R124" s="4" t="inlineStr">
        <is>
          <t>2026-09-23T14:25:11.716Z</t>
        </is>
      </c>
      <c r="S124" s="13" t="n">
        <v>0.003</v>
      </c>
    </row>
    <row r="125">
      <c r="A125" s="4" t="inlineStr">
        <is>
          <t>2422392f0b38</t>
        </is>
      </c>
      <c r="B125" s="4" t="inlineStr">
        <is>
          <t>BSC-&gt;SOL</t>
        </is>
      </c>
      <c r="C125" s="4" t="n">
        <v>2</v>
      </c>
      <c r="D125" s="4" t="inlineStr">
        <is>
          <t>LI.FI (Jumper)</t>
        </is>
      </c>
      <c r="E125" s="4" t="inlineStr">
        <is>
          <t>venue</t>
        </is>
      </c>
      <c r="F125" s="4" t="inlineStr">
        <is>
          <t>OK</t>
        </is>
      </c>
      <c r="G125" s="4" t="inlineStr">
        <is>
          <t>2026-09-23T14:25:07.476Z</t>
        </is>
      </c>
      <c r="H125" s="4" t="inlineStr">
        <is>
          <t>2026-09-23T14:25:10.200Z</t>
        </is>
      </c>
      <c r="I125" s="4" t="inlineStr">
        <is>
          <t>2026-09-23T14:25:12.896Z</t>
        </is>
      </c>
      <c r="J125" s="13" t="n">
        <v>0.001</v>
      </c>
      <c r="K125" s="19" t="n">
        <v>99.88570900000001</v>
      </c>
      <c r="L125" s="20" t="n"/>
      <c r="M125" s="4" t="n"/>
      <c r="N125" s="4" t="inlineStr">
        <is>
          <t>best_return_venue=Relay; max_out=99.885709</t>
        </is>
      </c>
      <c r="O125" s="4" t="inlineStr">
        <is>
          <t>https://jumper.xyz/?fromChain=56&amp;fromToken=0x8ac76a51cc950d9822d68b83fe1ad97b32cd580d&amp;toChain=1151111081099710&amp;toToken=EPjFWdd5AufqSSqeM2qN1xzybapC8G4wEGGkZwyTDt1v</t>
        </is>
      </c>
      <c r="P125" s="4" t="inlineStr">
        <is>
          <t>20260923T141817Z</t>
        </is>
      </c>
      <c r="Q125" s="4" t="inlineStr">
        <is>
          <t>2026-09-23T14:25:12.871Z</t>
        </is>
      </c>
      <c r="R125" s="4" t="inlineStr">
        <is>
          <t>2026-09-23T14:25:12.350Z</t>
        </is>
      </c>
      <c r="S125" s="13" t="n">
        <v>0.003</v>
      </c>
    </row>
    <row r="126">
      <c r="A126" s="4" t="inlineStr">
        <is>
          <t>2422392f0b38</t>
        </is>
      </c>
      <c r="B126" s="4" t="inlineStr">
        <is>
          <t>BSC-&gt;SOL</t>
        </is>
      </c>
      <c r="C126" s="4" t="n">
        <v>2</v>
      </c>
      <c r="D126" s="4" t="inlineStr">
        <is>
          <t>Across</t>
        </is>
      </c>
      <c r="E126" s="4" t="inlineStr">
        <is>
          <t>venue</t>
        </is>
      </c>
      <c r="F126" s="4" t="inlineStr">
        <is>
          <t>OK</t>
        </is>
      </c>
      <c r="G126" s="4" t="inlineStr">
        <is>
          <t>2026-09-23T14:25:07.465Z</t>
        </is>
      </c>
      <c r="H126" s="4" t="inlineStr">
        <is>
          <t>2026-09-23T14:25:08.809Z</t>
        </is>
      </c>
      <c r="I126" s="4" t="inlineStr">
        <is>
          <t>2026-09-23T14:25:12.874Z</t>
        </is>
      </c>
      <c r="J126" s="13" t="n">
        <v>0.003</v>
      </c>
      <c r="K126" s="19" t="n">
        <v>99.98218799999999</v>
      </c>
      <c r="L126" s="20" t="n"/>
      <c r="M126" s="4" t="n"/>
      <c r="N126" s="4" t="inlineStr"/>
      <c r="O126" s="4" t="inlineStr">
        <is>
          <t>https://across.to/?from=bsc&amp;to=solana&amp;inputToken=USDC&amp;outputToken=USDC</t>
        </is>
      </c>
      <c r="P126" s="4" t="inlineStr">
        <is>
          <t>20260923T141817Z</t>
        </is>
      </c>
      <c r="Q126" s="4" t="inlineStr">
        <is>
          <t>2026-09-23T14:25:12.869Z</t>
        </is>
      </c>
      <c r="R126" s="4" t="inlineStr">
        <is>
          <t>2026-09-23T14:25:10.996Z</t>
        </is>
      </c>
      <c r="S126" s="13" t="n">
        <v>0.003</v>
      </c>
    </row>
    <row r="127">
      <c r="A127" s="4" t="inlineStr">
        <is>
          <t>2422392f0b38</t>
        </is>
      </c>
      <c r="B127" s="4" t="inlineStr">
        <is>
          <t>BSC-&gt;SOL</t>
        </is>
      </c>
      <c r="C127" s="4" t="n">
        <v>2</v>
      </c>
      <c r="D127" s="4" t="inlineStr">
        <is>
          <t>Mayan</t>
        </is>
      </c>
      <c r="E127" s="4" t="inlineStr">
        <is>
          <t>venue</t>
        </is>
      </c>
      <c r="F127" s="4" t="inlineStr">
        <is>
          <t>OK</t>
        </is>
      </c>
      <c r="G127" s="4" t="inlineStr">
        <is>
          <t>2026-09-23T14:25:07.457Z</t>
        </is>
      </c>
      <c r="H127" s="4" t="inlineStr">
        <is>
          <t>2026-09-23T14:25:09.066Z</t>
        </is>
      </c>
      <c r="I127" s="4" t="inlineStr">
        <is>
          <t>2026-09-23T14:25:12.875Z</t>
        </is>
      </c>
      <c r="J127" s="13" t="n">
        <v>0.002</v>
      </c>
      <c r="K127" s="19" t="n">
        <v>99.68899999999999</v>
      </c>
      <c r="L127" s="20" t="n"/>
      <c r="M127" s="4" t="n"/>
      <c r="N127" s="4" t="inlineStr">
        <is>
          <t>mode=Swift v2; eta=3s; display_decimals=3</t>
        </is>
      </c>
      <c r="O127" s="4" t="inlineStr">
        <is>
          <t>https://swap.mayan.finance/</t>
        </is>
      </c>
      <c r="P127" s="4" t="inlineStr">
        <is>
          <t>20260923T141817Z</t>
        </is>
      </c>
      <c r="Q127" s="4" t="inlineStr">
        <is>
          <t>2026-09-23T14:25:12.870Z</t>
        </is>
      </c>
      <c r="R127" s="4" t="inlineStr">
        <is>
          <t>2026-09-23T14:25:11.243Z</t>
        </is>
      </c>
      <c r="S127" s="13" t="n">
        <v>0.003</v>
      </c>
    </row>
    <row r="128">
      <c r="A128" s="4" t="inlineStr">
        <is>
          <t>2422392f0b38</t>
        </is>
      </c>
      <c r="B128" s="4" t="inlineStr">
        <is>
          <t>BSC-&gt;SOL</t>
        </is>
      </c>
      <c r="C128" s="4" t="n">
        <v>2</v>
      </c>
      <c r="D128" s="4" t="inlineStr">
        <is>
          <t>Husher</t>
        </is>
      </c>
      <c r="E128" s="4" t="inlineStr">
        <is>
          <t>venue</t>
        </is>
      </c>
      <c r="F128" s="4" t="inlineStr">
        <is>
          <t>OK</t>
        </is>
      </c>
      <c r="G128" s="4" t="inlineStr">
        <is>
          <t>2026-09-23T14:25:07.480Z</t>
        </is>
      </c>
      <c r="H128" s="4" t="inlineStr">
        <is>
          <t>2026-09-23T14:25:09.067Z</t>
        </is>
      </c>
      <c r="I128" s="4" t="inlineStr">
        <is>
          <t>2026-09-23T14:25:12.910Z</t>
        </is>
      </c>
      <c r="J128" s="13" t="n">
        <v>0.002</v>
      </c>
      <c r="K128" s="19" t="n">
        <v>99.34999999999999</v>
      </c>
      <c r="L128" s="20" t="n"/>
      <c r="M128" s="4" t="n"/>
      <c r="N128" s="4" t="inlineStr">
        <is>
          <t>out_usd=$99.37; provider=Husher (Best Rate); rate_type=floating; fee_deducted=0.35; network_fee_deducted=0.3; api_receive=99.35000000; eta_s=40; display_decimals=2</t>
        </is>
      </c>
      <c r="O128" s="4" t="inlineStr">
        <is>
          <t>https://www.husher.io/</t>
        </is>
      </c>
      <c r="P128" s="4" t="inlineStr">
        <is>
          <t>20260923T141817Z</t>
        </is>
      </c>
      <c r="Q128" s="4" t="inlineStr">
        <is>
          <t>2026-09-23T14:25:12.870Z</t>
        </is>
      </c>
      <c r="R128" s="4" t="inlineStr">
        <is>
          <t>2026-09-23T14:25:11.336Z</t>
        </is>
      </c>
      <c r="S128" s="13" t="n">
        <v>0.003</v>
      </c>
    </row>
    <row r="129">
      <c r="A129" s="4" t="inlineStr">
        <is>
          <t>2422392f0b38</t>
        </is>
      </c>
      <c r="B129" s="4" t="inlineStr">
        <is>
          <t>BSC-&gt;SOL</t>
        </is>
      </c>
      <c r="C129" s="4" t="n">
        <v>2</v>
      </c>
      <c r="D129" s="4" t="inlineStr">
        <is>
          <t>Layerswap</t>
        </is>
      </c>
      <c r="E129" s="4" t="inlineStr">
        <is>
          <t>venue</t>
        </is>
      </c>
      <c r="F129" s="4" t="inlineStr">
        <is>
          <t>OK</t>
        </is>
      </c>
      <c r="G129" s="4" t="inlineStr">
        <is>
          <t>2026-09-23T14:25:07.465Z</t>
        </is>
      </c>
      <c r="H129" s="4" t="inlineStr">
        <is>
          <t>2026-09-23T14:25:09.779Z</t>
        </is>
      </c>
      <c r="I129" s="4" t="inlineStr">
        <is>
          <t>2026-09-23T14:25:12.925Z</t>
        </is>
      </c>
      <c r="J129" s="13" t="n">
        <v>0.001</v>
      </c>
      <c r="K129" s="19" t="n">
        <v>99.63508899999999</v>
      </c>
      <c r="L129" s="20" t="n"/>
      <c r="M129" s="4" t="n"/>
      <c r="N129" s="4" t="inlineStr">
        <is>
          <t>out_usd=$99.61; fee_usd=0.36; slippage=0.00%; eta=22 secs; to_token=USDC; to_chain=Solana; display_decimals=6</t>
        </is>
      </c>
      <c r="O129" s="4" t="inlineStr">
        <is>
          <t>https://layerswap.io/app?from=BSC_MAINNET&amp;to=SOLANA_MAINNET&amp;fromAsset=USDC&amp;toAsset=USDC</t>
        </is>
      </c>
      <c r="P129" s="4" t="inlineStr">
        <is>
          <t>20260923T141817Z</t>
        </is>
      </c>
      <c r="Q129" s="4" t="inlineStr">
        <is>
          <t>2026-09-23T14:25:12.871Z</t>
        </is>
      </c>
      <c r="R129" s="4" t="inlineStr">
        <is>
          <t>2026-09-23T14:25:11.954Z</t>
        </is>
      </c>
      <c r="S129" s="13" t="n">
        <v>0.003</v>
      </c>
    </row>
    <row r="130">
      <c r="A130" s="4" t="inlineStr">
        <is>
          <t>2422392f0b38</t>
        </is>
      </c>
      <c r="B130" s="4" t="inlineStr">
        <is>
          <t>BSC-&gt;SOL</t>
        </is>
      </c>
      <c r="C130" s="4" t="n">
        <v>2</v>
      </c>
      <c r="D130" s="4" t="inlineStr">
        <is>
          <t>Meson</t>
        </is>
      </c>
      <c r="E130" s="4" t="inlineStr">
        <is>
          <t>venue</t>
        </is>
      </c>
      <c r="F130" s="4" t="inlineStr">
        <is>
          <t>OK</t>
        </is>
      </c>
      <c r="G130" s="4" t="inlineStr">
        <is>
          <t>2026-09-23T14:25:07.480Z</t>
        </is>
      </c>
      <c r="H130" s="4" t="inlineStr">
        <is>
          <t>2026-09-23T14:25:08.525Z</t>
        </is>
      </c>
      <c r="I130" s="4" t="inlineStr">
        <is>
          <t>2026-09-23T14:25:12.876Z</t>
        </is>
      </c>
      <c r="J130" s="13" t="n">
        <v>0.003</v>
      </c>
      <c r="K130" s="19" t="n">
        <v>99.59999999999999</v>
      </c>
      <c r="L130" s="20" t="n">
        <v>0</v>
      </c>
      <c r="M130" s="4" t="n"/>
      <c r="N130" s="4" t="inlineStr">
        <is>
          <t>fees_deducted=[['Fee', 0.4, 'USDC']]; fee_total=0.4; fixed_fee_on_top=0.0; display_decimals=1</t>
        </is>
      </c>
      <c r="O130" s="4" t="inlineStr">
        <is>
          <t>https://meson.fi/swap</t>
        </is>
      </c>
      <c r="P130" s="4" t="inlineStr">
        <is>
          <t>20260923T141817Z</t>
        </is>
      </c>
      <c r="Q130" s="4" t="inlineStr">
        <is>
          <t>2026-09-23T14:25:12.869Z</t>
        </is>
      </c>
      <c r="R130" s="4" t="inlineStr">
        <is>
          <t>2026-09-23T14:25:10.704Z</t>
        </is>
      </c>
      <c r="S130" s="13" t="n">
        <v>0.003</v>
      </c>
    </row>
    <row r="131">
      <c r="A131" s="4" t="inlineStr">
        <is>
          <t>2422392f0b38</t>
        </is>
      </c>
      <c r="B131" s="4" t="inlineStr">
        <is>
          <t>BSC-&gt;SOL</t>
        </is>
      </c>
      <c r="C131" s="4" t="n">
        <v>2</v>
      </c>
      <c r="D131" s="4" t="inlineStr">
        <is>
          <t>SimpleSwap</t>
        </is>
      </c>
      <c r="E131" s="4" t="inlineStr">
        <is>
          <t>venue</t>
        </is>
      </c>
      <c r="F131" s="4" t="inlineStr">
        <is>
          <t>OK</t>
        </is>
      </c>
      <c r="G131" s="4" t="inlineStr">
        <is>
          <t>2026-09-23T14:25:07.479Z</t>
        </is>
      </c>
      <c r="H131" s="4" t="inlineStr">
        <is>
          <t>2026-09-23T14:25:10.219Z</t>
        </is>
      </c>
      <c r="I131" s="4" t="inlineStr">
        <is>
          <t>2026-09-23T14:25:12.961Z</t>
        </is>
      </c>
      <c r="J131" s="13" t="n">
        <v>0</v>
      </c>
      <c r="K131" s="19" t="n">
        <v>98.180302</v>
      </c>
      <c r="L131" s="20" t="n">
        <v>0</v>
      </c>
      <c r="M131" s="4" t="inlineStr">
        <is>
          <t>USDC</t>
        </is>
      </c>
      <c r="N131" s="4" t="inlineStr">
        <is>
          <t>best_card_out=98.180302; selected_card=Best rate; rate_type=floating; fixed_fee_on_top=0.0; fixed_fee_token=USDC; display_decimals=6; small_sum_warning=False</t>
        </is>
      </c>
      <c r="O131" s="4" t="inlineStr">
        <is>
          <t>https://simpleswap.io/?from=usdc-bsc&amp;to=usdc-sol</t>
        </is>
      </c>
      <c r="P131" s="4" t="inlineStr">
        <is>
          <t>20260923T141817Z</t>
        </is>
      </c>
      <c r="Q131" s="4" t="inlineStr">
        <is>
          <t>2026-09-23T14:25:12.872Z</t>
        </is>
      </c>
      <c r="R131" s="4" t="inlineStr">
        <is>
          <t>2026-09-23T14:25:12.513Z</t>
        </is>
      </c>
      <c r="S131" s="13" t="n">
        <v>0.003</v>
      </c>
    </row>
    <row r="132">
      <c r="A132" s="4" t="inlineStr">
        <is>
          <t>2422392f0b38</t>
        </is>
      </c>
      <c r="B132" s="4" t="inlineStr">
        <is>
          <t>BSC-&gt;SOL</t>
        </is>
      </c>
      <c r="C132" s="4" t="n">
        <v>2</v>
      </c>
      <c r="D132" s="4" t="inlineStr">
        <is>
          <t>Symbiosis</t>
        </is>
      </c>
      <c r="E132" s="4" t="inlineStr">
        <is>
          <t>venue</t>
        </is>
      </c>
      <c r="F132" s="4" t="inlineStr">
        <is>
          <t>OK</t>
        </is>
      </c>
      <c r="G132" s="4" t="inlineStr">
        <is>
          <t>2026-09-23T14:25:07.466Z</t>
        </is>
      </c>
      <c r="H132" s="4" t="inlineStr">
        <is>
          <t>2026-09-23T14:25:10.704Z</t>
        </is>
      </c>
      <c r="I132" s="4" t="inlineStr">
        <is>
          <t>2026-09-23T14:25:12.906Z</t>
        </is>
      </c>
      <c r="J132" s="13" t="n">
        <v>0.003</v>
      </c>
      <c r="K132" s="19" t="n">
        <v>98.360523</v>
      </c>
      <c r="L132" s="20" t="n">
        <v>0</v>
      </c>
      <c r="M132" s="4" t="n"/>
      <c r="N132" s="4" t="inlineStr">
        <is>
          <t>min_received=97.8687; fee_usd_deducted=1.52; eta=2 - 3 Min; price_impact=-0.08%; slippage=2%; route=Bridge to Arbitrum One; fixed_fee_on_top=0.0; display_decimals=6</t>
        </is>
      </c>
      <c r="O132" s="4" t="inlineStr">
        <is>
          <t>https://app.symbiosis.finance/swap?chainIn=BNB&amp;chainOut=Solana&amp;tokenIn=0x8ac76a51cc950d9822d68b83fe1ad97b32cd580d&amp;tokenOut=0x0000000000000000000000000000000000000003</t>
        </is>
      </c>
      <c r="P132" s="4" t="inlineStr">
        <is>
          <t>20260923T141817Z</t>
        </is>
      </c>
      <c r="Q132" s="4" t="inlineStr">
        <is>
          <t>2026-09-23T14:25:12.869Z</t>
        </is>
      </c>
      <c r="R132" s="4" t="inlineStr">
        <is>
          <t>2026-09-23T14:25:12.869Z</t>
        </is>
      </c>
      <c r="S132" s="13" t="n">
        <v>0.003</v>
      </c>
    </row>
    <row r="133">
      <c r="A133" s="4" t="inlineStr">
        <is>
          <t>1af5e1adf0b0</t>
        </is>
      </c>
      <c r="B133" s="4" t="inlineStr">
        <is>
          <t>SOL-&gt;Base</t>
        </is>
      </c>
      <c r="C133" s="4" t="n">
        <v>2</v>
      </c>
      <c r="D133" s="4" t="inlineStr">
        <is>
          <t>Bridg</t>
        </is>
      </c>
      <c r="E133" s="4" t="inlineStr">
        <is>
          <t>bridg</t>
        </is>
      </c>
      <c r="F133" s="4" t="inlineStr">
        <is>
          <t>OK</t>
        </is>
      </c>
      <c r="G133" s="4" t="inlineStr">
        <is>
          <t>2026-09-23T14:25:40.428Z</t>
        </is>
      </c>
      <c r="H133" s="4" t="inlineStr">
        <is>
          <t>2026-09-23T14:25:41.751Z</t>
        </is>
      </c>
      <c r="I133" s="4" t="inlineStr">
        <is>
          <t>2026-09-23T14:25:46.692Z</t>
        </is>
      </c>
      <c r="J133" s="13" t="n"/>
      <c r="K133" s="19" t="n">
        <v>99.943099</v>
      </c>
      <c r="L133" s="20" t="n"/>
      <c r="M133" s="4" t="n"/>
      <c r="N133" s="4" t="inlineStr">
        <is>
          <t>best via Skip Go; 15 venues priced; fees [['Skip Go fee', 0.006901], ['Bridg fee', 0.05]]</t>
        </is>
      </c>
      <c r="O133" s="4" t="inlineStr">
        <is>
          <t>https://bridg.now/swap/</t>
        </is>
      </c>
      <c r="P133" s="4" t="inlineStr">
        <is>
          <t>20260923T141817Z</t>
        </is>
      </c>
      <c r="Q133" s="4" t="inlineStr">
        <is>
          <t>2026-09-23T14:25:46.682Z</t>
        </is>
      </c>
      <c r="R133" s="4" t="inlineStr">
        <is>
          <t>2026-09-23T14:25:44.943Z</t>
        </is>
      </c>
      <c r="S133" s="13" t="n">
        <v>0.004</v>
      </c>
    </row>
    <row r="134">
      <c r="A134" s="4" t="inlineStr">
        <is>
          <t>1af5e1adf0b0</t>
        </is>
      </c>
      <c r="B134" s="4" t="inlineStr">
        <is>
          <t>SOL-&gt;Base</t>
        </is>
      </c>
      <c r="C134" s="4" t="n">
        <v>2</v>
      </c>
      <c r="D134" s="4" t="inlineStr">
        <is>
          <t>Relay</t>
        </is>
      </c>
      <c r="E134" s="4" t="inlineStr">
        <is>
          <t>venue</t>
        </is>
      </c>
      <c r="F134" s="4" t="inlineStr">
        <is>
          <t>OK</t>
        </is>
      </c>
      <c r="G134" s="4" t="inlineStr">
        <is>
          <t>2026-09-23T14:25:40.427Z</t>
        </is>
      </c>
      <c r="H134" s="4" t="inlineStr">
        <is>
          <t>2026-09-23T14:25:42.354Z</t>
        </is>
      </c>
      <c r="I134" s="4" t="inlineStr">
        <is>
          <t>2026-09-23T14:25:46.691Z</t>
        </is>
      </c>
      <c r="J134" s="13" t="n">
        <v>0</v>
      </c>
      <c r="K134" s="19" t="n">
        <v>99.93352899999999</v>
      </c>
      <c r="L134" s="20" t="n"/>
      <c r="M134" s="4" t="n"/>
      <c r="N134" s="4" t="inlineStr">
        <is>
          <t>rate=0.9993</t>
        </is>
      </c>
      <c r="O134" s="4" t="inlineStr">
        <is>
          <t>https://relay.link/bridge/base?fromChainId=792703809&amp;fromCurrency=EPjFWdd5AufqSSqeM2qN1xzybapC8G4wEGGkZwyTDt1v&amp;toCurrency=0x833589fcd6edb6e08f4c7c32d4f71b54bda02913</t>
        </is>
      </c>
      <c r="P134" s="4" t="inlineStr">
        <is>
          <t>20260923T141817Z</t>
        </is>
      </c>
      <c r="Q134" s="4" t="inlineStr">
        <is>
          <t>2026-09-23T14:25:46.682Z</t>
        </is>
      </c>
      <c r="R134" s="4" t="inlineStr">
        <is>
          <t>2026-09-23T14:25:44.531Z</t>
        </is>
      </c>
      <c r="S134" s="13" t="n">
        <v>0.004</v>
      </c>
    </row>
    <row r="135">
      <c r="A135" s="4" t="inlineStr">
        <is>
          <t>1af5e1adf0b0</t>
        </is>
      </c>
      <c r="B135" s="4" t="inlineStr">
        <is>
          <t>SOL-&gt;Base</t>
        </is>
      </c>
      <c r="C135" s="4" t="n">
        <v>2</v>
      </c>
      <c r="D135" s="4" t="inlineStr">
        <is>
          <t>deBridge</t>
        </is>
      </c>
      <c r="E135" s="4" t="inlineStr">
        <is>
          <t>venue</t>
        </is>
      </c>
      <c r="F135" s="4" t="inlineStr">
        <is>
          <t>OK</t>
        </is>
      </c>
      <c r="G135" s="4" t="inlineStr">
        <is>
          <t>2026-09-23T14:25:40.428Z</t>
        </is>
      </c>
      <c r="H135" s="4" t="inlineStr">
        <is>
          <t>2026-09-23T14:25:42.127Z</t>
        </is>
      </c>
      <c r="I135" s="4" t="inlineStr">
        <is>
          <t>2026-09-23T14:25:46.690Z</t>
        </is>
      </c>
      <c r="J135" s="13" t="n">
        <v>0.001</v>
      </c>
      <c r="K135" s="19" t="n">
        <v>99.920018</v>
      </c>
      <c r="L135" s="20" t="n">
        <v>1.0382</v>
      </c>
      <c r="M135" s="4" t="inlineStr">
        <is>
          <t>USDC</t>
        </is>
      </c>
      <c r="N135" s="4" t="inlineStr">
        <is>
          <t>fixed_fee_on_top=1.0382; fixed_fee_token=USDC</t>
        </is>
      </c>
      <c r="O135" s="4" t="inlineStr">
        <is>
          <t>https://app.debridge.com/?inputChain=7565164&amp;outputChain=8453&amp;inputCurrency=EPjFWdd5AufqSSqeM2qN1xzybapC8G4wEGGkZwyTDt1v&amp;outputCurrency=0x833589fcd6edb6e08f4c7c32d4f71b54bda02913&amp;dlnMode=simple</t>
        </is>
      </c>
      <c r="P135" s="4" t="inlineStr">
        <is>
          <t>20260923T141817Z</t>
        </is>
      </c>
      <c r="Q135" s="4" t="inlineStr">
        <is>
          <t>2026-09-23T14:25:46.681Z</t>
        </is>
      </c>
      <c r="R135" s="4" t="inlineStr">
        <is>
          <t>2026-09-23T14:25:44.330Z</t>
        </is>
      </c>
      <c r="S135" s="13" t="n">
        <v>0.004</v>
      </c>
    </row>
    <row r="136">
      <c r="A136" s="4" t="inlineStr">
        <is>
          <t>1af5e1adf0b0</t>
        </is>
      </c>
      <c r="B136" s="4" t="inlineStr">
        <is>
          <t>SOL-&gt;Base</t>
        </is>
      </c>
      <c r="C136" s="4" t="n">
        <v>2</v>
      </c>
      <c r="D136" s="4" t="inlineStr">
        <is>
          <t>LI.FI (Jumper)</t>
        </is>
      </c>
      <c r="E136" s="4" t="inlineStr">
        <is>
          <t>venue</t>
        </is>
      </c>
      <c r="F136" s="4" t="inlineStr">
        <is>
          <t>OK</t>
        </is>
      </c>
      <c r="G136" s="4" t="inlineStr">
        <is>
          <t>2026-09-23T14:25:40.429Z</t>
        </is>
      </c>
      <c r="H136" s="4" t="inlineStr">
        <is>
          <t>2026-09-23T14:25:44.523Z</t>
        </is>
      </c>
      <c r="I136" s="4" t="inlineStr">
        <is>
          <t>2026-09-23T14:25:46.685Z</t>
        </is>
      </c>
      <c r="J136" s="13" t="n">
        <v>0.002</v>
      </c>
      <c r="K136" s="19" t="n">
        <v>100</v>
      </c>
      <c r="L136" s="20" t="n"/>
      <c r="M136" s="4" t="n"/>
      <c r="N136" s="4" t="inlineStr">
        <is>
          <t>best_return_venue=Eco; max_out=100.0</t>
        </is>
      </c>
      <c r="O136" s="4" t="inlineStr">
        <is>
          <t>https://jumper.xyz/?fromChain=1151111081099710&amp;fromToken=EPjFWdd5AufqSSqeM2qN1xzybapC8G4wEGGkZwyTDt1v&amp;toChain=8453&amp;toToken=0x833589fcd6edb6e08f4c7c32d4f71b54bda02913</t>
        </is>
      </c>
      <c r="P136" s="4" t="inlineStr">
        <is>
          <t>20260923T141817Z</t>
        </is>
      </c>
      <c r="Q136" s="4" t="inlineStr">
        <is>
          <t>2026-09-23T14:25:46.680Z</t>
        </is>
      </c>
      <c r="R136" s="4" t="inlineStr">
        <is>
          <t>2026-09-23T14:25:46.680Z</t>
        </is>
      </c>
      <c r="S136" s="13" t="n">
        <v>0.004</v>
      </c>
    </row>
    <row r="137">
      <c r="A137" s="4" t="inlineStr">
        <is>
          <t>1af5e1adf0b0</t>
        </is>
      </c>
      <c r="B137" s="4" t="inlineStr">
        <is>
          <t>SOL-&gt;Base</t>
        </is>
      </c>
      <c r="C137" s="4" t="n">
        <v>2</v>
      </c>
      <c r="D137" s="4" t="inlineStr">
        <is>
          <t>Across</t>
        </is>
      </c>
      <c r="E137" s="4" t="inlineStr">
        <is>
          <t>venue</t>
        </is>
      </c>
      <c r="F137" s="4" t="inlineStr">
        <is>
          <t>OK</t>
        </is>
      </c>
      <c r="G137" s="4" t="inlineStr">
        <is>
          <t>2026-09-23T14:25:40.427Z</t>
        </is>
      </c>
      <c r="H137" s="4" t="inlineStr">
        <is>
          <t>2026-09-23T14:25:42.104Z</t>
        </is>
      </c>
      <c r="I137" s="4" t="inlineStr">
        <is>
          <t>2026-09-23T14:25:46.686Z</t>
        </is>
      </c>
      <c r="J137" s="13" t="n">
        <v>0.001</v>
      </c>
      <c r="K137" s="19" t="n">
        <v>99.98999999999999</v>
      </c>
      <c r="L137" s="20" t="n"/>
      <c r="M137" s="4" t="n"/>
      <c r="N137" s="4" t="inlineStr"/>
      <c r="O137" s="4" t="inlineStr">
        <is>
          <t>https://across.to/?from=solana&amp;to=base&amp;inputToken=USDC&amp;outputToken=USDC</t>
        </is>
      </c>
      <c r="P137" s="4" t="inlineStr">
        <is>
          <t>20260923T141817Z</t>
        </is>
      </c>
      <c r="Q137" s="4" t="inlineStr">
        <is>
          <t>2026-09-23T14:25:46.681Z</t>
        </is>
      </c>
      <c r="R137" s="4" t="inlineStr">
        <is>
          <t>2026-09-23T14:25:44.278Z</t>
        </is>
      </c>
      <c r="S137" s="13" t="n">
        <v>0.004</v>
      </c>
    </row>
    <row r="138">
      <c r="A138" s="4" t="inlineStr">
        <is>
          <t>1af5e1adf0b0</t>
        </is>
      </c>
      <c r="B138" s="4" t="inlineStr">
        <is>
          <t>SOL-&gt;Base</t>
        </is>
      </c>
      <c r="C138" s="4" t="n">
        <v>2</v>
      </c>
      <c r="D138" s="4" t="inlineStr">
        <is>
          <t>Mayan</t>
        </is>
      </c>
      <c r="E138" s="4" t="inlineStr">
        <is>
          <t>venue</t>
        </is>
      </c>
      <c r="F138" s="4" t="inlineStr">
        <is>
          <t>OK</t>
        </is>
      </c>
      <c r="G138" s="4" t="inlineStr">
        <is>
          <t>2026-09-23T14:25:40.424Z</t>
        </is>
      </c>
      <c r="H138" s="4" t="inlineStr">
        <is>
          <t>2026-09-23T14:25:42.103Z</t>
        </is>
      </c>
      <c r="I138" s="4" t="inlineStr">
        <is>
          <t>2026-09-23T14:25:46.685Z</t>
        </is>
      </c>
      <c r="J138" s="13" t="n">
        <v>0.001</v>
      </c>
      <c r="K138" s="19" t="n">
        <v>99.93300000000001</v>
      </c>
      <c r="L138" s="20" t="n"/>
      <c r="M138" s="4" t="n"/>
      <c r="N138" s="4" t="inlineStr">
        <is>
          <t>mode=Swift v2; eta=3s; display_decimals=3</t>
        </is>
      </c>
      <c r="O138" s="4" t="inlineStr">
        <is>
          <t>https://swap.mayan.finance/</t>
        </is>
      </c>
      <c r="P138" s="4" t="inlineStr">
        <is>
          <t>20260923T141817Z</t>
        </is>
      </c>
      <c r="Q138" s="4" t="inlineStr">
        <is>
          <t>2026-09-23T14:25:46.681Z</t>
        </is>
      </c>
      <c r="R138" s="4" t="inlineStr">
        <is>
          <t>2026-09-23T14:25:44.278Z</t>
        </is>
      </c>
      <c r="S138" s="13" t="n">
        <v>0.004</v>
      </c>
    </row>
    <row r="139">
      <c r="A139" s="4" t="inlineStr">
        <is>
          <t>1af5e1adf0b0</t>
        </is>
      </c>
      <c r="B139" s="4" t="inlineStr">
        <is>
          <t>SOL-&gt;Base</t>
        </is>
      </c>
      <c r="C139" s="4" t="n">
        <v>2</v>
      </c>
      <c r="D139" s="4" t="inlineStr">
        <is>
          <t>Allbridge Core</t>
        </is>
      </c>
      <c r="E139" s="4" t="inlineStr">
        <is>
          <t>venue</t>
        </is>
      </c>
      <c r="F139" s="4" t="inlineStr">
        <is>
          <t>OK</t>
        </is>
      </c>
      <c r="G139" s="4" t="inlineStr">
        <is>
          <t>2026-09-23T14:25:40.429Z</t>
        </is>
      </c>
      <c r="H139" s="4" t="inlineStr">
        <is>
          <t>2026-09-23T14:25:41.884Z</t>
        </is>
      </c>
      <c r="I139" s="4" t="inlineStr">
        <is>
          <t>2026-09-23T14:25:47.221Z</t>
        </is>
      </c>
      <c r="J139" s="13" t="n">
        <v>0</v>
      </c>
      <c r="K139" s="19" t="n">
        <v>99.90000000000001</v>
      </c>
      <c r="L139" s="20" t="n">
        <v>0.002418</v>
      </c>
      <c r="M139" s="4" t="inlineStr">
        <is>
          <t>SOL (relayer fee, fee=native)</t>
        </is>
      </c>
      <c r="N139" s="4" t="inlineStr">
        <is>
          <t>out_input_box=99.9; out_details_2dp=99.9; fixed_fee_on_top=0.002418; fixed_fee_token=SOL (relayer fee, fee=native); transfer_fee=0.10 USDC; messenger=CCTP; eta=~1 min; display_decimals=1; picked=['USDC from Solana', 'USDC to Base']</t>
        </is>
      </c>
      <c r="O139" s="4" t="inlineStr">
        <is>
          <t>https://core.allbridge.io/?fee=native&amp;ft=USDC&amp;tt=USDC&amp;f=SOL&amp;t=BAS</t>
        </is>
      </c>
      <c r="P139" s="4" t="inlineStr">
        <is>
          <t>20260923T141817Z</t>
        </is>
      </c>
      <c r="Q139" s="4" t="inlineStr">
        <is>
          <t>2026-09-23T14:25:46.682Z</t>
        </is>
      </c>
      <c r="R139" s="4" t="inlineStr">
        <is>
          <t>2026-09-23T14:25:44.408Z</t>
        </is>
      </c>
      <c r="S139" s="13" t="n">
        <v>0.004</v>
      </c>
    </row>
    <row r="140">
      <c r="A140" s="4" t="inlineStr">
        <is>
          <t>1af5e1adf0b0</t>
        </is>
      </c>
      <c r="B140" s="4" t="inlineStr">
        <is>
          <t>SOL-&gt;Base</t>
        </is>
      </c>
      <c r="C140" s="4" t="n">
        <v>2</v>
      </c>
      <c r="D140" s="4" t="inlineStr">
        <is>
          <t>CCTP (via Portal)</t>
        </is>
      </c>
      <c r="E140" s="4" t="inlineStr">
        <is>
          <t>venue</t>
        </is>
      </c>
      <c r="F140" s="4" t="inlineStr">
        <is>
          <t>OK</t>
        </is>
      </c>
      <c r="G140" s="4" t="inlineStr">
        <is>
          <t>2026-09-23T14:25:40.430Z</t>
        </is>
      </c>
      <c r="H140" s="4" t="inlineStr">
        <is>
          <t>2026-09-23T14:25:44.327Z</t>
        </is>
      </c>
      <c r="I140" s="4" t="inlineStr">
        <is>
          <t>2026-09-23T14:25:46.694Z</t>
        </is>
      </c>
      <c r="J140" s="13" t="n">
        <v>0.002</v>
      </c>
      <c r="K140" s="19" t="n">
        <v>99.98999999999999</v>
      </c>
      <c r="L140" s="20" t="n"/>
      <c r="M140" s="4" t="n"/>
      <c r="N140" s="4" t="inlineStr">
        <is>
          <t>venue_ui=CCTP via Portal (portalbridge.com/usdc-bridge); messenger=Circle CCTP; route_type=CCTPv2StandardExecutorRoute; eta=14 sec; usd_value=99.99; price_impact=-0.01%; fixed_fee_note=executor/relayer fee not shown without a wallet; display_decimals=2</t>
        </is>
      </c>
      <c r="O140" s="4" t="inlineStr">
        <is>
          <t>https://portalbridge.com/usdc-bridge?fromChain=Solana&amp;fromToken=USDC&amp;toChain=Base&amp;toToken=USDC</t>
        </is>
      </c>
      <c r="P140" s="4" t="inlineStr">
        <is>
          <t>20260923T141817Z</t>
        </is>
      </c>
      <c r="Q140" s="4" t="inlineStr">
        <is>
          <t>2026-09-23T14:25:46.684Z</t>
        </is>
      </c>
      <c r="R140" s="4" t="inlineStr">
        <is>
          <t>2026-09-23T14:25:46.465Z</t>
        </is>
      </c>
      <c r="S140" s="13" t="n">
        <v>0.004</v>
      </c>
    </row>
    <row r="141">
      <c r="A141" s="4" t="inlineStr">
        <is>
          <t>1af5e1adf0b0</t>
        </is>
      </c>
      <c r="B141" s="4" t="inlineStr">
        <is>
          <t>SOL-&gt;Base</t>
        </is>
      </c>
      <c r="C141" s="4" t="n">
        <v>2</v>
      </c>
      <c r="D141" s="4" t="inlineStr">
        <is>
          <t>Husher</t>
        </is>
      </c>
      <c r="E141" s="4" t="inlineStr">
        <is>
          <t>venue</t>
        </is>
      </c>
      <c r="F141" s="4" t="inlineStr">
        <is>
          <t>OK</t>
        </is>
      </c>
      <c r="G141" s="4" t="inlineStr">
        <is>
          <t>2026-09-23T14:25:40.431Z</t>
        </is>
      </c>
      <c r="H141" s="4" t="inlineStr">
        <is>
          <t>2026-09-23T14:25:42.118Z</t>
        </is>
      </c>
      <c r="I141" s="4" t="inlineStr">
        <is>
          <t>2026-09-23T14:25:46.690Z</t>
        </is>
      </c>
      <c r="J141" s="13" t="n">
        <v>0</v>
      </c>
      <c r="K141" s="19" t="n">
        <v>99.45</v>
      </c>
      <c r="L141" s="20" t="n"/>
      <c r="M141" s="4" t="n"/>
      <c r="N141" s="4" t="inlineStr">
        <is>
          <t>out_usd=$99.47; provider=Husher (Best Rate); rate_type=floating; fee_deducted=0.35; network_fee_deducted=0.2; api_receive=99.45000000; eta_s=40; display_decimals=2</t>
        </is>
      </c>
      <c r="O141" s="4" t="inlineStr">
        <is>
          <t>https://www.husher.io/</t>
        </is>
      </c>
      <c r="P141" s="4" t="inlineStr">
        <is>
          <t>20260923T141817Z</t>
        </is>
      </c>
      <c r="Q141" s="4" t="inlineStr">
        <is>
          <t>2026-09-23T14:25:46.682Z</t>
        </is>
      </c>
      <c r="R141" s="4" t="inlineStr">
        <is>
          <t>2026-09-23T14:25:44.330Z</t>
        </is>
      </c>
      <c r="S141" s="13" t="n">
        <v>0.004</v>
      </c>
    </row>
    <row r="142">
      <c r="A142" s="4" t="inlineStr">
        <is>
          <t>1af5e1adf0b0</t>
        </is>
      </c>
      <c r="B142" s="4" t="inlineStr">
        <is>
          <t>SOL-&gt;Base</t>
        </is>
      </c>
      <c r="C142" s="4" t="n">
        <v>2</v>
      </c>
      <c r="D142" s="4" t="inlineStr">
        <is>
          <t>Layerswap</t>
        </is>
      </c>
      <c r="E142" s="4" t="inlineStr">
        <is>
          <t>venue</t>
        </is>
      </c>
      <c r="F142" s="4" t="inlineStr">
        <is>
          <t>OK</t>
        </is>
      </c>
      <c r="G142" s="4" t="inlineStr">
        <is>
          <t>2026-09-23T14:25:40.426Z</t>
        </is>
      </c>
      <c r="H142" s="4" t="inlineStr">
        <is>
          <t>2026-09-23T14:25:43.019Z</t>
        </is>
      </c>
      <c r="I142" s="4" t="inlineStr">
        <is>
          <t>2026-09-23T14:25:46.692Z</t>
        </is>
      </c>
      <c r="J142" s="13" t="n">
        <v>0</v>
      </c>
      <c r="K142" s="19" t="n">
        <v>99.864047</v>
      </c>
      <c r="L142" s="20" t="n"/>
      <c r="M142" s="4" t="n"/>
      <c r="N142" s="4" t="inlineStr">
        <is>
          <t>out_usd=$99.84; fee_usd=0.14; slippage=0.00%; eta=5 secs; to_token=USDC; to_chain=Base; display_decimals=6</t>
        </is>
      </c>
      <c r="O142" s="4" t="inlineStr">
        <is>
          <t>https://layerswap.io/app?from=SOLANA_MAINNET&amp;to=BASE_MAINNET&amp;fromAsset=USDC&amp;toAsset=USDC</t>
        </is>
      </c>
      <c r="P142" s="4" t="inlineStr">
        <is>
          <t>20260923T141817Z</t>
        </is>
      </c>
      <c r="Q142" s="4" t="inlineStr">
        <is>
          <t>2026-09-23T14:25:46.682Z</t>
        </is>
      </c>
      <c r="R142" s="4" t="inlineStr">
        <is>
          <t>2026-09-23T14:25:45.192Z</t>
        </is>
      </c>
      <c r="S142" s="13" t="n">
        <v>0.004</v>
      </c>
    </row>
    <row r="143">
      <c r="A143" s="4" t="inlineStr">
        <is>
          <t>1af5e1adf0b0</t>
        </is>
      </c>
      <c r="B143" s="4" t="inlineStr">
        <is>
          <t>SOL-&gt;Base</t>
        </is>
      </c>
      <c r="C143" s="4" t="n">
        <v>2</v>
      </c>
      <c r="D143" s="4" t="inlineStr">
        <is>
          <t>Meson</t>
        </is>
      </c>
      <c r="E143" s="4" t="inlineStr">
        <is>
          <t>venue</t>
        </is>
      </c>
      <c r="F143" s="4" t="inlineStr">
        <is>
          <t>OK</t>
        </is>
      </c>
      <c r="G143" s="4" t="inlineStr">
        <is>
          <t>2026-09-23T14:25:40.431Z</t>
        </is>
      </c>
      <c r="H143" s="4" t="inlineStr">
        <is>
          <t>2026-09-23T14:25:40.981Z</t>
        </is>
      </c>
      <c r="I143" s="4" t="inlineStr">
        <is>
          <t>2026-09-23T14:25:46.688Z</t>
        </is>
      </c>
      <c r="J143" s="13" t="n">
        <v>0.001</v>
      </c>
      <c r="K143" s="19" t="n">
        <v>99.84</v>
      </c>
      <c r="L143" s="20" t="n">
        <v>0</v>
      </c>
      <c r="M143" s="4" t="n"/>
      <c r="N143" s="4" t="inlineStr">
        <is>
          <t>fees_deducted=[['Fee', 0.16, 'USDC']]; fee_total=0.16; fixed_fee_on_top=0.0; display_decimals=2</t>
        </is>
      </c>
      <c r="O143" s="4" t="inlineStr">
        <is>
          <t>https://meson.fi/swap</t>
        </is>
      </c>
      <c r="P143" s="4" t="inlineStr">
        <is>
          <t>20260923T141817Z</t>
        </is>
      </c>
      <c r="Q143" s="4" t="inlineStr">
        <is>
          <t>2026-09-23T14:25:46.681Z</t>
        </is>
      </c>
      <c r="R143" s="4" t="inlineStr">
        <is>
          <t>2026-09-23T14:25:43.037Z</t>
        </is>
      </c>
      <c r="S143" s="13" t="n">
        <v>0.004</v>
      </c>
    </row>
    <row r="144">
      <c r="A144" s="4" t="inlineStr">
        <is>
          <t>1af5e1adf0b0</t>
        </is>
      </c>
      <c r="B144" s="4" t="inlineStr">
        <is>
          <t>SOL-&gt;Base</t>
        </is>
      </c>
      <c r="C144" s="4" t="n">
        <v>2</v>
      </c>
      <c r="D144" s="4" t="inlineStr">
        <is>
          <t>OpenSea</t>
        </is>
      </c>
      <c r="E144" s="4" t="inlineStr">
        <is>
          <t>platform</t>
        </is>
      </c>
      <c r="F144" s="4" t="inlineStr">
        <is>
          <t>OK</t>
        </is>
      </c>
      <c r="G144" s="4" t="inlineStr">
        <is>
          <t>2026-09-23T14:25:40.430Z</t>
        </is>
      </c>
      <c r="H144" s="4" t="inlineStr">
        <is>
          <t>2026-09-23T14:25:43.569Z</t>
        </is>
      </c>
      <c r="I144" s="4" t="inlineStr">
        <is>
          <t>2026-09-23T14:25:46.694Z</t>
        </is>
      </c>
      <c r="J144" s="13" t="n">
        <v>0.001</v>
      </c>
      <c r="K144" s="19" t="n">
        <v>99.9254</v>
      </c>
      <c r="L144" s="20" t="n">
        <v>0.07000000000000001</v>
      </c>
      <c r="M144" s="4" t="inlineStr">
        <is>
          <t>native (gas, USD shown)</t>
        </is>
      </c>
      <c r="N144" s="4" t="inlineStr">
        <is>
          <t>out_usd=$99.90; provider=Relay; fee_total_usd=0.12; provider_fee_usd=0.05; provider_fee_pct=0.05%; provider_fee_deducted=True; opensea_fee_usd=0.0; opensea_fee_pct=0%; gas_fee_usd=0.07; gas_fee_display=$0.07; fixed_fee_on_top=0.07; fixed_fee_token=native (gas, USD shown); price_impact=(-$0.02) -0.02</t>
        </is>
      </c>
      <c r="O144" s="4" t="inlineStr">
        <is>
          <t>https://opensea.io/swap?fromChain=solana&amp;fromAddress=EPjFWdd5AufqSSqeM2qN1xzybapC8G4wEGGkZwyTDt1v&amp;toChain=base&amp;toAddress=0x833589fcd6edb6e08f4c7c32d4f71b54bda02913</t>
        </is>
      </c>
      <c r="P144" s="4" t="inlineStr">
        <is>
          <t>20260923T141817Z</t>
        </is>
      </c>
      <c r="Q144" s="4" t="inlineStr">
        <is>
          <t>2026-09-23T14:25:46.683Z</t>
        </is>
      </c>
      <c r="R144" s="4" t="inlineStr">
        <is>
          <t>2026-09-23T14:25:45.751Z</t>
        </is>
      </c>
      <c r="S144" s="13" t="n">
        <v>0.004</v>
      </c>
    </row>
    <row r="145">
      <c r="A145" s="4" t="inlineStr">
        <is>
          <t>1af5e1adf0b0</t>
        </is>
      </c>
      <c r="B145" s="4" t="inlineStr">
        <is>
          <t>SOL-&gt;Base</t>
        </is>
      </c>
      <c r="C145" s="4" t="n">
        <v>2</v>
      </c>
      <c r="D145" s="4" t="inlineStr">
        <is>
          <t>SimpleSwap</t>
        </is>
      </c>
      <c r="E145" s="4" t="inlineStr">
        <is>
          <t>venue</t>
        </is>
      </c>
      <c r="F145" s="4" t="inlineStr">
        <is>
          <t>OK</t>
        </is>
      </c>
      <c r="G145" s="4" t="inlineStr">
        <is>
          <t>2026-09-23T14:25:40.432Z</t>
        </is>
      </c>
      <c r="H145" s="4" t="inlineStr">
        <is>
          <t>2026-09-23T14:25:43.482Z</t>
        </is>
      </c>
      <c r="I145" s="4" t="inlineStr">
        <is>
          <t>2026-09-23T14:25:47.171Z</t>
        </is>
      </c>
      <c r="J145" s="13" t="n">
        <v>0.002</v>
      </c>
      <c r="K145" s="19" t="n">
        <v>98.49247699999999</v>
      </c>
      <c r="L145" s="20" t="n">
        <v>0</v>
      </c>
      <c r="M145" s="4" t="inlineStr">
        <is>
          <t>USDC</t>
        </is>
      </c>
      <c r="N145" s="4" t="inlineStr">
        <is>
          <t>best_card_out=98.492477; selected_card=Best rate / Decentralized; rate_type=floating; fixed_fee_on_top=0.0; fixed_fee_token=USDC; display_decimals=6; small_sum_warning=False</t>
        </is>
      </c>
      <c r="O145" s="4" t="inlineStr">
        <is>
          <t>https://simpleswap.io/?from=usdc-sol&amp;to=usdc-base</t>
        </is>
      </c>
      <c r="P145" s="4" t="inlineStr">
        <is>
          <t>20260923T141817Z</t>
        </is>
      </c>
      <c r="Q145" s="4" t="inlineStr">
        <is>
          <t>2026-09-23T14:25:46.684Z</t>
        </is>
      </c>
      <c r="R145" s="4" t="inlineStr">
        <is>
          <t>2026-09-23T14:25:45.811Z</t>
        </is>
      </c>
      <c r="S145" s="13" t="n">
        <v>0.004</v>
      </c>
    </row>
    <row r="146">
      <c r="A146" s="4" t="inlineStr">
        <is>
          <t>1af5e1adf0b0</t>
        </is>
      </c>
      <c r="B146" s="4" t="inlineStr">
        <is>
          <t>SOL-&gt;Base</t>
        </is>
      </c>
      <c r="C146" s="4" t="n">
        <v>2</v>
      </c>
      <c r="D146" s="4" t="inlineStr">
        <is>
          <t>Skip Go</t>
        </is>
      </c>
      <c r="E146" s="4" t="inlineStr">
        <is>
          <t>venue</t>
        </is>
      </c>
      <c r="F146" s="4" t="inlineStr">
        <is>
          <t>OK</t>
        </is>
      </c>
      <c r="G146" s="4" t="inlineStr">
        <is>
          <t>2026-09-23T14:25:40.429Z</t>
        </is>
      </c>
      <c r="H146" s="4" t="inlineStr">
        <is>
          <t>2026-09-23T14:25:43.164Z</t>
        </is>
      </c>
      <c r="I146" s="4" t="inlineStr">
        <is>
          <t>2026-09-23T14:25:46.693Z</t>
        </is>
      </c>
      <c r="J146" s="13" t="n">
        <v>0.001</v>
      </c>
      <c r="K146" s="19" t="n">
        <v>99.9811</v>
      </c>
      <c r="L146" s="20" t="n"/>
      <c r="M146" s="4" t="n"/>
      <c r="N146" s="4" t="inlineStr">
        <is>
          <t>fees_usd_in_quote=0.02; eta=30 secs; usd_values=['99.97', '99.96']; display_decimals=4</t>
        </is>
      </c>
      <c r="O146" s="4" t="inlineStr">
        <is>
          <t>https://go.skip.build/?src_chain=solana&amp;src_asset=EPjFWdd5AufqSSqeM2qN1xzybapC8G4wEGGkZwyTDt1v&amp;dest_chain=8453&amp;dest_asset=0x833589fcd6edb6e08f4c7c32d4f71b54bda02913</t>
        </is>
      </c>
      <c r="P146" s="4" t="inlineStr">
        <is>
          <t>20260923T141817Z</t>
        </is>
      </c>
      <c r="Q146" s="4" t="inlineStr">
        <is>
          <t>2026-09-23T14:25:46.683Z</t>
        </is>
      </c>
      <c r="R146" s="4" t="inlineStr">
        <is>
          <t>2026-09-23T14:25:45.300Z</t>
        </is>
      </c>
      <c r="S146" s="13" t="n">
        <v>0.004</v>
      </c>
    </row>
    <row r="147">
      <c r="A147" s="4" t="inlineStr">
        <is>
          <t>f6e4c5a164fd</t>
        </is>
      </c>
      <c r="B147" s="4" t="inlineStr">
        <is>
          <t>Base-&gt;SOL</t>
        </is>
      </c>
      <c r="C147" s="4" t="n">
        <v>2</v>
      </c>
      <c r="D147" s="4" t="inlineStr">
        <is>
          <t>Bridg</t>
        </is>
      </c>
      <c r="E147" s="4" t="inlineStr">
        <is>
          <t>bridg</t>
        </is>
      </c>
      <c r="F147" s="4" t="inlineStr">
        <is>
          <t>OK</t>
        </is>
      </c>
      <c r="G147" s="4" t="inlineStr">
        <is>
          <t>2026-09-23T14:26:14.638Z</t>
        </is>
      </c>
      <c r="H147" s="4" t="inlineStr">
        <is>
          <t>2026-09-23T14:26:15.769Z</t>
        </is>
      </c>
      <c r="I147" s="4" t="inlineStr">
        <is>
          <t>2026-09-23T14:26:20.633Z</t>
        </is>
      </c>
      <c r="J147" s="13" t="n"/>
      <c r="K147" s="19" t="n">
        <v>99.85005</v>
      </c>
      <c r="L147" s="20" t="n"/>
      <c r="M147" s="4" t="n"/>
      <c r="N147" s="4" t="inlineStr">
        <is>
          <t>best via Allbridge Core; 15 venues priced; fees [['Allbridge Core fee', 0.09995], ['Bridg fee', 0.05]]</t>
        </is>
      </c>
      <c r="O147" s="4" t="inlineStr">
        <is>
          <t>https://bridg.now/swap/</t>
        </is>
      </c>
      <c r="P147" s="4" t="inlineStr">
        <is>
          <t>20260923T141817Z</t>
        </is>
      </c>
      <c r="Q147" s="4" t="inlineStr">
        <is>
          <t>2026-09-23T14:26:20.602Z</t>
        </is>
      </c>
      <c r="R147" s="4" t="inlineStr">
        <is>
          <t>2026-09-23T14:26:19.792Z</t>
        </is>
      </c>
      <c r="S147" s="13" t="n">
        <v>0.004</v>
      </c>
    </row>
    <row r="148">
      <c r="A148" s="4" t="inlineStr">
        <is>
          <t>f6e4c5a164fd</t>
        </is>
      </c>
      <c r="B148" s="4" t="inlineStr">
        <is>
          <t>Base-&gt;SOL</t>
        </is>
      </c>
      <c r="C148" s="4" t="n">
        <v>2</v>
      </c>
      <c r="D148" s="4" t="inlineStr">
        <is>
          <t>Relay</t>
        </is>
      </c>
      <c r="E148" s="4" t="inlineStr">
        <is>
          <t>venue</t>
        </is>
      </c>
      <c r="F148" s="4" t="inlineStr">
        <is>
          <t>OK</t>
        </is>
      </c>
      <c r="G148" s="4" t="inlineStr">
        <is>
          <t>2026-09-23T14:26:14.636Z</t>
        </is>
      </c>
      <c r="H148" s="4" t="inlineStr">
        <is>
          <t>2026-09-23T14:26:16.814Z</t>
        </is>
      </c>
      <c r="I148" s="4" t="inlineStr">
        <is>
          <t>2026-09-23T14:26:20.613Z</t>
        </is>
      </c>
      <c r="J148" s="13" t="n">
        <v>0.002</v>
      </c>
      <c r="K148" s="19" t="n">
        <v>99.945697</v>
      </c>
      <c r="L148" s="20" t="n"/>
      <c r="M148" s="4" t="n"/>
      <c r="N148" s="4" t="inlineStr">
        <is>
          <t>rate=0.9994</t>
        </is>
      </c>
      <c r="O148" s="4" t="inlineStr">
        <is>
          <t>https://relay.link/bridge/solana?fromChainId=8453&amp;fromCurrency=0x833589fcd6edb6e08f4c7c32d4f71b54bda02913&amp;toCurrency=EPjFWdd5AufqSSqeM2qN1xzybapC8G4wEGGkZwyTDt1v</t>
        </is>
      </c>
      <c r="P148" s="4" t="inlineStr">
        <is>
          <t>20260923T141817Z</t>
        </is>
      </c>
      <c r="Q148" s="4" t="inlineStr">
        <is>
          <t>2026-09-23T14:26:20.600Z</t>
        </is>
      </c>
      <c r="R148" s="4" t="inlineStr">
        <is>
          <t>2026-09-23T14:26:19.012Z</t>
        </is>
      </c>
      <c r="S148" s="13" t="n">
        <v>0.004</v>
      </c>
    </row>
    <row r="149">
      <c r="A149" s="4" t="inlineStr">
        <is>
          <t>f6e4c5a164fd</t>
        </is>
      </c>
      <c r="B149" s="4" t="inlineStr">
        <is>
          <t>Base-&gt;SOL</t>
        </is>
      </c>
      <c r="C149" s="4" t="n">
        <v>2</v>
      </c>
      <c r="D149" s="4" t="inlineStr">
        <is>
          <t>deBridge</t>
        </is>
      </c>
      <c r="E149" s="4" t="inlineStr">
        <is>
          <t>venue</t>
        </is>
      </c>
      <c r="F149" s="4" t="inlineStr">
        <is>
          <t>OK</t>
        </is>
      </c>
      <c r="G149" s="4" t="inlineStr">
        <is>
          <t>2026-09-23T14:26:14.637Z</t>
        </is>
      </c>
      <c r="H149" s="4" t="inlineStr">
        <is>
          <t>2026-09-23T14:26:16.809Z</t>
        </is>
      </c>
      <c r="I149" s="4" t="inlineStr">
        <is>
          <t>2026-09-23T14:26:20.616Z</t>
        </is>
      </c>
      <c r="J149" s="13" t="n">
        <v>0.002</v>
      </c>
      <c r="K149" s="19" t="n">
        <v>99.880033</v>
      </c>
      <c r="L149" s="20" t="n">
        <v>1.0214</v>
      </c>
      <c r="M149" s="4" t="inlineStr">
        <is>
          <t>USDC</t>
        </is>
      </c>
      <c r="N149" s="4" t="inlineStr">
        <is>
          <t>fixed_fee_on_top=1.0214; fixed_fee_token=USDC</t>
        </is>
      </c>
      <c r="O149" s="4" t="inlineStr">
        <is>
          <t>https://app.debridge.com/?inputChain=8453&amp;outputChain=7565164&amp;inputCurrency=0x833589fcd6edb6e08f4c7c32d4f71b54bda02913&amp;outputCurrency=EPjFWdd5AufqSSqeM2qN1xzybapC8G4wEGGkZwyTDt1v&amp;dlnMode=simple</t>
        </is>
      </c>
      <c r="P149" s="4" t="inlineStr">
        <is>
          <t>20260923T141817Z</t>
        </is>
      </c>
      <c r="Q149" s="4" t="inlineStr">
        <is>
          <t>2026-09-23T14:26:20.600Z</t>
        </is>
      </c>
      <c r="R149" s="4" t="inlineStr">
        <is>
          <t>2026-09-23T14:26:19.012Z</t>
        </is>
      </c>
      <c r="S149" s="13" t="n">
        <v>0.004</v>
      </c>
    </row>
    <row r="150">
      <c r="A150" s="4" t="inlineStr">
        <is>
          <t>f6e4c5a164fd</t>
        </is>
      </c>
      <c r="B150" s="4" t="inlineStr">
        <is>
          <t>Base-&gt;SOL</t>
        </is>
      </c>
      <c r="C150" s="4" t="n">
        <v>2</v>
      </c>
      <c r="D150" s="4" t="inlineStr">
        <is>
          <t>LI.FI (Jumper)</t>
        </is>
      </c>
      <c r="E150" s="4" t="inlineStr">
        <is>
          <t>venue</t>
        </is>
      </c>
      <c r="F150" s="4" t="inlineStr">
        <is>
          <t>OK</t>
        </is>
      </c>
      <c r="G150" s="4" t="inlineStr">
        <is>
          <t>2026-09-23T14:26:14.642Z</t>
        </is>
      </c>
      <c r="H150" s="4" t="inlineStr">
        <is>
          <t>2026-09-23T14:26:17.126Z</t>
        </is>
      </c>
      <c r="I150" s="4" t="inlineStr">
        <is>
          <t>2026-09-23T14:26:20.607Z</t>
        </is>
      </c>
      <c r="J150" s="13" t="n">
        <v>0.001</v>
      </c>
      <c r="K150" s="19" t="n">
        <v>100</v>
      </c>
      <c r="L150" s="20" t="n"/>
      <c r="M150" s="4" t="n"/>
      <c r="N150" s="4" t="inlineStr">
        <is>
          <t>best_return_venue=Polymer (Standard); max_out=100.0</t>
        </is>
      </c>
      <c r="O150" s="4" t="inlineStr">
        <is>
          <t>https://jumper.xyz/?fromChain=8453&amp;fromToken=0x833589fcd6edb6e08f4c7c32d4f71b54bda02913&amp;toChain=1151111081099710&amp;toToken=EPjFWdd5AufqSSqeM2qN1xzybapC8G4wEGGkZwyTDt1v</t>
        </is>
      </c>
      <c r="P150" s="4" t="inlineStr">
        <is>
          <t>20260923T141817Z</t>
        </is>
      </c>
      <c r="Q150" s="4" t="inlineStr">
        <is>
          <t>2026-09-23T14:26:20.601Z</t>
        </is>
      </c>
      <c r="R150" s="4" t="inlineStr">
        <is>
          <t>2026-09-23T14:26:19.314Z</t>
        </is>
      </c>
      <c r="S150" s="13" t="n">
        <v>0.004</v>
      </c>
    </row>
    <row r="151">
      <c r="A151" s="4" t="inlineStr">
        <is>
          <t>f6e4c5a164fd</t>
        </is>
      </c>
      <c r="B151" s="4" t="inlineStr">
        <is>
          <t>Base-&gt;SOL</t>
        </is>
      </c>
      <c r="C151" s="4" t="n">
        <v>2</v>
      </c>
      <c r="D151" s="4" t="inlineStr">
        <is>
          <t>Across</t>
        </is>
      </c>
      <c r="E151" s="4" t="inlineStr">
        <is>
          <t>venue</t>
        </is>
      </c>
      <c r="F151" s="4" t="inlineStr">
        <is>
          <t>OK</t>
        </is>
      </c>
      <c r="G151" s="4" t="inlineStr">
        <is>
          <t>2026-09-23T14:26:14.637Z</t>
        </is>
      </c>
      <c r="H151" s="4" t="inlineStr">
        <is>
          <t>2026-09-23T14:26:16.080Z</t>
        </is>
      </c>
      <c r="I151" s="4" t="inlineStr">
        <is>
          <t>2026-09-23T14:26:20.603Z</t>
        </is>
      </c>
      <c r="J151" s="13" t="n">
        <v>0.004</v>
      </c>
      <c r="K151" s="19" t="n">
        <v>99.98699999999999</v>
      </c>
      <c r="L151" s="20" t="n"/>
      <c r="M151" s="4" t="n"/>
      <c r="N151" s="4" t="inlineStr"/>
      <c r="O151" s="4" t="inlineStr">
        <is>
          <t>https://across.to/?from=base&amp;to=solana&amp;inputToken=USDC&amp;outputToken=USDC</t>
        </is>
      </c>
      <c r="P151" s="4" t="inlineStr">
        <is>
          <t>20260923T141817Z</t>
        </is>
      </c>
      <c r="Q151" s="4" t="inlineStr">
        <is>
          <t>2026-09-23T14:26:20.598Z</t>
        </is>
      </c>
      <c r="R151" s="4" t="inlineStr">
        <is>
          <t>2026-09-23T14:26:18.233Z</t>
        </is>
      </c>
      <c r="S151" s="13" t="n">
        <v>0.004</v>
      </c>
    </row>
    <row r="152">
      <c r="A152" s="4" t="inlineStr">
        <is>
          <t>f6e4c5a164fd</t>
        </is>
      </c>
      <c r="B152" s="4" t="inlineStr">
        <is>
          <t>Base-&gt;SOL</t>
        </is>
      </c>
      <c r="C152" s="4" t="n">
        <v>2</v>
      </c>
      <c r="D152" s="4" t="inlineStr">
        <is>
          <t>Mayan</t>
        </is>
      </c>
      <c r="E152" s="4" t="inlineStr">
        <is>
          <t>venue</t>
        </is>
      </c>
      <c r="F152" s="4" t="inlineStr">
        <is>
          <t>OK</t>
        </is>
      </c>
      <c r="G152" s="4" t="inlineStr">
        <is>
          <t>2026-09-23T14:26:14.636Z</t>
        </is>
      </c>
      <c r="H152" s="4" t="inlineStr">
        <is>
          <t>2026-09-23T14:26:16.159Z</t>
        </is>
      </c>
      <c r="I152" s="4" t="inlineStr">
        <is>
          <t>2026-09-23T14:26:20.604Z</t>
        </is>
      </c>
      <c r="J152" s="13" t="n">
        <v>0.003</v>
      </c>
      <c r="K152" s="19" t="n">
        <v>99.68600000000001</v>
      </c>
      <c r="L152" s="20" t="n"/>
      <c r="M152" s="4" t="n"/>
      <c r="N152" s="4" t="inlineStr">
        <is>
          <t>mode=Swift v2; eta=3s; display_decimals=3</t>
        </is>
      </c>
      <c r="O152" s="4" t="inlineStr">
        <is>
          <t>https://swap.mayan.finance/</t>
        </is>
      </c>
      <c r="P152" s="4" t="inlineStr">
        <is>
          <t>20260923T141817Z</t>
        </is>
      </c>
      <c r="Q152" s="4" t="inlineStr">
        <is>
          <t>2026-09-23T14:26:20.599Z</t>
        </is>
      </c>
      <c r="R152" s="4" t="inlineStr">
        <is>
          <t>2026-09-23T14:26:18.291Z</t>
        </is>
      </c>
      <c r="S152" s="13" t="n">
        <v>0.004</v>
      </c>
    </row>
    <row r="153">
      <c r="A153" s="4" t="inlineStr">
        <is>
          <t>f6e4c5a164fd</t>
        </is>
      </c>
      <c r="B153" s="4" t="inlineStr">
        <is>
          <t>Base-&gt;SOL</t>
        </is>
      </c>
      <c r="C153" s="4" t="n">
        <v>2</v>
      </c>
      <c r="D153" s="4" t="inlineStr">
        <is>
          <t>Allbridge Core</t>
        </is>
      </c>
      <c r="E153" s="4" t="inlineStr">
        <is>
          <t>venue</t>
        </is>
      </c>
      <c r="F153" s="4" t="inlineStr">
        <is>
          <t>OK</t>
        </is>
      </c>
      <c r="G153" s="4" t="inlineStr">
        <is>
          <t>2026-09-23T14:26:14.638Z</t>
        </is>
      </c>
      <c r="H153" s="4" t="inlineStr">
        <is>
          <t>2026-09-23T14:26:16.128Z</t>
        </is>
      </c>
      <c r="I153" s="4" t="inlineStr">
        <is>
          <t>2026-09-23T14:26:21.094Z</t>
        </is>
      </c>
      <c r="J153" s="13" t="n">
        <v>0.002</v>
      </c>
      <c r="K153" s="19" t="n">
        <v>99.90000000000001</v>
      </c>
      <c r="L153" s="20" t="n">
        <v>0.000136</v>
      </c>
      <c r="M153" s="4" t="inlineStr">
        <is>
          <t>ETH (relayer fee, fee=native)</t>
        </is>
      </c>
      <c r="N153" s="4" t="inlineStr">
        <is>
          <t>out_input_box=99.9; out_details_2dp=99.9; fixed_fee_on_top=0.000136; fixed_fee_token=ETH (relayer fee, fee=native); transfer_fee=0.10 USDC; messenger=CCTP; eta=~24 min; display_decimals=1; picked=['USDC from Base', 'USDC to Solana']</t>
        </is>
      </c>
      <c r="O153" s="4" t="inlineStr">
        <is>
          <t>https://core.allbridge.io/?fee=native&amp;ft=USDC&amp;tt=USDC&amp;f=BAS&amp;t=SOL</t>
        </is>
      </c>
      <c r="P153" s="4" t="inlineStr">
        <is>
          <t>20260923T141817Z</t>
        </is>
      </c>
      <c r="Q153" s="4" t="inlineStr">
        <is>
          <t>2026-09-23T14:26:20.600Z</t>
        </is>
      </c>
      <c r="R153" s="4" t="inlineStr">
        <is>
          <t>2026-09-23T14:26:18.431Z</t>
        </is>
      </c>
      <c r="S153" s="13" t="n">
        <v>0.004</v>
      </c>
    </row>
    <row r="154">
      <c r="A154" s="4" t="inlineStr">
        <is>
          <t>f6e4c5a164fd</t>
        </is>
      </c>
      <c r="B154" s="4" t="inlineStr">
        <is>
          <t>Base-&gt;SOL</t>
        </is>
      </c>
      <c r="C154" s="4" t="n">
        <v>2</v>
      </c>
      <c r="D154" s="4" t="inlineStr">
        <is>
          <t>CCTP (via Portal)</t>
        </is>
      </c>
      <c r="E154" s="4" t="inlineStr">
        <is>
          <t>venue</t>
        </is>
      </c>
      <c r="F154" s="4" t="inlineStr">
        <is>
          <t>OK</t>
        </is>
      </c>
      <c r="G154" s="4" t="inlineStr">
        <is>
          <t>2026-09-23T14:26:14.641Z</t>
        </is>
      </c>
      <c r="H154" s="4" t="inlineStr">
        <is>
          <t>2026-09-23T14:26:18.427Z</t>
        </is>
      </c>
      <c r="I154" s="4" t="inlineStr">
        <is>
          <t>2026-09-23T14:26:20.612Z</t>
        </is>
      </c>
      <c r="J154" s="13" t="n">
        <v>0.004</v>
      </c>
      <c r="K154" s="19" t="n">
        <v>99.977001</v>
      </c>
      <c r="L154" s="20" t="n"/>
      <c r="M154" s="4" t="n"/>
      <c r="N154" s="4" t="inlineStr">
        <is>
          <t>venue_ui=CCTP via Portal (portalbridge.com/usdc-bridge); messenger=Circle CCTP; route_type=CCTPv2FastExecutorRoute; eta=8 sec; usd_value=99.98; price_impact=-0.02%; fixed_fee_note=executor/relayer fee not shown without a wallet; display_decimals=6</t>
        </is>
      </c>
      <c r="O154" s="4" t="inlineStr">
        <is>
          <t>https://portalbridge.com/usdc-bridge?fromChain=Base&amp;fromToken=USDC&amp;toChain=Solana&amp;toToken=USDC</t>
        </is>
      </c>
      <c r="P154" s="4" t="inlineStr">
        <is>
          <t>20260923T141817Z</t>
        </is>
      </c>
      <c r="Q154" s="4" t="inlineStr">
        <is>
          <t>2026-09-23T14:26:20.598Z</t>
        </is>
      </c>
      <c r="R154" s="4" t="inlineStr">
        <is>
          <t>2026-09-23T14:26:20.598Z</t>
        </is>
      </c>
      <c r="S154" s="13" t="n">
        <v>0.004</v>
      </c>
    </row>
    <row r="155">
      <c r="A155" s="4" t="inlineStr">
        <is>
          <t>f6e4c5a164fd</t>
        </is>
      </c>
      <c r="B155" s="4" t="inlineStr">
        <is>
          <t>Base-&gt;SOL</t>
        </is>
      </c>
      <c r="C155" s="4" t="n">
        <v>2</v>
      </c>
      <c r="D155" s="4" t="inlineStr">
        <is>
          <t>Husher</t>
        </is>
      </c>
      <c r="E155" s="4" t="inlineStr">
        <is>
          <t>venue</t>
        </is>
      </c>
      <c r="F155" s="4" t="inlineStr">
        <is>
          <t>OK</t>
        </is>
      </c>
      <c r="G155" s="4" t="inlineStr">
        <is>
          <t>2026-09-23T14:26:14.643Z</t>
        </is>
      </c>
      <c r="H155" s="4" t="inlineStr">
        <is>
          <t>2026-09-23T14:26:16.057Z</t>
        </is>
      </c>
      <c r="I155" s="4" t="inlineStr">
        <is>
          <t>2026-09-23T14:26:20.612Z</t>
        </is>
      </c>
      <c r="J155" s="13" t="n">
        <v>0.004</v>
      </c>
      <c r="K155" s="19" t="n">
        <v>99.34999999999999</v>
      </c>
      <c r="L155" s="20" t="n"/>
      <c r="M155" s="4" t="n"/>
      <c r="N155" s="4" t="inlineStr">
        <is>
          <t>out_usd=$99.37; provider=Husher (Best Rate); rate_type=floating; fee_deducted=0.35; network_fee_deducted=0.3; api_receive=99.35000000; eta_s=40; display_decimals=2</t>
        </is>
      </c>
      <c r="O155" s="4" t="inlineStr">
        <is>
          <t>https://www.husher.io/</t>
        </is>
      </c>
      <c r="P155" s="4" t="inlineStr">
        <is>
          <t>20260923T141817Z</t>
        </is>
      </c>
      <c r="Q155" s="4" t="inlineStr">
        <is>
          <t>2026-09-23T14:26:20.598Z</t>
        </is>
      </c>
      <c r="R155" s="4" t="inlineStr">
        <is>
          <t>2026-09-23T14:26:18.257Z</t>
        </is>
      </c>
      <c r="S155" s="13" t="n">
        <v>0.004</v>
      </c>
    </row>
    <row r="156">
      <c r="A156" s="4" t="inlineStr">
        <is>
          <t>f6e4c5a164fd</t>
        </is>
      </c>
      <c r="B156" s="4" t="inlineStr">
        <is>
          <t>Base-&gt;SOL</t>
        </is>
      </c>
      <c r="C156" s="4" t="n">
        <v>2</v>
      </c>
      <c r="D156" s="4" t="inlineStr">
        <is>
          <t>Layerswap</t>
        </is>
      </c>
      <c r="E156" s="4" t="inlineStr">
        <is>
          <t>venue</t>
        </is>
      </c>
      <c r="F156" s="4" t="inlineStr">
        <is>
          <t>OK</t>
        </is>
      </c>
      <c r="G156" s="4" t="inlineStr">
        <is>
          <t>2026-09-23T14:26:14.636Z</t>
        </is>
      </c>
      <c r="H156" s="4" t="inlineStr">
        <is>
          <t>2026-09-23T14:26:17.051Z</t>
        </is>
      </c>
      <c r="I156" s="4" t="inlineStr">
        <is>
          <t>2026-09-23T14:26:20.618Z</t>
        </is>
      </c>
      <c r="J156" s="13" t="n">
        <v>0.002</v>
      </c>
      <c r="K156" s="19" t="n">
        <v>99.68307299999999</v>
      </c>
      <c r="L156" s="20" t="n"/>
      <c r="M156" s="4" t="n"/>
      <c r="N156" s="4" t="inlineStr">
        <is>
          <t>out_usd=$99.65; fee_usd=0.32; slippage=0.00%; eta=22 secs; to_token=USDC; to_chain=Solana; display_decimals=6</t>
        </is>
      </c>
      <c r="O156" s="4" t="inlineStr">
        <is>
          <t>https://layerswap.io/app?from=BASE_MAINNET&amp;to=SOLANA_MAINNET&amp;fromAsset=USDC&amp;toAsset=USDC</t>
        </is>
      </c>
      <c r="P156" s="4" t="inlineStr">
        <is>
          <t>20260923T141817Z</t>
        </is>
      </c>
      <c r="Q156" s="4" t="inlineStr">
        <is>
          <t>2026-09-23T14:26:20.600Z</t>
        </is>
      </c>
      <c r="R156" s="4" t="inlineStr">
        <is>
          <t>2026-09-23T14:26:19.180Z</t>
        </is>
      </c>
      <c r="S156" s="13" t="n">
        <v>0.004</v>
      </c>
    </row>
    <row r="157">
      <c r="A157" s="4" t="inlineStr">
        <is>
          <t>f6e4c5a164fd</t>
        </is>
      </c>
      <c r="B157" s="4" t="inlineStr">
        <is>
          <t>Base-&gt;SOL</t>
        </is>
      </c>
      <c r="C157" s="4" t="n">
        <v>2</v>
      </c>
      <c r="D157" s="4" t="inlineStr">
        <is>
          <t>Meson</t>
        </is>
      </c>
      <c r="E157" s="4" t="inlineStr">
        <is>
          <t>venue</t>
        </is>
      </c>
      <c r="F157" s="4" t="inlineStr">
        <is>
          <t>OK</t>
        </is>
      </c>
      <c r="G157" s="4" t="inlineStr">
        <is>
          <t>2026-09-23T14:26:14.645Z</t>
        </is>
      </c>
      <c r="H157" s="4" t="inlineStr">
        <is>
          <t>2026-09-23T14:26:15.214Z</t>
        </is>
      </c>
      <c r="I157" s="4" t="inlineStr">
        <is>
          <t>2026-09-23T14:26:20.605Z</t>
        </is>
      </c>
      <c r="J157" s="13" t="n">
        <v>0.004</v>
      </c>
      <c r="K157" s="19" t="n">
        <v>99.59999999999999</v>
      </c>
      <c r="L157" s="20" t="n">
        <v>0</v>
      </c>
      <c r="M157" s="4" t="n"/>
      <c r="N157" s="4" t="inlineStr">
        <is>
          <t>fees_deducted=[['Fee', 0.4, 'USDC']]; fee_total=0.4; fixed_fee_on_top=0.0; display_decimals=1</t>
        </is>
      </c>
      <c r="O157" s="4" t="inlineStr">
        <is>
          <t>https://meson.fi/swap</t>
        </is>
      </c>
      <c r="P157" s="4" t="inlineStr">
        <is>
          <t>20260923T141817Z</t>
        </is>
      </c>
      <c r="Q157" s="4" t="inlineStr">
        <is>
          <t>2026-09-23T14:26:20.598Z</t>
        </is>
      </c>
      <c r="R157" s="4" t="inlineStr">
        <is>
          <t>2026-09-23T14:26:17.386Z</t>
        </is>
      </c>
      <c r="S157" s="13" t="n">
        <v>0.004</v>
      </c>
    </row>
    <row r="158">
      <c r="A158" s="4" t="inlineStr">
        <is>
          <t>f6e4c5a164fd</t>
        </is>
      </c>
      <c r="B158" s="4" t="inlineStr">
        <is>
          <t>Base-&gt;SOL</t>
        </is>
      </c>
      <c r="C158" s="4" t="n">
        <v>2</v>
      </c>
      <c r="D158" s="4" t="inlineStr">
        <is>
          <t>OpenSea</t>
        </is>
      </c>
      <c r="E158" s="4" t="inlineStr">
        <is>
          <t>platform</t>
        </is>
      </c>
      <c r="F158" s="4" t="inlineStr">
        <is>
          <t>OK</t>
        </is>
      </c>
      <c r="G158" s="4" t="inlineStr">
        <is>
          <t>2026-09-23T14:26:14.639Z</t>
        </is>
      </c>
      <c r="H158" s="4" t="inlineStr">
        <is>
          <t>2026-09-23T14:26:17.789Z</t>
        </is>
      </c>
      <c r="I158" s="4" t="inlineStr">
        <is>
          <t>2026-09-23T14:26:20.641Z</t>
        </is>
      </c>
      <c r="J158" s="13" t="n">
        <v>0</v>
      </c>
      <c r="K158" s="19" t="n">
        <v>99.7452</v>
      </c>
      <c r="L158" s="20" t="n">
        <v>0.02</v>
      </c>
      <c r="M158" s="4" t="inlineStr">
        <is>
          <t>native (gas, USD shown)</t>
        </is>
      </c>
      <c r="N158" s="4" t="inlineStr">
        <is>
          <t>out_usd=$99.72; provider=Relay; fee_total_usd=0.25; provider_fee_usd=0.22; provider_fee_pct=0.22%; provider_fee_deducted=True; opensea_fee_usd=0.0; opensea_fee_pct=0%; gas_fee_usd=0.02; gas_fee_display=$0.02; fixed_fee_on_top=0.02; fixed_fee_token=native (gas, USD shown); price_impact=(-$0.03) -0.03</t>
        </is>
      </c>
      <c r="O158" s="4" t="inlineStr">
        <is>
          <t>https://opensea.io/swap?fromChain=base&amp;fromAddress=0x833589fcd6edb6e08f4c7c32d4f71b54bda02913&amp;toChain=solana&amp;toAddress=EPjFWdd5AufqSSqeM2qN1xzybapC8G4wEGGkZwyTDt1v</t>
        </is>
      </c>
      <c r="P158" s="4" t="inlineStr">
        <is>
          <t>20260923T141817Z</t>
        </is>
      </c>
      <c r="Q158" s="4" t="inlineStr">
        <is>
          <t>2026-09-23T14:26:20.602Z</t>
        </is>
      </c>
      <c r="R158" s="4" t="inlineStr">
        <is>
          <t>2026-09-23T14:26:19.923Z</t>
        </is>
      </c>
      <c r="S158" s="13" t="n">
        <v>0.004</v>
      </c>
    </row>
    <row r="159">
      <c r="A159" s="4" t="inlineStr">
        <is>
          <t>f6e4c5a164fd</t>
        </is>
      </c>
      <c r="B159" s="4" t="inlineStr">
        <is>
          <t>Base-&gt;SOL</t>
        </is>
      </c>
      <c r="C159" s="4" t="n">
        <v>2</v>
      </c>
      <c r="D159" s="4" t="inlineStr">
        <is>
          <t>SimpleSwap</t>
        </is>
      </c>
      <c r="E159" s="4" t="inlineStr">
        <is>
          <t>venue</t>
        </is>
      </c>
      <c r="F159" s="4" t="inlineStr">
        <is>
          <t>OK</t>
        </is>
      </c>
      <c r="G159" s="4" t="inlineStr">
        <is>
          <t>2026-09-23T14:26:14.643Z</t>
        </is>
      </c>
      <c r="H159" s="4" t="inlineStr">
        <is>
          <t>2026-09-23T14:26:17.412Z</t>
        </is>
      </c>
      <c r="I159" s="4" t="inlineStr">
        <is>
          <t>2026-09-23T14:26:21.025Z</t>
        </is>
      </c>
      <c r="J159" s="13" t="n">
        <v>0.001</v>
      </c>
      <c r="K159" s="19" t="n">
        <v>98.48478299999999</v>
      </c>
      <c r="L159" s="20" t="n">
        <v>0</v>
      </c>
      <c r="M159" s="4" t="inlineStr">
        <is>
          <t>USDC</t>
        </is>
      </c>
      <c r="N159" s="4" t="inlineStr">
        <is>
          <t>best_card_out=98.484783; selected_card=Best rate / Decentralized; rate_type=floating; fixed_fee_on_top=0.0; fixed_fee_token=USDC; display_decimals=6; small_sum_warning=False</t>
        </is>
      </c>
      <c r="O159" s="4" t="inlineStr">
        <is>
          <t>https://simpleswap.io/?from=usdc-base&amp;to=usdc-sol</t>
        </is>
      </c>
      <c r="P159" s="4" t="inlineStr">
        <is>
          <t>20260923T141817Z</t>
        </is>
      </c>
      <c r="Q159" s="4" t="inlineStr">
        <is>
          <t>2026-09-23T14:26:20.601Z</t>
        </is>
      </c>
      <c r="R159" s="4" t="inlineStr">
        <is>
          <t>2026-09-23T14:26:19.663Z</t>
        </is>
      </c>
      <c r="S159" s="13" t="n">
        <v>0.004</v>
      </c>
    </row>
    <row r="160">
      <c r="A160" s="4" t="inlineStr">
        <is>
          <t>f6e4c5a164fd</t>
        </is>
      </c>
      <c r="B160" s="4" t="inlineStr">
        <is>
          <t>Base-&gt;SOL</t>
        </is>
      </c>
      <c r="C160" s="4" t="n">
        <v>2</v>
      </c>
      <c r="D160" s="4" t="inlineStr">
        <is>
          <t>Skip Go</t>
        </is>
      </c>
      <c r="E160" s="4" t="inlineStr">
        <is>
          <t>venue</t>
        </is>
      </c>
      <c r="F160" s="4" t="inlineStr">
        <is>
          <t>OK</t>
        </is>
      </c>
      <c r="G160" s="4" t="inlineStr">
        <is>
          <t>2026-09-23T14:26:14.640Z</t>
        </is>
      </c>
      <c r="H160" s="4" t="inlineStr">
        <is>
          <t>2026-09-23T14:26:17.205Z</t>
        </is>
      </c>
      <c r="I160" s="4" t="inlineStr">
        <is>
          <t>2026-09-23T14:26:20.620Z</t>
        </is>
      </c>
      <c r="J160" s="13" t="n">
        <v>0.001</v>
      </c>
      <c r="K160" s="19" t="n">
        <v>99.72471</v>
      </c>
      <c r="L160" s="20" t="n"/>
      <c r="M160" s="4" t="n"/>
      <c r="N160" s="4" t="inlineStr">
        <is>
          <t>fees_usd_in_quote=0.28; eta=2 mins; usd_values=['99.97', '99.70']; display_decimals=5</t>
        </is>
      </c>
      <c r="O160" s="4" t="inlineStr">
        <is>
          <t>https://go.skip.build/?src_chain=8453&amp;src_asset=0x833589fcd6edb6e08f4c7c32d4f71b54bda02913&amp;dest_chain=solana&amp;dest_asset=EPjFWdd5AufqSSqeM2qN1xzybapC8G4wEGGkZwyTDt1v</t>
        </is>
      </c>
      <c r="P160" s="4" t="inlineStr">
        <is>
          <t>20260923T141817Z</t>
        </is>
      </c>
      <c r="Q160" s="4" t="inlineStr">
        <is>
          <t>2026-09-23T14:26:20.601Z</t>
        </is>
      </c>
      <c r="R160" s="4" t="inlineStr">
        <is>
          <t>2026-09-23T14:26:19.333Z</t>
        </is>
      </c>
      <c r="S160" s="13" t="n">
        <v>0.004</v>
      </c>
    </row>
    <row r="161">
      <c r="A161" s="4" t="inlineStr">
        <is>
          <t>f6e4c5a164fd</t>
        </is>
      </c>
      <c r="B161" s="4" t="inlineStr">
        <is>
          <t>Base-&gt;SOL</t>
        </is>
      </c>
      <c r="C161" s="4" t="n">
        <v>2</v>
      </c>
      <c r="D161" s="4" t="inlineStr">
        <is>
          <t>Symbiosis</t>
        </is>
      </c>
      <c r="E161" s="4" t="inlineStr">
        <is>
          <t>venue</t>
        </is>
      </c>
      <c r="F161" s="4" t="inlineStr">
        <is>
          <t>OK</t>
        </is>
      </c>
      <c r="G161" s="4" t="inlineStr">
        <is>
          <t>2026-09-23T14:26:14.638Z</t>
        </is>
      </c>
      <c r="H161" s="4" t="inlineStr">
        <is>
          <t>2026-09-23T14:26:18.055Z</t>
        </is>
      </c>
      <c r="I161" s="4" t="inlineStr">
        <is>
          <t>2026-09-23T14:26:20.642Z</t>
        </is>
      </c>
      <c r="J161" s="13" t="n">
        <v>0</v>
      </c>
      <c r="K161" s="19" t="n">
        <v>98.349396</v>
      </c>
      <c r="L161" s="20" t="n">
        <v>0</v>
      </c>
      <c r="M161" s="4" t="n"/>
      <c r="N161" s="4" t="inlineStr">
        <is>
          <t>min_received=97.8576; fee_usd_deducted=1.52; eta=2 - 3 Min; price_impact=-0.06%; slippage=2%; route=Swap on Base; fixed_fee_on_top=0.0; display_decimals=6</t>
        </is>
      </c>
      <c r="O161" s="4" t="inlineStr">
        <is>
          <t>https://app.symbiosis.finance/swap?chainIn=Base&amp;chainOut=Solana&amp;tokenIn=0x833589fcd6edb6e08f4c7c32d4f71b54bda02913&amp;tokenOut=0x0000000000000000000000000000000000000003</t>
        </is>
      </c>
      <c r="P161" s="4" t="inlineStr">
        <is>
          <t>20260923T141817Z</t>
        </is>
      </c>
      <c r="Q161" s="4" t="inlineStr">
        <is>
          <t>2026-09-23T14:26:20.602Z</t>
        </is>
      </c>
      <c r="R161" s="4" t="inlineStr">
        <is>
          <t>2026-09-23T14:26:20.186Z</t>
        </is>
      </c>
      <c r="S161" s="13" t="n">
        <v>0.004</v>
      </c>
    </row>
    <row r="162">
      <c r="A162" s="4" t="inlineStr">
        <is>
          <t>7b6afa30c92d</t>
        </is>
      </c>
      <c r="B162" s="4" t="inlineStr">
        <is>
          <t>SOL-&gt;ETH</t>
        </is>
      </c>
      <c r="C162" s="4" t="n">
        <v>3</v>
      </c>
      <c r="D162" s="4" t="inlineStr">
        <is>
          <t>Bridg</t>
        </is>
      </c>
      <c r="E162" s="4" t="inlineStr">
        <is>
          <t>bridg</t>
        </is>
      </c>
      <c r="F162" s="4" t="inlineStr">
        <is>
          <t>OK</t>
        </is>
      </c>
      <c r="G162" s="4" t="inlineStr">
        <is>
          <t>2026-09-23T14:26:48.253Z</t>
        </is>
      </c>
      <c r="H162" s="4" t="inlineStr">
        <is>
          <t>2026-09-23T14:26:49.452Z</t>
        </is>
      </c>
      <c r="I162" s="4" t="inlineStr">
        <is>
          <t>2026-09-23T14:26:54.615Z</t>
        </is>
      </c>
      <c r="J162" s="13" t="n"/>
      <c r="K162" s="19" t="n">
        <v>99.84001499999999</v>
      </c>
      <c r="L162" s="20" t="n"/>
      <c r="M162" s="4" t="n"/>
      <c r="N162" s="4" t="inlineStr">
        <is>
          <t>best via Across; 16 venues priced; fees [['Across fee', 0.009985], ['Bridg fee', 0.15]]</t>
        </is>
      </c>
      <c r="O162" s="4" t="inlineStr">
        <is>
          <t>https://bridg.now/swap/</t>
        </is>
      </c>
      <c r="P162" s="4" t="inlineStr">
        <is>
          <t>20260923T141817Z</t>
        </is>
      </c>
      <c r="Q162" s="4" t="inlineStr">
        <is>
          <t>2026-09-23T14:26:54.591Z</t>
        </is>
      </c>
      <c r="R162" s="4" t="inlineStr">
        <is>
          <t>2026-09-23T14:26:53.340Z</t>
        </is>
      </c>
      <c r="S162" s="13" t="n">
        <v>0.006</v>
      </c>
    </row>
    <row r="163">
      <c r="A163" s="4" t="inlineStr">
        <is>
          <t>7b6afa30c92d</t>
        </is>
      </c>
      <c r="B163" s="4" t="inlineStr">
        <is>
          <t>SOL-&gt;ETH</t>
        </is>
      </c>
      <c r="C163" s="4" t="n">
        <v>3</v>
      </c>
      <c r="D163" s="4" t="inlineStr">
        <is>
          <t>Relay</t>
        </is>
      </c>
      <c r="E163" s="4" t="inlineStr">
        <is>
          <t>venue</t>
        </is>
      </c>
      <c r="F163" s="4" t="inlineStr">
        <is>
          <t>OK</t>
        </is>
      </c>
      <c r="G163" s="4" t="inlineStr">
        <is>
          <t>2026-09-23T14:26:48.252Z</t>
        </is>
      </c>
      <c r="H163" s="4" t="inlineStr">
        <is>
          <t>2026-09-23T14:26:50.584Z</t>
        </is>
      </c>
      <c r="I163" s="4" t="inlineStr">
        <is>
          <t>2026-09-23T14:26:54.609Z</t>
        </is>
      </c>
      <c r="J163" s="13" t="n">
        <v>0.002</v>
      </c>
      <c r="K163" s="19" t="n">
        <v>99.260036</v>
      </c>
      <c r="L163" s="20" t="n"/>
      <c r="M163" s="4" t="n"/>
      <c r="N163" s="4" t="inlineStr">
        <is>
          <t>rate=0.9926</t>
        </is>
      </c>
      <c r="O163" s="4" t="inlineStr">
        <is>
          <t>https://relay.link/bridge/ethereum?fromChainId=792703809&amp;fromCurrency=EPjFWdd5AufqSSqeM2qN1xzybapC8G4wEGGkZwyTDt1v&amp;toCurrency=0xa0b86991c6218b36c1d19d4a2e9eb0ce3606eb48</t>
        </is>
      </c>
      <c r="P163" s="4" t="inlineStr">
        <is>
          <t>20260923T141817Z</t>
        </is>
      </c>
      <c r="Q163" s="4" t="inlineStr">
        <is>
          <t>2026-09-23T14:26:54.589Z</t>
        </is>
      </c>
      <c r="R163" s="4" t="inlineStr">
        <is>
          <t>2026-09-23T14:26:52.700Z</t>
        </is>
      </c>
      <c r="S163" s="13" t="n">
        <v>0.006</v>
      </c>
    </row>
    <row r="164">
      <c r="A164" s="4" t="inlineStr">
        <is>
          <t>7b6afa30c92d</t>
        </is>
      </c>
      <c r="B164" s="4" t="inlineStr">
        <is>
          <t>SOL-&gt;ETH</t>
        </is>
      </c>
      <c r="C164" s="4" t="n">
        <v>3</v>
      </c>
      <c r="D164" s="4" t="inlineStr">
        <is>
          <t>deBridge</t>
        </is>
      </c>
      <c r="E164" s="4" t="inlineStr">
        <is>
          <t>venue</t>
        </is>
      </c>
      <c r="F164" s="4" t="inlineStr">
        <is>
          <t>OK</t>
        </is>
      </c>
      <c r="G164" s="4" t="inlineStr">
        <is>
          <t>2026-09-23T14:26:48.253Z</t>
        </is>
      </c>
      <c r="H164" s="4" t="inlineStr">
        <is>
          <t>2026-09-23T14:26:51.726Z</t>
        </is>
      </c>
      <c r="I164" s="4" t="inlineStr">
        <is>
          <t>2026-09-23T14:26:54.621Z</t>
        </is>
      </c>
      <c r="J164" s="13" t="n">
        <v>0.002</v>
      </c>
      <c r="K164" s="19" t="n">
        <v>99.880033</v>
      </c>
      <c r="L164" s="20" t="n">
        <v>2.8199</v>
      </c>
      <c r="M164" s="4" t="inlineStr">
        <is>
          <t>USDC</t>
        </is>
      </c>
      <c r="N164" s="4" t="inlineStr">
        <is>
          <t>fixed_fee_on_top=2.8199; fixed_fee_token=USDC</t>
        </is>
      </c>
      <c r="O164" s="4" t="inlineStr">
        <is>
          <t>https://app.debridge.com/?inputChain=7565164&amp;outputChain=1&amp;inputCurrency=EPjFWdd5AufqSSqeM2qN1xzybapC8G4wEGGkZwyTDt1v&amp;outputCurrency=0xa0b86991c6218b36c1d19d4a2e9eb0ce3606eb48&amp;dlnMode=simple</t>
        </is>
      </c>
      <c r="P164" s="4" t="inlineStr">
        <is>
          <t>20260923T141817Z</t>
        </is>
      </c>
      <c r="Q164" s="4" t="inlineStr">
        <is>
          <t>2026-09-23T14:26:54.593Z</t>
        </is>
      </c>
      <c r="R164" s="4" t="inlineStr">
        <is>
          <t>2026-09-23T14:26:53.972Z</t>
        </is>
      </c>
      <c r="S164" s="13" t="n">
        <v>0.006</v>
      </c>
    </row>
    <row r="165">
      <c r="A165" s="4" t="inlineStr">
        <is>
          <t>7b6afa30c92d</t>
        </is>
      </c>
      <c r="B165" s="4" t="inlineStr">
        <is>
          <t>SOL-&gt;ETH</t>
        </is>
      </c>
      <c r="C165" s="4" t="n">
        <v>3</v>
      </c>
      <c r="D165" s="4" t="inlineStr">
        <is>
          <t>LI.FI (Jumper)</t>
        </is>
      </c>
      <c r="E165" s="4" t="inlineStr">
        <is>
          <t>venue</t>
        </is>
      </c>
      <c r="F165" s="4" t="inlineStr">
        <is>
          <t>OK</t>
        </is>
      </c>
      <c r="G165" s="4" t="inlineStr">
        <is>
          <t>2026-09-23T14:26:48.255Z</t>
        </is>
      </c>
      <c r="H165" s="4" t="inlineStr">
        <is>
          <t>2026-09-23T14:26:51.678Z</t>
        </is>
      </c>
      <c r="I165" s="4" t="inlineStr">
        <is>
          <t>2026-09-23T14:26:54.601Z</t>
        </is>
      </c>
      <c r="J165" s="13" t="n">
        <v>0</v>
      </c>
      <c r="K165" s="19" t="n">
        <v>99.260036</v>
      </c>
      <c r="L165" s="20" t="n"/>
      <c r="M165" s="4" t="n"/>
      <c r="N165" s="4" t="inlineStr">
        <is>
          <t>best_return_venue=Relay; max_out=99.99</t>
        </is>
      </c>
      <c r="O165" s="4" t="inlineStr">
        <is>
          <t>https://jumper.xyz/?fromChain=1151111081099710&amp;fromToken=EPjFWdd5AufqSSqeM2qN1xzybapC8G4wEGGkZwyTDt1v&amp;toChain=1&amp;toToken=0xa0b86991c6218b36c1d19d4a2e9eb0ce3606eb48</t>
        </is>
      </c>
      <c r="P165" s="4" t="inlineStr">
        <is>
          <t>20260923T141817Z</t>
        </is>
      </c>
      <c r="Q165" s="4" t="inlineStr">
        <is>
          <t>2026-09-23T14:26:54.591Z</t>
        </is>
      </c>
      <c r="R165" s="4" t="inlineStr">
        <is>
          <t>2026-09-23T14:26:53.949Z</t>
        </is>
      </c>
      <c r="S165" s="13" t="n">
        <v>0.006</v>
      </c>
    </row>
    <row r="166">
      <c r="A166" s="4" t="inlineStr">
        <is>
          <t>7b6afa30c92d</t>
        </is>
      </c>
      <c r="B166" s="4" t="inlineStr">
        <is>
          <t>SOL-&gt;ETH</t>
        </is>
      </c>
      <c r="C166" s="4" t="n">
        <v>3</v>
      </c>
      <c r="D166" s="4" t="inlineStr">
        <is>
          <t>Across</t>
        </is>
      </c>
      <c r="E166" s="4" t="inlineStr">
        <is>
          <t>venue</t>
        </is>
      </c>
      <c r="F166" s="4" t="inlineStr">
        <is>
          <t>OK</t>
        </is>
      </c>
      <c r="G166" s="4" t="inlineStr">
        <is>
          <t>2026-09-23T14:26:48.251Z</t>
        </is>
      </c>
      <c r="H166" s="4" t="inlineStr">
        <is>
          <t>2026-09-23T14:26:50.556Z</t>
        </is>
      </c>
      <c r="I166" s="4" t="inlineStr">
        <is>
          <t>2026-09-23T14:26:54.597Z</t>
        </is>
      </c>
      <c r="J166" s="13" t="n">
        <v>0.002</v>
      </c>
      <c r="K166" s="19" t="n">
        <v>99.98999999999999</v>
      </c>
      <c r="L166" s="20" t="n"/>
      <c r="M166" s="4" t="n"/>
      <c r="N166" s="4" t="inlineStr"/>
      <c r="O166" s="4" t="inlineStr">
        <is>
          <t>https://across.to/?from=solana&amp;to=ethereum&amp;inputToken=USDC&amp;outputToken=USDC</t>
        </is>
      </c>
      <c r="P166" s="4" t="inlineStr">
        <is>
          <t>20260923T141817Z</t>
        </is>
      </c>
      <c r="Q166" s="4" t="inlineStr">
        <is>
          <t>2026-09-23T14:26:54.589Z</t>
        </is>
      </c>
      <c r="R166" s="4" t="inlineStr">
        <is>
          <t>2026-09-23T14:26:52.637Z</t>
        </is>
      </c>
      <c r="S166" s="13" t="n">
        <v>0.006</v>
      </c>
    </row>
    <row r="167">
      <c r="A167" s="4" t="inlineStr">
        <is>
          <t>7b6afa30c92d</t>
        </is>
      </c>
      <c r="B167" s="4" t="inlineStr">
        <is>
          <t>SOL-&gt;ETH</t>
        </is>
      </c>
      <c r="C167" s="4" t="n">
        <v>3</v>
      </c>
      <c r="D167" s="4" t="inlineStr">
        <is>
          <t>Mayan</t>
        </is>
      </c>
      <c r="E167" s="4" t="inlineStr">
        <is>
          <t>venue</t>
        </is>
      </c>
      <c r="F167" s="4" t="inlineStr">
        <is>
          <t>OK</t>
        </is>
      </c>
      <c r="G167" s="4" t="inlineStr">
        <is>
          <t>2026-09-23T14:26:48.251Z</t>
        </is>
      </c>
      <c r="H167" s="4" t="inlineStr">
        <is>
          <t>2026-09-23T14:26:50.100Z</t>
        </is>
      </c>
      <c r="I167" s="4" t="inlineStr">
        <is>
          <t>2026-09-23T14:26:54.596Z</t>
        </is>
      </c>
      <c r="J167" s="13" t="n">
        <v>0.003</v>
      </c>
      <c r="K167" s="19" t="n">
        <v>96.851</v>
      </c>
      <c r="L167" s="20" t="n"/>
      <c r="M167" s="4" t="n"/>
      <c r="N167" s="4" t="inlineStr">
        <is>
          <t>mode=Swift v2; eta=3s; display_decimals=3</t>
        </is>
      </c>
      <c r="O167" s="4" t="inlineStr">
        <is>
          <t>https://swap.mayan.finance/</t>
        </is>
      </c>
      <c r="P167" s="4" t="inlineStr">
        <is>
          <t>20260923T141817Z</t>
        </is>
      </c>
      <c r="Q167" s="4" t="inlineStr">
        <is>
          <t>2026-09-23T14:26:54.588Z</t>
        </is>
      </c>
      <c r="R167" s="4" t="inlineStr">
        <is>
          <t>2026-09-23T14:26:52.310Z</t>
        </is>
      </c>
      <c r="S167" s="13" t="n">
        <v>0.006</v>
      </c>
    </row>
    <row r="168">
      <c r="A168" s="4" t="inlineStr">
        <is>
          <t>7b6afa30c92d</t>
        </is>
      </c>
      <c r="B168" s="4" t="inlineStr">
        <is>
          <t>SOL-&gt;ETH</t>
        </is>
      </c>
      <c r="C168" s="4" t="n">
        <v>3</v>
      </c>
      <c r="D168" s="4" t="inlineStr">
        <is>
          <t>Allbridge Core</t>
        </is>
      </c>
      <c r="E168" s="4" t="inlineStr">
        <is>
          <t>venue</t>
        </is>
      </c>
      <c r="F168" s="4" t="inlineStr">
        <is>
          <t>OK</t>
        </is>
      </c>
      <c r="G168" s="4" t="inlineStr">
        <is>
          <t>2026-09-23T14:26:48.257Z</t>
        </is>
      </c>
      <c r="H168" s="4" t="inlineStr">
        <is>
          <t>2026-09-23T14:26:50.605Z</t>
        </is>
      </c>
      <c r="I168" s="4" t="inlineStr">
        <is>
          <t>2026-09-23T14:26:55.854Z</t>
        </is>
      </c>
      <c r="J168" s="13" t="n">
        <v>0.001</v>
      </c>
      <c r="K168" s="19" t="n">
        <v>99.90000000000001</v>
      </c>
      <c r="L168" s="20" t="n">
        <v>0.015393</v>
      </c>
      <c r="M168" s="4" t="inlineStr">
        <is>
          <t>SOL (relayer fee, fee=native)</t>
        </is>
      </c>
      <c r="N168" s="4" t="inlineStr">
        <is>
          <t>out_input_box=99.9; out_details_2dp=99.9; fixed_fee_on_top=0.015393; fixed_fee_token=SOL (relayer fee, fee=native); transfer_fee=0.10 USDC; messenger=CCTP; eta=~2 min; display_decimals=1; picked=['USDC from Solana', 'USDC to Ethereum']</t>
        </is>
      </c>
      <c r="O168" s="4" t="inlineStr">
        <is>
          <t>https://core.allbridge.io/?fee=native&amp;ft=USDC&amp;tt=USDC&amp;f=SOL&amp;t=ETH</t>
        </is>
      </c>
      <c r="P168" s="4" t="inlineStr">
        <is>
          <t>20260923T141817Z</t>
        </is>
      </c>
      <c r="Q168" s="4" t="inlineStr">
        <is>
          <t>2026-09-23T14:26:54.590Z</t>
        </is>
      </c>
      <c r="R168" s="4" t="inlineStr">
        <is>
          <t>2026-09-23T14:26:52.742Z</t>
        </is>
      </c>
      <c r="S168" s="13" t="n">
        <v>0.006</v>
      </c>
    </row>
    <row r="169">
      <c r="A169" s="4" t="inlineStr">
        <is>
          <t>7b6afa30c92d</t>
        </is>
      </c>
      <c r="B169" s="4" t="inlineStr">
        <is>
          <t>SOL-&gt;ETH</t>
        </is>
      </c>
      <c r="C169" s="4" t="n">
        <v>3</v>
      </c>
      <c r="D169" s="4" t="inlineStr">
        <is>
          <t>CCTP (via Portal)</t>
        </is>
      </c>
      <c r="E169" s="4" t="inlineStr">
        <is>
          <t>venue</t>
        </is>
      </c>
      <c r="F169" s="4" t="inlineStr">
        <is>
          <t>OK</t>
        </is>
      </c>
      <c r="G169" s="4" t="inlineStr">
        <is>
          <t>2026-09-23T14:26:48.253Z</t>
        </is>
      </c>
      <c r="H169" s="4" t="inlineStr">
        <is>
          <t>2026-09-23T14:26:52.395Z</t>
        </is>
      </c>
      <c r="I169" s="4" t="inlineStr">
        <is>
          <t>2026-09-23T14:26:54.607Z</t>
        </is>
      </c>
      <c r="J169" s="13" t="n">
        <v>0.003</v>
      </c>
      <c r="K169" s="19" t="n">
        <v>99.98999999999999</v>
      </c>
      <c r="L169" s="20" t="n"/>
      <c r="M169" s="4" t="n"/>
      <c r="N169" s="4" t="inlineStr">
        <is>
          <t>venue_ui=CCTP via Portal (portalbridge.com/usdc-bridge); messenger=Circle CCTP; route_type=CCTPv2StandardExecutorRoute; eta=14 sec; usd_value=99.99; price_impact=-0.01%; fixed_fee_note=executor/relayer fee not shown without a wallet; display_decimals=2</t>
        </is>
      </c>
      <c r="O169" s="4" t="inlineStr">
        <is>
          <t>https://portalbridge.com/usdc-bridge?fromChain=Solana&amp;fromToken=USDC&amp;toChain=Ethereum&amp;toToken=USDC</t>
        </is>
      </c>
      <c r="P169" s="4" t="inlineStr">
        <is>
          <t>20260923T141817Z</t>
        </is>
      </c>
      <c r="Q169" s="4" t="inlineStr">
        <is>
          <t>2026-09-23T14:26:54.588Z</t>
        </is>
      </c>
      <c r="R169" s="4" t="inlineStr">
        <is>
          <t>2026-09-23T14:26:54.588Z</t>
        </is>
      </c>
      <c r="S169" s="13" t="n">
        <v>0.006</v>
      </c>
    </row>
    <row r="170">
      <c r="A170" s="4" t="inlineStr">
        <is>
          <t>7b6afa30c92d</t>
        </is>
      </c>
      <c r="B170" s="4" t="inlineStr">
        <is>
          <t>SOL-&gt;ETH</t>
        </is>
      </c>
      <c r="C170" s="4" t="n">
        <v>3</v>
      </c>
      <c r="D170" s="4" t="inlineStr">
        <is>
          <t>Husher</t>
        </is>
      </c>
      <c r="E170" s="4" t="inlineStr">
        <is>
          <t>venue</t>
        </is>
      </c>
      <c r="F170" s="4" t="inlineStr">
        <is>
          <t>OK</t>
        </is>
      </c>
      <c r="G170" s="4" t="inlineStr">
        <is>
          <t>2026-09-23T14:26:48.257Z</t>
        </is>
      </c>
      <c r="H170" s="4" t="inlineStr">
        <is>
          <t>2026-09-23T14:26:50.583Z</t>
        </is>
      </c>
      <c r="I170" s="4" t="inlineStr">
        <is>
          <t>2026-09-23T14:26:54.611Z</t>
        </is>
      </c>
      <c r="J170" s="13" t="n">
        <v>0.002</v>
      </c>
      <c r="K170" s="19" t="n">
        <v>99.05</v>
      </c>
      <c r="L170" s="20" t="n"/>
      <c r="M170" s="4" t="n"/>
      <c r="N170" s="4" t="inlineStr">
        <is>
          <t>out_usd=$99.07; provider=Husher (Best Rate); rate_type=floating; fee_deducted=0.35; network_fee_deducted=0.6; api_receive=99.05000000; eta_s=40; display_decimals=2</t>
        </is>
      </c>
      <c r="O170" s="4" t="inlineStr">
        <is>
          <t>https://www.husher.io/</t>
        </is>
      </c>
      <c r="P170" s="4" t="inlineStr">
        <is>
          <t>20260923T141817Z</t>
        </is>
      </c>
      <c r="Q170" s="4" t="inlineStr">
        <is>
          <t>2026-09-23T14:26:54.589Z</t>
        </is>
      </c>
      <c r="R170" s="4" t="inlineStr">
        <is>
          <t>2026-09-23T14:26:52.709Z</t>
        </is>
      </c>
      <c r="S170" s="13" t="n">
        <v>0.006</v>
      </c>
    </row>
    <row r="171">
      <c r="A171" s="4" t="inlineStr">
        <is>
          <t>7b6afa30c92d</t>
        </is>
      </c>
      <c r="B171" s="4" t="inlineStr">
        <is>
          <t>SOL-&gt;ETH</t>
        </is>
      </c>
      <c r="C171" s="4" t="n">
        <v>3</v>
      </c>
      <c r="D171" s="4" t="inlineStr">
        <is>
          <t>Layerswap</t>
        </is>
      </c>
      <c r="E171" s="4" t="inlineStr">
        <is>
          <t>venue</t>
        </is>
      </c>
      <c r="F171" s="4" t="inlineStr">
        <is>
          <t>OK</t>
        </is>
      </c>
      <c r="G171" s="4" t="inlineStr">
        <is>
          <t>2026-09-23T14:26:48.251Z</t>
        </is>
      </c>
      <c r="H171" s="4" t="inlineStr">
        <is>
          <t>2026-09-23T14:26:51.705Z</t>
        </is>
      </c>
      <c r="I171" s="4" t="inlineStr">
        <is>
          <t>2026-09-23T14:26:54.617Z</t>
        </is>
      </c>
      <c r="J171" s="13" t="n">
        <v>0.001</v>
      </c>
      <c r="K171" s="19" t="n">
        <v>99.706546</v>
      </c>
      <c r="L171" s="20" t="n"/>
      <c r="M171" s="4" t="n"/>
      <c r="N171" s="4" t="inlineStr">
        <is>
          <t>out_usd=$99.68; fee_usd=0.29; slippage=0.00%; eta=26 secs; to_token=USDC; to_chain=Ethereum; display_decimals=6</t>
        </is>
      </c>
      <c r="O171" s="4" t="inlineStr">
        <is>
          <t>https://layerswap.io/app?from=SOLANA_MAINNET&amp;to=ETHEREUM_MAINNET&amp;fromAsset=USDC&amp;toAsset=USDC</t>
        </is>
      </c>
      <c r="P171" s="4" t="inlineStr">
        <is>
          <t>20260923T141817Z</t>
        </is>
      </c>
      <c r="Q171" s="4" t="inlineStr">
        <is>
          <t>2026-09-23T14:26:54.592Z</t>
        </is>
      </c>
      <c r="R171" s="4" t="inlineStr">
        <is>
          <t>2026-09-23T14:26:53.972Z</t>
        </is>
      </c>
      <c r="S171" s="13" t="n">
        <v>0.006</v>
      </c>
    </row>
    <row r="172">
      <c r="A172" s="4" t="inlineStr">
        <is>
          <t>7b6afa30c92d</t>
        </is>
      </c>
      <c r="B172" s="4" t="inlineStr">
        <is>
          <t>SOL-&gt;ETH</t>
        </is>
      </c>
      <c r="C172" s="4" t="n">
        <v>3</v>
      </c>
      <c r="D172" s="4" t="inlineStr">
        <is>
          <t>Meson</t>
        </is>
      </c>
      <c r="E172" s="4" t="inlineStr">
        <is>
          <t>venue</t>
        </is>
      </c>
      <c r="F172" s="4" t="inlineStr">
        <is>
          <t>OK</t>
        </is>
      </c>
      <c r="G172" s="4" t="inlineStr">
        <is>
          <t>2026-09-23T14:26:48.257Z</t>
        </is>
      </c>
      <c r="H172" s="4" t="inlineStr">
        <is>
          <t>2026-09-23T14:26:49.692Z</t>
        </is>
      </c>
      <c r="I172" s="4" t="inlineStr">
        <is>
          <t>2026-09-23T14:26:54.595Z</t>
        </is>
      </c>
      <c r="J172" s="13" t="n">
        <v>0.003</v>
      </c>
      <c r="K172" s="19" t="n">
        <v>98.67</v>
      </c>
      <c r="L172" s="20" t="n">
        <v>0</v>
      </c>
      <c r="M172" s="4" t="n"/>
      <c r="N172" s="4" t="inlineStr">
        <is>
          <t>fees_deducted=[['Fee', 1.33, 'USDC']]; fee_total=1.33; fixed_fee_on_top=0.0; display_decimals=2</t>
        </is>
      </c>
      <c r="O172" s="4" t="inlineStr">
        <is>
          <t>https://meson.fi/swap</t>
        </is>
      </c>
      <c r="P172" s="4" t="inlineStr">
        <is>
          <t>20260923T141817Z</t>
        </is>
      </c>
      <c r="Q172" s="4" t="inlineStr">
        <is>
          <t>2026-09-23T14:26:54.588Z</t>
        </is>
      </c>
      <c r="R172" s="4" t="inlineStr">
        <is>
          <t>2026-09-23T14:26:51.703Z</t>
        </is>
      </c>
      <c r="S172" s="13" t="n">
        <v>0.006</v>
      </c>
    </row>
    <row r="173">
      <c r="A173" s="4" t="inlineStr">
        <is>
          <t>7b6afa30c92d</t>
        </is>
      </c>
      <c r="B173" s="4" t="inlineStr">
        <is>
          <t>SOL-&gt;ETH</t>
        </is>
      </c>
      <c r="C173" s="4" t="n">
        <v>3</v>
      </c>
      <c r="D173" s="4" t="inlineStr">
        <is>
          <t>OpenSea</t>
        </is>
      </c>
      <c r="E173" s="4" t="inlineStr">
        <is>
          <t>platform</t>
        </is>
      </c>
      <c r="F173" s="4" t="inlineStr">
        <is>
          <t>OK</t>
        </is>
      </c>
      <c r="G173" s="4" t="inlineStr">
        <is>
          <t>2026-09-23T14:26:48.252Z</t>
        </is>
      </c>
      <c r="H173" s="4" t="inlineStr">
        <is>
          <t>2026-09-23T14:26:51.825Z</t>
        </is>
      </c>
      <c r="I173" s="4" t="inlineStr">
        <is>
          <t>2026-09-23T14:26:54.622Z</t>
        </is>
      </c>
      <c r="J173" s="13" t="n">
        <v>0.002</v>
      </c>
      <c r="K173" s="19" t="n">
        <v>99.06699999999999</v>
      </c>
      <c r="L173" s="20" t="n">
        <v>0.05</v>
      </c>
      <c r="M173" s="4" t="inlineStr">
        <is>
          <t>native (gas, USD shown)</t>
        </is>
      </c>
      <c r="N173" s="4" t="inlineStr">
        <is>
          <t>out_usd=$99.04; provider=Relay; fee_total_usd=0.97; provider_fee_usd=0.92; provider_fee_pct=0.92%; provider_fee_deducted=True; opensea_fee_usd=0.0; opensea_fee_pct=0%; gas_fee_usd=0.05; gas_fee_display=$0.05; fixed_fee_on_top=0.05; fixed_fee_token=native (gas, USD shown); price_impact=(-&lt; $0.01) -0.</t>
        </is>
      </c>
      <c r="O173" s="4" t="inlineStr">
        <is>
          <t>https://opensea.io/swap?fromChain=solana&amp;fromAddress=EPjFWdd5AufqSSqeM2qN1xzybapC8G4wEGGkZwyTDt1v&amp;toChain=ethereum&amp;toAddress=0xa0b86991c6218b36c1d19d4a2e9eb0ce3606eb48</t>
        </is>
      </c>
      <c r="P173" s="4" t="inlineStr">
        <is>
          <t>20260923T141817Z</t>
        </is>
      </c>
      <c r="Q173" s="4" t="inlineStr">
        <is>
          <t>2026-09-23T14:26:54.593Z</t>
        </is>
      </c>
      <c r="R173" s="4" t="inlineStr">
        <is>
          <t>2026-09-23T14:26:54.084Z</t>
        </is>
      </c>
      <c r="S173" s="13" t="n">
        <v>0.006</v>
      </c>
    </row>
    <row r="174">
      <c r="A174" s="4" t="inlineStr">
        <is>
          <t>7b6afa30c92d</t>
        </is>
      </c>
      <c r="B174" s="4" t="inlineStr">
        <is>
          <t>SOL-&gt;ETH</t>
        </is>
      </c>
      <c r="C174" s="4" t="n">
        <v>3</v>
      </c>
      <c r="D174" s="4" t="inlineStr">
        <is>
          <t>SimpleSwap</t>
        </is>
      </c>
      <c r="E174" s="4" t="inlineStr">
        <is>
          <t>venue</t>
        </is>
      </c>
      <c r="F174" s="4" t="inlineStr">
        <is>
          <t>OK</t>
        </is>
      </c>
      <c r="G174" s="4" t="inlineStr">
        <is>
          <t>2026-09-23T14:26:48.258Z</t>
        </is>
      </c>
      <c r="H174" s="4" t="inlineStr">
        <is>
          <t>2026-09-23T14:26:52.307Z</t>
        </is>
      </c>
      <c r="I174" s="4" t="inlineStr">
        <is>
          <t>2026-09-23T14:26:54.797Z</t>
        </is>
      </c>
      <c r="J174" s="13" t="n">
        <v>0.003</v>
      </c>
      <c r="K174" s="19" t="n">
        <v>98.205814</v>
      </c>
      <c r="L174" s="20" t="n">
        <v>0</v>
      </c>
      <c r="M174" s="4" t="inlineStr">
        <is>
          <t>USDC</t>
        </is>
      </c>
      <c r="N174" s="4" t="inlineStr">
        <is>
          <t>best_card_out=98.205814; selected_card=Best rate / Decentralized; rate_type=floating; fixed_fee_on_top=0.0; fixed_fee_token=USDC; display_decimals=6; small_sum_warning=False</t>
        </is>
      </c>
      <c r="O174" s="4" t="inlineStr">
        <is>
          <t>https://simpleswap.io/?from=usdc-sol&amp;to=usdc-eth</t>
        </is>
      </c>
      <c r="P174" s="4" t="inlineStr">
        <is>
          <t>20260923T141817Z</t>
        </is>
      </c>
      <c r="Q174" s="4" t="inlineStr">
        <is>
          <t>2026-09-23T14:26:54.594Z</t>
        </is>
      </c>
      <c r="R174" s="4" t="inlineStr">
        <is>
          <t>2026-09-23T14:26:54.388Z</t>
        </is>
      </c>
      <c r="S174" s="13" t="n">
        <v>0.006</v>
      </c>
    </row>
    <row r="175">
      <c r="A175" s="4" t="inlineStr">
        <is>
          <t>7b6afa30c92d</t>
        </is>
      </c>
      <c r="B175" s="4" t="inlineStr">
        <is>
          <t>SOL-&gt;ETH</t>
        </is>
      </c>
      <c r="C175" s="4" t="n">
        <v>3</v>
      </c>
      <c r="D175" s="4" t="inlineStr">
        <is>
          <t>Skip Go</t>
        </is>
      </c>
      <c r="E175" s="4" t="inlineStr">
        <is>
          <t>venue</t>
        </is>
      </c>
      <c r="F175" s="4" t="inlineStr">
        <is>
          <t>OK</t>
        </is>
      </c>
      <c r="G175" s="4" t="inlineStr">
        <is>
          <t>2026-09-23T14:26:48.253Z</t>
        </is>
      </c>
      <c r="H175" s="4" t="inlineStr">
        <is>
          <t>2026-09-23T14:26:51.726Z</t>
        </is>
      </c>
      <c r="I175" s="4" t="inlineStr">
        <is>
          <t>2026-09-23T14:26:54.620Z</t>
        </is>
      </c>
      <c r="J175" s="13" t="n">
        <v>0.001</v>
      </c>
      <c r="K175" s="19" t="n">
        <v>97.44691</v>
      </c>
      <c r="L175" s="20" t="n"/>
      <c r="M175" s="4" t="n"/>
      <c r="N175" s="4" t="inlineStr">
        <is>
          <t>fees_usd_in_quote=2.55; eta=30 secs; usd_values=['99.97', '97.42']; display_decimals=5</t>
        </is>
      </c>
      <c r="O175" s="4" t="inlineStr">
        <is>
          <t>https://go.skip.build/?src_chain=solana&amp;src_asset=EPjFWdd5AufqSSqeM2qN1xzybapC8G4wEGGkZwyTDt1v&amp;dest_chain=1&amp;dest_asset=0xa0b86991c6218b36c1d19d4a2e9eb0ce3606eb48</t>
        </is>
      </c>
      <c r="P175" s="4" t="inlineStr">
        <is>
          <t>20260923T141817Z</t>
        </is>
      </c>
      <c r="Q175" s="4" t="inlineStr">
        <is>
          <t>2026-09-23T14:26:54.592Z</t>
        </is>
      </c>
      <c r="R175" s="4" t="inlineStr">
        <is>
          <t>2026-09-23T14:26:53.972Z</t>
        </is>
      </c>
      <c r="S175" s="13" t="n">
        <v>0.006</v>
      </c>
    </row>
    <row r="176">
      <c r="A176" s="4" t="inlineStr">
        <is>
          <t>7b6afa30c92d</t>
        </is>
      </c>
      <c r="B176" s="4" t="inlineStr">
        <is>
          <t>SOL-&gt;ETH</t>
        </is>
      </c>
      <c r="C176" s="4" t="n">
        <v>3</v>
      </c>
      <c r="D176" s="4" t="inlineStr">
        <is>
          <t>Symbiosis</t>
        </is>
      </c>
      <c r="E176" s="4" t="inlineStr">
        <is>
          <t>venue</t>
        </is>
      </c>
      <c r="F176" s="4" t="inlineStr">
        <is>
          <t>OK</t>
        </is>
      </c>
      <c r="G176" s="4" t="inlineStr">
        <is>
          <t>2026-09-23T14:26:48.252Z</t>
        </is>
      </c>
      <c r="H176" s="4" t="inlineStr">
        <is>
          <t>2026-09-23T14:26:51.709Z</t>
        </is>
      </c>
      <c r="I176" s="4" t="inlineStr">
        <is>
          <t>2026-09-23T14:26:54.619Z</t>
        </is>
      </c>
      <c r="J176" s="13" t="n">
        <v>0</v>
      </c>
      <c r="K176" s="19" t="n">
        <v>96.510498</v>
      </c>
      <c r="L176" s="20" t="n">
        <v>0</v>
      </c>
      <c r="M176" s="4" t="n"/>
      <c r="N176" s="4" t="inlineStr">
        <is>
          <t>min_received=96.0279; fee_usd_deducted=3.49; eta=1 - 3 Min; price_impact=0%; slippage=2%; route=Bridge to Ethereum; fixed_fee_on_top=0.0; display_decimals=6</t>
        </is>
      </c>
      <c r="O176" s="4" t="inlineStr">
        <is>
          <t>https://app.symbiosis.finance/swap?chainIn=Solana&amp;chainOut=Ethereum&amp;tokenIn=0x0000000000000000000000000000000000000003&amp;tokenOut=0xa0b86991c6218b36c1d19d4a2e9eb0ce3606eb48</t>
        </is>
      </c>
      <c r="P176" s="4" t="inlineStr">
        <is>
          <t>20260923T141817Z</t>
        </is>
      </c>
      <c r="Q176" s="4" t="inlineStr">
        <is>
          <t>2026-09-23T14:26:54.591Z</t>
        </is>
      </c>
      <c r="R176" s="4" t="inlineStr">
        <is>
          <t>2026-09-23T14:26:53.972Z</t>
        </is>
      </c>
      <c r="S176" s="13" t="n">
        <v>0.006</v>
      </c>
    </row>
    <row r="177">
      <c r="A177" s="4" t="inlineStr">
        <is>
          <t>e5f54d8d4b76</t>
        </is>
      </c>
      <c r="B177" s="4" t="inlineStr">
        <is>
          <t>ETH-&gt;SOL</t>
        </is>
      </c>
      <c r="C177" s="4" t="n">
        <v>3</v>
      </c>
      <c r="D177" s="4" t="inlineStr">
        <is>
          <t>Bridg</t>
        </is>
      </c>
      <c r="E177" s="4" t="inlineStr">
        <is>
          <t>bridg</t>
        </is>
      </c>
      <c r="F177" s="4" t="inlineStr">
        <is>
          <t>OK</t>
        </is>
      </c>
      <c r="G177" s="4" t="inlineStr">
        <is>
          <t>2026-09-23T14:27:21.676Z</t>
        </is>
      </c>
      <c r="H177" s="4" t="inlineStr">
        <is>
          <t>2026-09-23T14:27:23.278Z</t>
        </is>
      </c>
      <c r="I177" s="4" t="inlineStr">
        <is>
          <t>2026-09-23T14:27:28.368Z</t>
        </is>
      </c>
      <c r="J177" s="13" t="n"/>
      <c r="K177" s="19" t="n">
        <v>99.85005</v>
      </c>
      <c r="L177" s="20" t="n"/>
      <c r="M177" s="4" t="n"/>
      <c r="N177" s="4" t="inlineStr">
        <is>
          <t>best via Allbridge Core; 15 venues priced; fees [['Allbridge Core fee', 0.09995], ['Bridg fee', 0.05]]</t>
        </is>
      </c>
      <c r="O177" s="4" t="inlineStr">
        <is>
          <t>https://bridg.now/swap/</t>
        </is>
      </c>
      <c r="P177" s="4" t="inlineStr">
        <is>
          <t>20260923T141817Z</t>
        </is>
      </c>
      <c r="Q177" s="4" t="inlineStr">
        <is>
          <t>2026-09-23T14:27:28.356Z</t>
        </is>
      </c>
      <c r="R177" s="4" t="inlineStr">
        <is>
          <t>2026-09-23T14:27:26.829Z</t>
        </is>
      </c>
      <c r="S177" s="13" t="n">
        <v>0.004</v>
      </c>
    </row>
    <row r="178">
      <c r="A178" s="4" t="inlineStr">
        <is>
          <t>e5f54d8d4b76</t>
        </is>
      </c>
      <c r="B178" s="4" t="inlineStr">
        <is>
          <t>ETH-&gt;SOL</t>
        </is>
      </c>
      <c r="C178" s="4" t="n">
        <v>3</v>
      </c>
      <c r="D178" s="4" t="inlineStr">
        <is>
          <t>Relay</t>
        </is>
      </c>
      <c r="E178" s="4" t="inlineStr">
        <is>
          <t>venue</t>
        </is>
      </c>
      <c r="F178" s="4" t="inlineStr">
        <is>
          <t>OK</t>
        </is>
      </c>
      <c r="G178" s="4" t="inlineStr">
        <is>
          <t>2026-09-23T14:27:21.671Z</t>
        </is>
      </c>
      <c r="H178" s="4" t="inlineStr">
        <is>
          <t>2026-09-23T14:27:24.111Z</t>
        </is>
      </c>
      <c r="I178" s="4" t="inlineStr">
        <is>
          <t>2026-09-23T14:27:28.366Z</t>
        </is>
      </c>
      <c r="J178" s="13" t="n">
        <v>0.001</v>
      </c>
      <c r="K178" s="19" t="n">
        <v>99.945713</v>
      </c>
      <c r="L178" s="20" t="n"/>
      <c r="M178" s="4" t="n"/>
      <c r="N178" s="4" t="inlineStr">
        <is>
          <t>rate=0.9994</t>
        </is>
      </c>
      <c r="O178" s="4" t="inlineStr">
        <is>
          <t>https://relay.link/bridge/solana?fromChainId=1&amp;fromCurrency=0xa0b86991c6218b36c1d19d4a2e9eb0ce3606eb48&amp;toCurrency=EPjFWdd5AufqSSqeM2qN1xzybapC8G4wEGGkZwyTDt1v</t>
        </is>
      </c>
      <c r="P178" s="4" t="inlineStr">
        <is>
          <t>20260923T141817Z</t>
        </is>
      </c>
      <c r="Q178" s="4" t="inlineStr">
        <is>
          <t>2026-09-23T14:27:28.355Z</t>
        </is>
      </c>
      <c r="R178" s="4" t="inlineStr">
        <is>
          <t>2026-09-23T14:27:26.347Z</t>
        </is>
      </c>
      <c r="S178" s="13" t="n">
        <v>0.004</v>
      </c>
    </row>
    <row r="179">
      <c r="A179" s="4" t="inlineStr">
        <is>
          <t>e5f54d8d4b76</t>
        </is>
      </c>
      <c r="B179" s="4" t="inlineStr">
        <is>
          <t>ETH-&gt;SOL</t>
        </is>
      </c>
      <c r="C179" s="4" t="n">
        <v>3</v>
      </c>
      <c r="D179" s="4" t="inlineStr">
        <is>
          <t>deBridge</t>
        </is>
      </c>
      <c r="E179" s="4" t="inlineStr">
        <is>
          <t>venue</t>
        </is>
      </c>
      <c r="F179" s="4" t="inlineStr">
        <is>
          <t>OK</t>
        </is>
      </c>
      <c r="G179" s="4" t="inlineStr">
        <is>
          <t>2026-09-23T14:27:21.675Z</t>
        </is>
      </c>
      <c r="H179" s="4" t="inlineStr">
        <is>
          <t>2026-09-23T14:27:24.092Z</t>
        </is>
      </c>
      <c r="I179" s="4" t="inlineStr">
        <is>
          <t>2026-09-23T14:27:28.365Z</t>
        </is>
      </c>
      <c r="J179" s="13" t="n">
        <v>0.001</v>
      </c>
      <c r="K179" s="19" t="n">
        <v>99.88003500000001</v>
      </c>
      <c r="L179" s="20" t="n">
        <v>6.6166</v>
      </c>
      <c r="M179" s="4" t="inlineStr">
        <is>
          <t>USDC</t>
        </is>
      </c>
      <c r="N179" s="4" t="inlineStr">
        <is>
          <t>fixed_fee_on_top=6.6166; fixed_fee_token=USDC</t>
        </is>
      </c>
      <c r="O179" s="4" t="inlineStr">
        <is>
          <t>https://app.debridge.com/?inputChain=1&amp;outputChain=7565164&amp;inputCurrency=0xa0b86991c6218b36c1d19d4a2e9eb0ce3606eb48&amp;outputCurrency=EPjFWdd5AufqSSqeM2qN1xzybapC8G4wEGGkZwyTDt1v&amp;dlnMode=simple</t>
        </is>
      </c>
      <c r="P179" s="4" t="inlineStr">
        <is>
          <t>20260923T141817Z</t>
        </is>
      </c>
      <c r="Q179" s="4" t="inlineStr">
        <is>
          <t>2026-09-23T14:27:28.355Z</t>
        </is>
      </c>
      <c r="R179" s="4" t="inlineStr">
        <is>
          <t>2026-09-23T14:27:26.347Z</t>
        </is>
      </c>
      <c r="S179" s="13" t="n">
        <v>0.004</v>
      </c>
    </row>
    <row r="180">
      <c r="A180" s="4" t="inlineStr">
        <is>
          <t>e5f54d8d4b76</t>
        </is>
      </c>
      <c r="B180" s="4" t="inlineStr">
        <is>
          <t>ETH-&gt;SOL</t>
        </is>
      </c>
      <c r="C180" s="4" t="n">
        <v>3</v>
      </c>
      <c r="D180" s="4" t="inlineStr">
        <is>
          <t>LI.FI (Jumper)</t>
        </is>
      </c>
      <c r="E180" s="4" t="inlineStr">
        <is>
          <t>venue</t>
        </is>
      </c>
      <c r="F180" s="4" t="inlineStr">
        <is>
          <t>OK</t>
        </is>
      </c>
      <c r="G180" s="4" t="inlineStr">
        <is>
          <t>2026-09-23T14:27:21.678Z</t>
        </is>
      </c>
      <c r="H180" s="4" t="inlineStr">
        <is>
          <t>2026-09-23T14:27:24.934Z</t>
        </is>
      </c>
      <c r="I180" s="4" t="inlineStr">
        <is>
          <t>2026-09-23T14:27:28.362Z</t>
        </is>
      </c>
      <c r="J180" s="13" t="n">
        <v>0</v>
      </c>
      <c r="K180" s="19" t="n">
        <v>99.945713</v>
      </c>
      <c r="L180" s="20" t="n"/>
      <c r="M180" s="4" t="n"/>
      <c r="N180" s="4" t="inlineStr">
        <is>
          <t>best_return_venue=Relay; max_out=100.0</t>
        </is>
      </c>
      <c r="O180" s="4" t="inlineStr">
        <is>
          <t>https://jumper.xyz/?fromChain=1&amp;fromToken=0xa0b86991c6218b36c1d19d4a2e9eb0ce3606eb48&amp;toChain=1151111081099710&amp;toToken=EPjFWdd5AufqSSqeM2qN1xzybapC8G4wEGGkZwyTDt1v</t>
        </is>
      </c>
      <c r="P180" s="4" t="inlineStr">
        <is>
          <t>20260923T141817Z</t>
        </is>
      </c>
      <c r="Q180" s="4" t="inlineStr">
        <is>
          <t>2026-09-23T14:27:28.356Z</t>
        </is>
      </c>
      <c r="R180" s="4" t="inlineStr">
        <is>
          <t>2026-09-23T14:27:27.121Z</t>
        </is>
      </c>
      <c r="S180" s="13" t="n">
        <v>0.004</v>
      </c>
    </row>
    <row r="181">
      <c r="A181" s="4" t="inlineStr">
        <is>
          <t>e5f54d8d4b76</t>
        </is>
      </c>
      <c r="B181" s="4" t="inlineStr">
        <is>
          <t>ETH-&gt;SOL</t>
        </is>
      </c>
      <c r="C181" s="4" t="n">
        <v>3</v>
      </c>
      <c r="D181" s="4" t="inlineStr">
        <is>
          <t>Across</t>
        </is>
      </c>
      <c r="E181" s="4" t="inlineStr">
        <is>
          <t>venue</t>
        </is>
      </c>
      <c r="F181" s="4" t="inlineStr">
        <is>
          <t>OK</t>
        </is>
      </c>
      <c r="G181" s="4" t="inlineStr">
        <is>
          <t>2026-09-23T14:27:21.670Z</t>
        </is>
      </c>
      <c r="H181" s="4" t="inlineStr">
        <is>
          <t>2026-09-23T14:27:23.874Z</t>
        </is>
      </c>
      <c r="I181" s="4" t="inlineStr">
        <is>
          <t>2026-09-23T14:27:28.360Z</t>
        </is>
      </c>
      <c r="J181" s="13" t="n">
        <v>0.001</v>
      </c>
      <c r="K181" s="19" t="n">
        <v>99.98999999999999</v>
      </c>
      <c r="L181" s="20" t="n"/>
      <c r="M181" s="4" t="n"/>
      <c r="N181" s="4" t="inlineStr"/>
      <c r="O181" s="4" t="inlineStr">
        <is>
          <t>https://across.to/?from=ethereum&amp;to=solana&amp;inputToken=USDC&amp;outputToken=USDC</t>
        </is>
      </c>
      <c r="P181" s="4" t="inlineStr">
        <is>
          <t>20260923T141817Z</t>
        </is>
      </c>
      <c r="Q181" s="4" t="inlineStr">
        <is>
          <t>2026-09-23T14:27:28.355Z</t>
        </is>
      </c>
      <c r="R181" s="4" t="inlineStr">
        <is>
          <t>2026-09-23T14:27:26.040Z</t>
        </is>
      </c>
      <c r="S181" s="13" t="n">
        <v>0.004</v>
      </c>
    </row>
    <row r="182">
      <c r="A182" s="4" t="inlineStr">
        <is>
          <t>e5f54d8d4b76</t>
        </is>
      </c>
      <c r="B182" s="4" t="inlineStr">
        <is>
          <t>ETH-&gt;SOL</t>
        </is>
      </c>
      <c r="C182" s="4" t="n">
        <v>3</v>
      </c>
      <c r="D182" s="4" t="inlineStr">
        <is>
          <t>Mayan</t>
        </is>
      </c>
      <c r="E182" s="4" t="inlineStr">
        <is>
          <t>venue</t>
        </is>
      </c>
      <c r="F182" s="4" t="inlineStr">
        <is>
          <t>OK</t>
        </is>
      </c>
      <c r="G182" s="4" t="inlineStr">
        <is>
          <t>2026-09-23T14:27:21.669Z</t>
        </is>
      </c>
      <c r="H182" s="4" t="inlineStr">
        <is>
          <t>2026-09-23T14:27:23.500Z</t>
        </is>
      </c>
      <c r="I182" s="4" t="inlineStr">
        <is>
          <t>2026-09-23T14:27:28.359Z</t>
        </is>
      </c>
      <c r="J182" s="13" t="n">
        <v>0.002</v>
      </c>
      <c r="K182" s="19" t="n">
        <v>99.0287</v>
      </c>
      <c r="L182" s="20" t="n"/>
      <c r="M182" s="4" t="n"/>
      <c r="N182" s="4" t="inlineStr">
        <is>
          <t>mode=Swift v2; eta=3s; display_decimals=4</t>
        </is>
      </c>
      <c r="O182" s="4" t="inlineStr">
        <is>
          <t>https://swap.mayan.finance/</t>
        </is>
      </c>
      <c r="P182" s="4" t="inlineStr">
        <is>
          <t>20260923T141817Z</t>
        </is>
      </c>
      <c r="Q182" s="4" t="inlineStr">
        <is>
          <t>2026-09-23T14:27:28.354Z</t>
        </is>
      </c>
      <c r="R182" s="4" t="inlineStr">
        <is>
          <t>2026-09-23T14:27:25.737Z</t>
        </is>
      </c>
      <c r="S182" s="13" t="n">
        <v>0.004</v>
      </c>
    </row>
    <row r="183">
      <c r="A183" s="4" t="inlineStr">
        <is>
          <t>e5f54d8d4b76</t>
        </is>
      </c>
      <c r="B183" s="4" t="inlineStr">
        <is>
          <t>ETH-&gt;SOL</t>
        </is>
      </c>
      <c r="C183" s="4" t="n">
        <v>3</v>
      </c>
      <c r="D183" s="4" t="inlineStr">
        <is>
          <t>Allbridge Core</t>
        </is>
      </c>
      <c r="E183" s="4" t="inlineStr">
        <is>
          <t>venue</t>
        </is>
      </c>
      <c r="F183" s="4" t="inlineStr">
        <is>
          <t>OK</t>
        </is>
      </c>
      <c r="G183" s="4" t="inlineStr">
        <is>
          <t>2026-09-23T14:27:21.679Z</t>
        </is>
      </c>
      <c r="H183" s="4" t="inlineStr">
        <is>
          <t>2026-09-23T14:27:23.493Z</t>
        </is>
      </c>
      <c r="I183" s="4" t="inlineStr">
        <is>
          <t>2026-09-23T14:27:30.006Z</t>
        </is>
      </c>
      <c r="J183" s="13" t="n">
        <v>0.002</v>
      </c>
      <c r="K183" s="19" t="n">
        <v>99.90000000000001</v>
      </c>
      <c r="L183" s="20" t="n">
        <v>0.000137</v>
      </c>
      <c r="M183" s="4" t="inlineStr">
        <is>
          <t>ETH (relayer fee, fee=native)</t>
        </is>
      </c>
      <c r="N183" s="4" t="inlineStr">
        <is>
          <t>out_input_box=99.9; out_details_2dp=99.9; fixed_fee_on_top=0.000137; fixed_fee_token=ETH (relayer fee, fee=native); transfer_fee=0.10 USDC; messenger=CCTP; eta=~18 min; display_decimals=1; picked=['USDC from Ethereum', 'USDC to Solana']</t>
        </is>
      </c>
      <c r="O183" s="4" t="inlineStr">
        <is>
          <t>https://core.allbridge.io/?fee=native&amp;ft=USDC&amp;tt=USDC&amp;f=ETH&amp;t=SOL</t>
        </is>
      </c>
      <c r="P183" s="4" t="inlineStr">
        <is>
          <t>20260923T141817Z</t>
        </is>
      </c>
      <c r="Q183" s="4" t="inlineStr">
        <is>
          <t>2026-09-23T14:27:28.354Z</t>
        </is>
      </c>
      <c r="R183" s="4" t="inlineStr">
        <is>
          <t>2026-09-23T14:27:25.627Z</t>
        </is>
      </c>
      <c r="S183" s="13" t="n">
        <v>0.004</v>
      </c>
    </row>
    <row r="184">
      <c r="A184" s="4" t="inlineStr">
        <is>
          <t>e5f54d8d4b76</t>
        </is>
      </c>
      <c r="B184" s="4" t="inlineStr">
        <is>
          <t>ETH-&gt;SOL</t>
        </is>
      </c>
      <c r="C184" s="4" t="n">
        <v>3</v>
      </c>
      <c r="D184" s="4" t="inlineStr">
        <is>
          <t>CCTP (via Portal)</t>
        </is>
      </c>
      <c r="E184" s="4" t="inlineStr">
        <is>
          <t>venue</t>
        </is>
      </c>
      <c r="F184" s="4" t="inlineStr">
        <is>
          <t>OK</t>
        </is>
      </c>
      <c r="G184" s="4" t="inlineStr">
        <is>
          <t>2026-09-23T14:27:21.679Z</t>
        </is>
      </c>
      <c r="H184" s="4" t="inlineStr">
        <is>
          <t>2026-09-23T14:27:26.203Z</t>
        </is>
      </c>
      <c r="I184" s="4" t="inlineStr">
        <is>
          <t>2026-09-23T14:27:28.363Z</t>
        </is>
      </c>
      <c r="J184" s="13" t="n">
        <v>0.003</v>
      </c>
      <c r="K184" s="19" t="n">
        <v>99.980001</v>
      </c>
      <c r="L184" s="20" t="n"/>
      <c r="M184" s="4" t="n"/>
      <c r="N184" s="4" t="inlineStr">
        <is>
          <t>venue_ui=CCTP via Portal (portalbridge.com/usdc-bridge); messenger=Circle CCTP; route_type=CCTPv2FastExecutorRoute; eta=20 sec; usd_value=99.98; price_impact=-0.02%; fixed_fee_note=executor/relayer fee not shown without a wallet; display_decimals=6</t>
        </is>
      </c>
      <c r="O184" s="4" t="inlineStr">
        <is>
          <t>https://portalbridge.com/usdc-bridge?fromChain=Ethereum&amp;fromToken=USDC&amp;toChain=Solana&amp;toToken=USDC</t>
        </is>
      </c>
      <c r="P184" s="4" t="inlineStr">
        <is>
          <t>20260923T141817Z</t>
        </is>
      </c>
      <c r="Q184" s="4" t="inlineStr">
        <is>
          <t>2026-09-23T14:27:28.353Z</t>
        </is>
      </c>
      <c r="R184" s="4" t="inlineStr">
        <is>
          <t>2026-09-23T14:27:28.353Z</t>
        </is>
      </c>
      <c r="S184" s="13" t="n">
        <v>0.004</v>
      </c>
    </row>
    <row r="185">
      <c r="A185" s="4" t="inlineStr">
        <is>
          <t>e5f54d8d4b76</t>
        </is>
      </c>
      <c r="B185" s="4" t="inlineStr">
        <is>
          <t>ETH-&gt;SOL</t>
        </is>
      </c>
      <c r="C185" s="4" t="n">
        <v>3</v>
      </c>
      <c r="D185" s="4" t="inlineStr">
        <is>
          <t>Husher</t>
        </is>
      </c>
      <c r="E185" s="4" t="inlineStr">
        <is>
          <t>venue</t>
        </is>
      </c>
      <c r="F185" s="4" t="inlineStr">
        <is>
          <t>OK</t>
        </is>
      </c>
      <c r="G185" s="4" t="inlineStr">
        <is>
          <t>2026-09-23T14:27:21.680Z</t>
        </is>
      </c>
      <c r="H185" s="4" t="inlineStr">
        <is>
          <t>2026-09-23T14:27:23.502Z</t>
        </is>
      </c>
      <c r="I185" s="4" t="inlineStr">
        <is>
          <t>2026-09-23T14:27:28.365Z</t>
        </is>
      </c>
      <c r="J185" s="13" t="n">
        <v>0.002</v>
      </c>
      <c r="K185" s="19" t="n">
        <v>99.34999999999999</v>
      </c>
      <c r="L185" s="20" t="n"/>
      <c r="M185" s="4" t="n"/>
      <c r="N185" s="4" t="inlineStr">
        <is>
          <t>out_usd=$99.37; provider=Husher (Best Rate); rate_type=floating; fee_deducted=0.35; network_fee_deducted=0.3; api_receive=99.35000000; eta_s=40; display_decimals=2</t>
        </is>
      </c>
      <c r="O185" s="4" t="inlineStr">
        <is>
          <t>https://www.husher.io/</t>
        </is>
      </c>
      <c r="P185" s="4" t="inlineStr">
        <is>
          <t>20260923T141817Z</t>
        </is>
      </c>
      <c r="Q185" s="4" t="inlineStr">
        <is>
          <t>2026-09-23T14:27:28.354Z</t>
        </is>
      </c>
      <c r="R185" s="4" t="inlineStr">
        <is>
          <t>2026-09-23T14:27:25.520Z</t>
        </is>
      </c>
      <c r="S185" s="13" t="n">
        <v>0.004</v>
      </c>
    </row>
    <row r="186">
      <c r="A186" s="4" t="inlineStr">
        <is>
          <t>e5f54d8d4b76</t>
        </is>
      </c>
      <c r="B186" s="4" t="inlineStr">
        <is>
          <t>ETH-&gt;SOL</t>
        </is>
      </c>
      <c r="C186" s="4" t="n">
        <v>3</v>
      </c>
      <c r="D186" s="4" t="inlineStr">
        <is>
          <t>Layerswap</t>
        </is>
      </c>
      <c r="E186" s="4" t="inlineStr">
        <is>
          <t>venue</t>
        </is>
      </c>
      <c r="F186" s="4" t="inlineStr">
        <is>
          <t>OK</t>
        </is>
      </c>
      <c r="G186" s="4" t="inlineStr">
        <is>
          <t>2026-09-23T14:27:21.670Z</t>
        </is>
      </c>
      <c r="H186" s="4" t="inlineStr">
        <is>
          <t>2026-09-23T14:27:24.282Z</t>
        </is>
      </c>
      <c r="I186" s="4" t="inlineStr">
        <is>
          <t>2026-09-23T14:27:28.367Z</t>
        </is>
      </c>
      <c r="J186" s="13" t="n">
        <v>0</v>
      </c>
      <c r="K186" s="19" t="n">
        <v>99.682757</v>
      </c>
      <c r="L186" s="20" t="n"/>
      <c r="M186" s="4" t="n"/>
      <c r="N186" s="4" t="inlineStr">
        <is>
          <t>out_usd=$99.66; fee_usd=0.32; slippage=0.00%; eta=22 secs; to_token=USDC; to_chain=Solana; display_decimals=6</t>
        </is>
      </c>
      <c r="O186" s="4" t="inlineStr">
        <is>
          <t>https://layerswap.io/app?from=ETHEREUM_MAINNET&amp;to=SOLANA_MAINNET&amp;fromAsset=USDC&amp;toAsset=USDC</t>
        </is>
      </c>
      <c r="P186" s="4" t="inlineStr">
        <is>
          <t>20260923T141817Z</t>
        </is>
      </c>
      <c r="Q186" s="4" t="inlineStr">
        <is>
          <t>2026-09-23T14:27:28.356Z</t>
        </is>
      </c>
      <c r="R186" s="4" t="inlineStr">
        <is>
          <t>2026-09-23T14:27:26.524Z</t>
        </is>
      </c>
      <c r="S186" s="13" t="n">
        <v>0.004</v>
      </c>
    </row>
    <row r="187">
      <c r="A187" s="4" t="inlineStr">
        <is>
          <t>e5f54d8d4b76</t>
        </is>
      </c>
      <c r="B187" s="4" t="inlineStr">
        <is>
          <t>ETH-&gt;SOL</t>
        </is>
      </c>
      <c r="C187" s="4" t="n">
        <v>3</v>
      </c>
      <c r="D187" s="4" t="inlineStr">
        <is>
          <t>Meson</t>
        </is>
      </c>
      <c r="E187" s="4" t="inlineStr">
        <is>
          <t>venue</t>
        </is>
      </c>
      <c r="F187" s="4" t="inlineStr">
        <is>
          <t>OK</t>
        </is>
      </c>
      <c r="G187" s="4" t="inlineStr">
        <is>
          <t>2026-09-23T14:27:21.681Z</t>
        </is>
      </c>
      <c r="H187" s="4" t="inlineStr">
        <is>
          <t>2026-09-23T14:27:22.613Z</t>
        </is>
      </c>
      <c r="I187" s="4" t="inlineStr">
        <is>
          <t>2026-09-23T14:27:28.361Z</t>
        </is>
      </c>
      <c r="J187" s="13" t="n">
        <v>0.002</v>
      </c>
      <c r="K187" s="19" t="n">
        <v>99.09999999999999</v>
      </c>
      <c r="L187" s="20" t="n">
        <v>0</v>
      </c>
      <c r="M187" s="4" t="n"/>
      <c r="N187" s="4" t="inlineStr">
        <is>
          <t>fees_deducted=[['Fee', 0.9, 'USDC']]; fee_total=0.9; fixed_fee_on_top=0.0; display_decimals=1</t>
        </is>
      </c>
      <c r="O187" s="4" t="inlineStr">
        <is>
          <t>https://meson.fi/swap</t>
        </is>
      </c>
      <c r="P187" s="4" t="inlineStr">
        <is>
          <t>20260923T141817Z</t>
        </is>
      </c>
      <c r="Q187" s="4" t="inlineStr">
        <is>
          <t>2026-09-23T14:27:28.354Z</t>
        </is>
      </c>
      <c r="R187" s="4" t="inlineStr">
        <is>
          <t>2026-09-23T14:27:24.801Z</t>
        </is>
      </c>
      <c r="S187" s="13" t="n">
        <v>0.004</v>
      </c>
    </row>
    <row r="188">
      <c r="A188" s="4" t="inlineStr">
        <is>
          <t>e5f54d8d4b76</t>
        </is>
      </c>
      <c r="B188" s="4" t="inlineStr">
        <is>
          <t>ETH-&gt;SOL</t>
        </is>
      </c>
      <c r="C188" s="4" t="n">
        <v>3</v>
      </c>
      <c r="D188" s="4" t="inlineStr">
        <is>
          <t>OpenSea</t>
        </is>
      </c>
      <c r="E188" s="4" t="inlineStr">
        <is>
          <t>platform</t>
        </is>
      </c>
      <c r="F188" s="4" t="inlineStr">
        <is>
          <t>OK</t>
        </is>
      </c>
      <c r="G188" s="4" t="inlineStr">
        <is>
          <t>2026-09-23T14:27:21.679Z</t>
        </is>
      </c>
      <c r="H188" s="4" t="inlineStr">
        <is>
          <t>2026-09-23T14:27:25.109Z</t>
        </is>
      </c>
      <c r="I188" s="4" t="inlineStr">
        <is>
          <t>2026-09-23T14:27:28.369Z</t>
        </is>
      </c>
      <c r="J188" s="13" t="n">
        <v>0.001</v>
      </c>
      <c r="K188" s="19" t="n">
        <v>99.7466</v>
      </c>
      <c r="L188" s="20" t="n">
        <v>0.85</v>
      </c>
      <c r="M188" s="4" t="inlineStr">
        <is>
          <t>native (gas, USD shown)</t>
        </is>
      </c>
      <c r="N188" s="4" t="inlineStr">
        <is>
          <t>out_usd=$99.72; provider=Relay; fee_total_usd=1.07; provider_fee_usd=0.22; provider_fee_pct=0.22%; provider_fee_deducted=True; opensea_fee_usd=0.0; opensea_fee_pct=0%; gas_fee_usd=0.85; gas_fee_display=$0.85; fixed_fee_on_top=0.85; fixed_fee_token=native (gas, USD shown); price_impact=(-$0.03) -0.03</t>
        </is>
      </c>
      <c r="O188" s="4" t="inlineStr">
        <is>
          <t>https://opensea.io/swap?fromChain=ethereum&amp;fromAddress=0xa0b86991c6218b36c1d19d4a2e9eb0ce3606eb48&amp;toChain=solana&amp;toAddress=EPjFWdd5AufqSSqeM2qN1xzybapC8G4wEGGkZwyTDt1v</t>
        </is>
      </c>
      <c r="P188" s="4" t="inlineStr">
        <is>
          <t>20260923T141817Z</t>
        </is>
      </c>
      <c r="Q188" s="4" t="inlineStr">
        <is>
          <t>2026-09-23T14:27:28.357Z</t>
        </is>
      </c>
      <c r="R188" s="4" t="inlineStr">
        <is>
          <t>2026-09-23T14:27:27.413Z</t>
        </is>
      </c>
      <c r="S188" s="13" t="n">
        <v>0.004</v>
      </c>
    </row>
    <row r="189">
      <c r="A189" s="4" t="inlineStr">
        <is>
          <t>e5f54d8d4b76</t>
        </is>
      </c>
      <c r="B189" s="4" t="inlineStr">
        <is>
          <t>ETH-&gt;SOL</t>
        </is>
      </c>
      <c r="C189" s="4" t="n">
        <v>3</v>
      </c>
      <c r="D189" s="4" t="inlineStr">
        <is>
          <t>SimpleSwap</t>
        </is>
      </c>
      <c r="E189" s="4" t="inlineStr">
        <is>
          <t>venue</t>
        </is>
      </c>
      <c r="F189" s="4" t="inlineStr">
        <is>
          <t>OK</t>
        </is>
      </c>
      <c r="G189" s="4" t="inlineStr">
        <is>
          <t>2026-09-23T14:27:21.681Z</t>
        </is>
      </c>
      <c r="H189" s="4" t="inlineStr">
        <is>
          <t>2026-09-23T14:27:25.024Z</t>
        </is>
      </c>
      <c r="I189" s="4" t="inlineStr">
        <is>
          <t>2026-09-23T14:27:29.298Z</t>
        </is>
      </c>
      <c r="J189" s="13" t="n">
        <v>0.001</v>
      </c>
      <c r="K189" s="19" t="n">
        <v>98.479738</v>
      </c>
      <c r="L189" s="20" t="n">
        <v>0</v>
      </c>
      <c r="M189" s="4" t="inlineStr">
        <is>
          <t>USDC</t>
        </is>
      </c>
      <c r="N189" s="4" t="inlineStr">
        <is>
          <t>best_card_out=98.479738; selected_card=Best rate / Decentralized; rate_type=floating; fixed_fee_on_top=0.0; fixed_fee_token=USDC; display_decimals=6; small_sum_warning=False</t>
        </is>
      </c>
      <c r="O189" s="4" t="inlineStr">
        <is>
          <t>https://simpleswap.io/?from=usdc-eth&amp;to=usdc-sol</t>
        </is>
      </c>
      <c r="P189" s="4" t="inlineStr">
        <is>
          <t>20260923T141817Z</t>
        </is>
      </c>
      <c r="Q189" s="4" t="inlineStr">
        <is>
          <t>2026-09-23T14:27:28.357Z</t>
        </is>
      </c>
      <c r="R189" s="4" t="inlineStr">
        <is>
          <t>2026-09-23T14:27:27.383Z</t>
        </is>
      </c>
      <c r="S189" s="13" t="n">
        <v>0.004</v>
      </c>
    </row>
    <row r="190">
      <c r="A190" s="4" t="inlineStr">
        <is>
          <t>e5f54d8d4b76</t>
        </is>
      </c>
      <c r="B190" s="4" t="inlineStr">
        <is>
          <t>ETH-&gt;SOL</t>
        </is>
      </c>
      <c r="C190" s="4" t="n">
        <v>3</v>
      </c>
      <c r="D190" s="4" t="inlineStr">
        <is>
          <t>Skip Go</t>
        </is>
      </c>
      <c r="E190" s="4" t="inlineStr">
        <is>
          <t>venue</t>
        </is>
      </c>
      <c r="F190" s="4" t="inlineStr">
        <is>
          <t>OK</t>
        </is>
      </c>
      <c r="G190" s="4" t="inlineStr">
        <is>
          <t>2026-09-23T14:27:21.678Z</t>
        </is>
      </c>
      <c r="H190" s="4" t="inlineStr">
        <is>
          <t>2026-09-23T14:27:24.898Z</t>
        </is>
      </c>
      <c r="I190" s="4" t="inlineStr">
        <is>
          <t>2026-09-23T14:27:28.368Z</t>
        </is>
      </c>
      <c r="J190" s="13" t="n">
        <v>0.001</v>
      </c>
      <c r="K190" s="19" t="n">
        <v>99.72787</v>
      </c>
      <c r="L190" s="20" t="n"/>
      <c r="M190" s="4" t="n"/>
      <c r="N190" s="4" t="inlineStr">
        <is>
          <t>fees_usd_in_quote=0.27; eta=2 mins; usd_values=['99.97', '99.70']; display_decimals=5</t>
        </is>
      </c>
      <c r="O190" s="4" t="inlineStr">
        <is>
          <t>https://go.skip.build/?src_chain=1&amp;src_asset=0xa0b86991c6218b36c1d19d4a2e9eb0ce3606eb48&amp;dest_chain=solana&amp;dest_asset=EPjFWdd5AufqSSqeM2qN1xzybapC8G4wEGGkZwyTDt1v</t>
        </is>
      </c>
      <c r="P190" s="4" t="inlineStr">
        <is>
          <t>20260923T141817Z</t>
        </is>
      </c>
      <c r="Q190" s="4" t="inlineStr">
        <is>
          <t>2026-09-23T14:27:28.357Z</t>
        </is>
      </c>
      <c r="R190" s="4" t="inlineStr">
        <is>
          <t>2026-09-23T14:27:27.134Z</t>
        </is>
      </c>
      <c r="S190" s="13" t="n">
        <v>0.004</v>
      </c>
    </row>
    <row r="191">
      <c r="A191" s="4" t="inlineStr">
        <is>
          <t>e5f54d8d4b76</t>
        </is>
      </c>
      <c r="B191" s="4" t="inlineStr">
        <is>
          <t>ETH-&gt;SOL</t>
        </is>
      </c>
      <c r="C191" s="4" t="n">
        <v>3</v>
      </c>
      <c r="D191" s="4" t="inlineStr">
        <is>
          <t>Symbiosis</t>
        </is>
      </c>
      <c r="E191" s="4" t="inlineStr">
        <is>
          <t>venue</t>
        </is>
      </c>
      <c r="F191" s="4" t="inlineStr">
        <is>
          <t>OK</t>
        </is>
      </c>
      <c r="G191" s="4" t="inlineStr">
        <is>
          <t>2026-09-23T14:27:21.673Z</t>
        </is>
      </c>
      <c r="H191" s="4" t="inlineStr">
        <is>
          <t>2026-09-23T14:27:25.245Z</t>
        </is>
      </c>
      <c r="I191" s="4" t="inlineStr">
        <is>
          <t>2026-09-23T14:27:28.369Z</t>
        </is>
      </c>
      <c r="J191" s="13" t="n">
        <v>0.001</v>
      </c>
      <c r="K191" s="19" t="n">
        <v>98.95137</v>
      </c>
      <c r="L191" s="20" t="n">
        <v>0</v>
      </c>
      <c r="M191" s="4" t="n"/>
      <c r="N191" s="4" t="inlineStr">
        <is>
          <t>min_received=98.4566; fee_usd_deducted=1.02; eta=2 - 3 Min; price_impact=0%; slippage=2%; route=Bridge to Solana; fixed_fee_on_top=0.0; display_decimals=6</t>
        </is>
      </c>
      <c r="O191" s="4" t="inlineStr">
        <is>
          <t>https://app.symbiosis.finance/swap?chainIn=Ethereum&amp;chainOut=Solana&amp;tokenIn=0xa0b86991c6218b36c1d19d4a2e9eb0ce3606eb48&amp;tokenOut=0x0000000000000000000000000000000000000003</t>
        </is>
      </c>
      <c r="P191" s="4" t="inlineStr">
        <is>
          <t>20260923T141817Z</t>
        </is>
      </c>
      <c r="Q191" s="4" t="inlineStr">
        <is>
          <t>2026-09-23T14:27:28.357Z</t>
        </is>
      </c>
      <c r="R191" s="4" t="inlineStr">
        <is>
          <t>2026-09-23T14:27:27.441Z</t>
        </is>
      </c>
      <c r="S191" s="13" t="n">
        <v>0.004</v>
      </c>
    </row>
    <row r="192">
      <c r="A192" s="4" t="inlineStr">
        <is>
          <t>ccc3a38ec41f</t>
        </is>
      </c>
      <c r="B192" s="4" t="inlineStr">
        <is>
          <t>SOL-&gt;BSC</t>
        </is>
      </c>
      <c r="C192" s="4" t="n">
        <v>3</v>
      </c>
      <c r="D192" s="4" t="inlineStr">
        <is>
          <t>Bridg</t>
        </is>
      </c>
      <c r="E192" s="4" t="inlineStr">
        <is>
          <t>bridg</t>
        </is>
      </c>
      <c r="F192" s="4" t="inlineStr">
        <is>
          <t>OK</t>
        </is>
      </c>
      <c r="G192" s="4" t="inlineStr">
        <is>
          <t>2026-09-23T14:27:54.703Z</t>
        </is>
      </c>
      <c r="H192" s="4" t="inlineStr">
        <is>
          <t>2026-09-23T14:27:55.879Z</t>
        </is>
      </c>
      <c r="I192" s="4" t="inlineStr">
        <is>
          <t>2026-09-23T14:28:40.111Z</t>
        </is>
      </c>
      <c r="J192" s="13" t="n"/>
      <c r="K192" s="19" t="n">
        <v>99.87003799999999</v>
      </c>
      <c r="L192" s="20" t="n"/>
      <c r="M192" s="4" t="n"/>
      <c r="N192" s="4" t="inlineStr">
        <is>
          <t>best via Rhino; 9 venues priced; fees [['Rhino fee', 0.079962], ['Bridg fee', 0.05]]</t>
        </is>
      </c>
      <c r="O192" s="4" t="inlineStr">
        <is>
          <t>https://bridg.now/swap/</t>
        </is>
      </c>
      <c r="P192" s="4" t="inlineStr">
        <is>
          <t>20260923T141817Z</t>
        </is>
      </c>
      <c r="Q192" s="4" t="inlineStr">
        <is>
          <t>2026-09-23T14:28:40.088Z</t>
        </is>
      </c>
      <c r="R192" s="4" t="inlineStr">
        <is>
          <t>2026-09-23T14:27:58.940Z</t>
        </is>
      </c>
      <c r="S192" s="13" t="n">
        <v>0.008999999999999999</v>
      </c>
    </row>
    <row r="193">
      <c r="A193" s="4" t="inlineStr">
        <is>
          <t>ccc3a38ec41f</t>
        </is>
      </c>
      <c r="B193" s="4" t="inlineStr">
        <is>
          <t>SOL-&gt;BSC</t>
        </is>
      </c>
      <c r="C193" s="4" t="n">
        <v>3</v>
      </c>
      <c r="D193" s="4" t="inlineStr">
        <is>
          <t>Relay</t>
        </is>
      </c>
      <c r="E193" s="4" t="inlineStr">
        <is>
          <t>venue</t>
        </is>
      </c>
      <c r="F193" s="4" t="inlineStr">
        <is>
          <t>OK</t>
        </is>
      </c>
      <c r="G193" s="4" t="inlineStr">
        <is>
          <t>2026-09-23T14:27:54.702Z</t>
        </is>
      </c>
      <c r="H193" s="4" t="inlineStr">
        <is>
          <t>2026-09-23T14:27:56.685Z</t>
        </is>
      </c>
      <c r="I193" s="4" t="inlineStr">
        <is>
          <t>2026-09-23T14:28:40.108Z</t>
        </is>
      </c>
      <c r="J193" s="13" t="n">
        <v>0.001</v>
      </c>
      <c r="K193" s="19" t="n">
        <v>99.63692</v>
      </c>
      <c r="L193" s="20" t="n"/>
      <c r="M193" s="4" t="n"/>
      <c r="N193" s="4" t="inlineStr">
        <is>
          <t>rate=0.9963</t>
        </is>
      </c>
      <c r="O193" s="4" t="inlineStr">
        <is>
          <t>https://relay.link/bridge/bsc?fromChainId=792703809&amp;fromCurrency=EPjFWdd5AufqSSqeM2qN1xzybapC8G4wEGGkZwyTDt1v&amp;toCurrency=0x8ac76a51cc950d9822d68b83fe1ad97b32cd580d</t>
        </is>
      </c>
      <c r="P193" s="4" t="inlineStr">
        <is>
          <t>20260923T141817Z</t>
        </is>
      </c>
      <c r="Q193" s="4" t="inlineStr">
        <is>
          <t>2026-09-23T14:28:40.087Z</t>
        </is>
      </c>
      <c r="R193" s="4" t="inlineStr">
        <is>
          <t>2026-09-23T14:27:58.817Z</t>
        </is>
      </c>
      <c r="S193" s="13" t="n">
        <v>0.008999999999999999</v>
      </c>
    </row>
    <row r="194">
      <c r="A194" s="4" t="inlineStr">
        <is>
          <t>ccc3a38ec41f</t>
        </is>
      </c>
      <c r="B194" s="4" t="inlineStr">
        <is>
          <t>SOL-&gt;BSC</t>
        </is>
      </c>
      <c r="C194" s="4" t="n">
        <v>3</v>
      </c>
      <c r="D194" s="4" t="inlineStr">
        <is>
          <t>deBridge</t>
        </is>
      </c>
      <c r="E194" s="4" t="inlineStr">
        <is>
          <t>venue</t>
        </is>
      </c>
      <c r="F194" s="4" t="inlineStr">
        <is>
          <t>OK</t>
        </is>
      </c>
      <c r="G194" s="4" t="inlineStr">
        <is>
          <t>2026-09-23T14:27:54.705Z</t>
        </is>
      </c>
      <c r="H194" s="4" t="inlineStr">
        <is>
          <t>2026-09-23T14:27:56.433Z</t>
        </is>
      </c>
      <c r="I194" s="4" t="inlineStr">
        <is>
          <t>2026-09-23T14:28:40.102Z</t>
        </is>
      </c>
      <c r="J194" s="13" t="n">
        <v>0.002</v>
      </c>
      <c r="K194" s="19" t="n">
        <v>99.920016</v>
      </c>
      <c r="L194" s="20" t="n">
        <v>1.2371</v>
      </c>
      <c r="M194" s="4" t="inlineStr">
        <is>
          <t>USDC</t>
        </is>
      </c>
      <c r="N194" s="4" t="inlineStr">
        <is>
          <t>fixed_fee_on_top=1.2371; fixed_fee_token=USDC</t>
        </is>
      </c>
      <c r="O194" s="4" t="inlineStr">
        <is>
          <t>https://app.debridge.com/?inputChain=7565164&amp;outputChain=56&amp;inputCurrency=EPjFWdd5AufqSSqeM2qN1xzybapC8G4wEGGkZwyTDt1v&amp;outputCurrency=0x8ac76a51cc950d9822d68b83fe1ad97b32cd580d&amp;dlnMode=simple</t>
        </is>
      </c>
      <c r="P194" s="4" t="inlineStr">
        <is>
          <t>20260923T141817Z</t>
        </is>
      </c>
      <c r="Q194" s="4" t="inlineStr">
        <is>
          <t>2026-09-23T14:28:40.086Z</t>
        </is>
      </c>
      <c r="R194" s="4" t="inlineStr">
        <is>
          <t>2026-09-23T14:27:58.585Z</t>
        </is>
      </c>
      <c r="S194" s="13" t="n">
        <v>0.008999999999999999</v>
      </c>
    </row>
    <row r="195">
      <c r="A195" s="4" t="inlineStr">
        <is>
          <t>ccc3a38ec41f</t>
        </is>
      </c>
      <c r="B195" s="4" t="inlineStr">
        <is>
          <t>SOL-&gt;BSC</t>
        </is>
      </c>
      <c r="C195" s="4" t="n">
        <v>3</v>
      </c>
      <c r="D195" s="4" t="inlineStr">
        <is>
          <t>LI.FI (Jumper)</t>
        </is>
      </c>
      <c r="E195" s="4" t="inlineStr">
        <is>
          <t>venue</t>
        </is>
      </c>
      <c r="F195" s="4" t="inlineStr">
        <is>
          <t>OK</t>
        </is>
      </c>
      <c r="G195" s="4" t="inlineStr">
        <is>
          <t>2026-09-23T14:27:54.706Z</t>
        </is>
      </c>
      <c r="H195" s="4" t="inlineStr">
        <is>
          <t>2026-09-23T14:27:58.644Z</t>
        </is>
      </c>
      <c r="I195" s="4" t="inlineStr">
        <is>
          <t>2026-09-23T14:28:40.100Z</t>
        </is>
      </c>
      <c r="J195" s="13" t="n">
        <v>0.003</v>
      </c>
      <c r="K195" s="19" t="n">
        <v>99.93159900000001</v>
      </c>
      <c r="L195" s="20" t="n"/>
      <c r="M195" s="4" t="n"/>
      <c r="N195" s="4" t="inlineStr">
        <is>
          <t>best_return_venue=Mayan (Swift); max_out=99.931599</t>
        </is>
      </c>
      <c r="O195" s="4" t="inlineStr">
        <is>
          <t>https://jumper.xyz/?fromChain=1151111081099710&amp;fromToken=EPjFWdd5AufqSSqeM2qN1xzybapC8G4wEGGkZwyTDt1v&amp;toChain=56&amp;toToken=0x8ac76a51cc950d9822d68b83fe1ad97b32cd580d</t>
        </is>
      </c>
      <c r="P195" s="4" t="inlineStr">
        <is>
          <t>20260923T141817Z</t>
        </is>
      </c>
      <c r="Q195" s="4" t="inlineStr">
        <is>
          <t>2026-09-23T14:28:40.091Z</t>
        </is>
      </c>
      <c r="R195" s="4" t="inlineStr">
        <is>
          <t>2026-09-23T14:28:00.770Z</t>
        </is>
      </c>
      <c r="S195" s="13" t="n">
        <v>0.008999999999999999</v>
      </c>
    </row>
    <row r="196">
      <c r="A196" s="4" t="inlineStr">
        <is>
          <t>ccc3a38ec41f</t>
        </is>
      </c>
      <c r="B196" s="4" t="inlineStr">
        <is>
          <t>SOL-&gt;BSC</t>
        </is>
      </c>
      <c r="C196" s="4" t="n">
        <v>3</v>
      </c>
      <c r="D196" s="4" t="inlineStr">
        <is>
          <t>Across</t>
        </is>
      </c>
      <c r="E196" s="4" t="inlineStr">
        <is>
          <t>venue</t>
        </is>
      </c>
      <c r="F196" s="4" t="inlineStr">
        <is>
          <t>OK</t>
        </is>
      </c>
      <c r="G196" s="4" t="inlineStr">
        <is>
          <t>2026-09-23T14:27:54.702Z</t>
        </is>
      </c>
      <c r="H196" s="4" t="inlineStr">
        <is>
          <t>2026-09-23T14:27:56.182Z</t>
        </is>
      </c>
      <c r="I196" s="4" t="inlineStr">
        <is>
          <t>2026-09-23T14:28:40.095Z</t>
        </is>
      </c>
      <c r="J196" s="13" t="n">
        <v>0.003</v>
      </c>
      <c r="K196" s="19" t="n">
        <v>99.972498</v>
      </c>
      <c r="L196" s="20" t="n"/>
      <c r="M196" s="4" t="n"/>
      <c r="N196" s="4" t="inlineStr"/>
      <c r="O196" s="4" t="inlineStr">
        <is>
          <t>https://across.to/?from=solana&amp;to=bsc&amp;inputToken=USDC&amp;outputToken=USDC</t>
        </is>
      </c>
      <c r="P196" s="4" t="inlineStr">
        <is>
          <t>20260923T141817Z</t>
        </is>
      </c>
      <c r="Q196" s="4" t="inlineStr">
        <is>
          <t>2026-09-23T14:28:40.085Z</t>
        </is>
      </c>
      <c r="R196" s="4" t="inlineStr">
        <is>
          <t>2026-09-23T14:27:58.304Z</t>
        </is>
      </c>
      <c r="S196" s="13" t="n">
        <v>0.008999999999999999</v>
      </c>
    </row>
    <row r="197">
      <c r="A197" s="4" t="inlineStr">
        <is>
          <t>ccc3a38ec41f</t>
        </is>
      </c>
      <c r="B197" s="4" t="inlineStr">
        <is>
          <t>SOL-&gt;BSC</t>
        </is>
      </c>
      <c r="C197" s="4" t="n">
        <v>3</v>
      </c>
      <c r="D197" s="4" t="inlineStr">
        <is>
          <t>Mayan</t>
        </is>
      </c>
      <c r="E197" s="4" t="inlineStr">
        <is>
          <t>venue</t>
        </is>
      </c>
      <c r="F197" s="4" t="inlineStr">
        <is>
          <t>OK</t>
        </is>
      </c>
      <c r="G197" s="4" t="inlineStr">
        <is>
          <t>2026-09-23T14:27:54.701Z</t>
        </is>
      </c>
      <c r="H197" s="4" t="inlineStr">
        <is>
          <t>2026-09-23T14:27:55.940Z</t>
        </is>
      </c>
      <c r="I197" s="4" t="inlineStr">
        <is>
          <t>2026-09-23T14:28:40.093Z</t>
        </is>
      </c>
      <c r="J197" s="13" t="n">
        <v>0.004</v>
      </c>
      <c r="K197" s="19" t="n">
        <v>99.931</v>
      </c>
      <c r="L197" s="20" t="n"/>
      <c r="M197" s="4" t="n"/>
      <c r="N197" s="4" t="inlineStr">
        <is>
          <t>mode=Swift v2; eta=3s; display_decimals=3</t>
        </is>
      </c>
      <c r="O197" s="4" t="inlineStr">
        <is>
          <t>https://swap.mayan.finance/</t>
        </is>
      </c>
      <c r="P197" s="4" t="inlineStr">
        <is>
          <t>20260923T141817Z</t>
        </is>
      </c>
      <c r="Q197" s="4" t="inlineStr">
        <is>
          <t>2026-09-23T14:28:40.084Z</t>
        </is>
      </c>
      <c r="R197" s="4" t="inlineStr">
        <is>
          <t>2026-09-23T14:27:58.080Z</t>
        </is>
      </c>
      <c r="S197" s="13" t="n">
        <v>0.008999999999999999</v>
      </c>
    </row>
    <row r="198">
      <c r="A198" s="4" t="inlineStr">
        <is>
          <t>ccc3a38ec41f</t>
        </is>
      </c>
      <c r="B198" s="4" t="inlineStr">
        <is>
          <t>SOL-&gt;BSC</t>
        </is>
      </c>
      <c r="C198" s="4" t="n">
        <v>3</v>
      </c>
      <c r="D198" s="4" t="inlineStr">
        <is>
          <t>Husher</t>
        </is>
      </c>
      <c r="E198" s="4" t="inlineStr">
        <is>
          <t>venue</t>
        </is>
      </c>
      <c r="F198" s="4" t="inlineStr">
        <is>
          <t>OK</t>
        </is>
      </c>
      <c r="G198" s="4" t="inlineStr">
        <is>
          <t>2026-09-23T14:27:54.706Z</t>
        </is>
      </c>
      <c r="H198" s="4" t="inlineStr">
        <is>
          <t>2026-09-23T14:27:56.131Z</t>
        </is>
      </c>
      <c r="I198" s="4" t="inlineStr">
        <is>
          <t>2026-09-23T14:28:40.107Z</t>
        </is>
      </c>
      <c r="J198" s="13" t="n">
        <v>0.004</v>
      </c>
      <c r="K198" s="19" t="n">
        <v>99.65000000000001</v>
      </c>
      <c r="L198" s="20" t="n"/>
      <c r="M198" s="4" t="n"/>
      <c r="N198" s="4" t="inlineStr">
        <is>
          <t>out_usd=$99.67; provider=Husher (Best Rate); rate_type=floating; fee_deducted=0.35; network_fee_deducted=0.0; api_receive=99.65000000; eta_s=40; display_decimals=2</t>
        </is>
      </c>
      <c r="O198" s="4" t="inlineStr">
        <is>
          <t>https://www.husher.io/</t>
        </is>
      </c>
      <c r="P198" s="4" t="inlineStr">
        <is>
          <t>20260923T141817Z</t>
        </is>
      </c>
      <c r="Q198" s="4" t="inlineStr">
        <is>
          <t>2026-09-23T14:28:40.084Z</t>
        </is>
      </c>
      <c r="R198" s="4" t="inlineStr">
        <is>
          <t>2026-09-23T14:27:58.266Z</t>
        </is>
      </c>
      <c r="S198" s="13" t="n">
        <v>0.008999999999999999</v>
      </c>
    </row>
    <row r="199">
      <c r="A199" s="4" t="inlineStr">
        <is>
          <t>ccc3a38ec41f</t>
        </is>
      </c>
      <c r="B199" s="4" t="inlineStr">
        <is>
          <t>SOL-&gt;BSC</t>
        </is>
      </c>
      <c r="C199" s="4" t="n">
        <v>3</v>
      </c>
      <c r="D199" s="4" t="inlineStr">
        <is>
          <t>Layerswap</t>
        </is>
      </c>
      <c r="E199" s="4" t="inlineStr">
        <is>
          <t>venue</t>
        </is>
      </c>
      <c r="F199" s="4" t="inlineStr">
        <is>
          <t>OK</t>
        </is>
      </c>
      <c r="G199" s="4" t="inlineStr">
        <is>
          <t>2026-09-23T14:27:54.702Z</t>
        </is>
      </c>
      <c r="H199" s="4" t="inlineStr">
        <is>
          <t>2026-09-23T14:27:57.075Z</t>
        </is>
      </c>
      <c r="I199" s="4" t="inlineStr">
        <is>
          <t>2026-09-23T14:28:40.109Z</t>
        </is>
      </c>
      <c r="J199" s="13" t="n">
        <v>0.002</v>
      </c>
      <c r="K199" s="19" t="n">
        <v>99.86312700000001</v>
      </c>
      <c r="L199" s="20" t="n"/>
      <c r="M199" s="4" t="n"/>
      <c r="N199" s="4" t="inlineStr">
        <is>
          <t>out_usd=$99.84; fee_usd=0.14; slippage=0.00%; eta=3 secs; to_token=USDC; to_chain=BSC; display_decimals=6</t>
        </is>
      </c>
      <c r="O199" s="4" t="inlineStr">
        <is>
          <t>https://layerswap.io/app?from=SOLANA_MAINNET&amp;to=BSC_MAINNET&amp;fromAsset=USDC&amp;toAsset=USDC</t>
        </is>
      </c>
      <c r="P199" s="4" t="inlineStr">
        <is>
          <t>20260923T141817Z</t>
        </is>
      </c>
      <c r="Q199" s="4" t="inlineStr">
        <is>
          <t>2026-09-23T14:28:40.090Z</t>
        </is>
      </c>
      <c r="R199" s="4" t="inlineStr">
        <is>
          <t>2026-09-23T14:27:59.217Z</t>
        </is>
      </c>
      <c r="S199" s="13" t="n">
        <v>0.008999999999999999</v>
      </c>
    </row>
    <row r="200">
      <c r="A200" s="4" t="inlineStr">
        <is>
          <t>ccc3a38ec41f</t>
        </is>
      </c>
      <c r="B200" s="4" t="inlineStr">
        <is>
          <t>SOL-&gt;BSC</t>
        </is>
      </c>
      <c r="C200" s="4" t="n">
        <v>3</v>
      </c>
      <c r="D200" s="4" t="inlineStr">
        <is>
          <t>Meson</t>
        </is>
      </c>
      <c r="E200" s="4" t="inlineStr">
        <is>
          <t>venue</t>
        </is>
      </c>
      <c r="F200" s="4" t="inlineStr">
        <is>
          <t>OK</t>
        </is>
      </c>
      <c r="G200" s="4" t="inlineStr">
        <is>
          <t>2026-09-23T14:27:54.707Z</t>
        </is>
      </c>
      <c r="H200" s="4" t="inlineStr">
        <is>
          <t>2026-09-23T14:27:55.142Z</t>
        </is>
      </c>
      <c r="I200" s="4" t="inlineStr">
        <is>
          <t>2026-09-23T14:28:40.097Z</t>
        </is>
      </c>
      <c r="J200" s="13" t="n">
        <v>0.005</v>
      </c>
      <c r="K200" s="19" t="n">
        <v>99.88</v>
      </c>
      <c r="L200" s="20" t="n">
        <v>0</v>
      </c>
      <c r="M200" s="4" t="n"/>
      <c r="N200" s="4" t="inlineStr">
        <is>
          <t>fees_deducted=[['Fee', 0.12, 'USDC']]; fee_total=0.12; fixed_fee_on_top=0.0; display_decimals=2</t>
        </is>
      </c>
      <c r="O200" s="4" t="inlineStr">
        <is>
          <t>https://meson.fi/swap</t>
        </is>
      </c>
      <c r="P200" s="4" t="inlineStr">
        <is>
          <t>20260923T141817Z</t>
        </is>
      </c>
      <c r="Q200" s="4" t="inlineStr">
        <is>
          <t>2026-09-23T14:28:40.083Z</t>
        </is>
      </c>
      <c r="R200" s="4" t="inlineStr">
        <is>
          <t>2026-09-23T14:27:57.276Z</t>
        </is>
      </c>
      <c r="S200" s="13" t="n">
        <v>0.008999999999999999</v>
      </c>
    </row>
    <row r="201">
      <c r="A201" s="4" t="inlineStr">
        <is>
          <t>ccc3a38ec41f</t>
        </is>
      </c>
      <c r="B201" s="4" t="inlineStr">
        <is>
          <t>SOL-&gt;BSC</t>
        </is>
      </c>
      <c r="C201" s="4" t="n">
        <v>3</v>
      </c>
      <c r="D201" s="4" t="inlineStr">
        <is>
          <t>SimpleSwap</t>
        </is>
      </c>
      <c r="E201" s="4" t="inlineStr">
        <is>
          <t>venue</t>
        </is>
      </c>
      <c r="F201" s="4" t="inlineStr">
        <is>
          <t>NO_QUOTE</t>
        </is>
      </c>
      <c r="G201" s="4" t="inlineStr">
        <is>
          <t>2026-09-23T14:27:54.706Z</t>
        </is>
      </c>
      <c r="H201" s="4" t="n"/>
      <c r="I201" s="4" t="inlineStr">
        <is>
          <t>2026-09-23T14:28:40.100Z</t>
        </is>
      </c>
      <c r="J201" s="13" t="n">
        <v>0.006</v>
      </c>
      <c r="K201" s="19" t="n"/>
      <c r="L201" s="20" t="n"/>
      <c r="M201" s="4" t="n"/>
      <c r="N201" s="4" t="inlineStr"/>
      <c r="O201" s="4" t="inlineStr">
        <is>
          <t>https://simpleswap.io/?from=usdc-sol&amp;to=usdc-bsc</t>
        </is>
      </c>
      <c r="P201" s="4" t="inlineStr">
        <is>
          <t>20260923T141817Z</t>
        </is>
      </c>
      <c r="Q201" s="4" t="inlineStr">
        <is>
          <t>2026-09-23T14:28:40.082Z</t>
        </is>
      </c>
      <c r="R201" s="4" t="inlineStr">
        <is>
          <t>2026-09-23T14:28:40.082Z</t>
        </is>
      </c>
      <c r="S201" s="13" t="n">
        <v>0.008999999999999999</v>
      </c>
    </row>
    <row r="202">
      <c r="A202" s="4" t="inlineStr">
        <is>
          <t>c0c75cd5437e</t>
        </is>
      </c>
      <c r="B202" s="4" t="inlineStr">
        <is>
          <t>BSC-&gt;SOL</t>
        </is>
      </c>
      <c r="C202" s="4" t="n">
        <v>3</v>
      </c>
      <c r="D202" s="4" t="inlineStr">
        <is>
          <t>Bridg</t>
        </is>
      </c>
      <c r="E202" s="4" t="inlineStr">
        <is>
          <t>bridg</t>
        </is>
      </c>
      <c r="F202" s="4" t="inlineStr">
        <is>
          <t>OK</t>
        </is>
      </c>
      <c r="G202" s="4" t="inlineStr">
        <is>
          <t>2026-09-23T14:29:03.643Z</t>
        </is>
      </c>
      <c r="H202" s="4" t="inlineStr">
        <is>
          <t>2026-09-23T14:29:04.725Z</t>
        </is>
      </c>
      <c r="I202" s="4" t="inlineStr">
        <is>
          <t>2026-09-23T14:29:48.319Z</t>
        </is>
      </c>
      <c r="J202" s="13" t="n"/>
      <c r="K202" s="19" t="n">
        <v>99.640843</v>
      </c>
      <c r="L202" s="20" t="n"/>
      <c r="M202" s="4" t="n"/>
      <c r="N202" s="4" t="inlineStr">
        <is>
          <t>best via Mayan; 10 venues priced; fees [['Mayan fee', 0.309158], ['Bridg fee', 0.05]]</t>
        </is>
      </c>
      <c r="O202" s="4" t="inlineStr">
        <is>
          <t>https://bridg.now/swap/</t>
        </is>
      </c>
      <c r="P202" s="4" t="inlineStr">
        <is>
          <t>20260923T141817Z</t>
        </is>
      </c>
      <c r="Q202" s="4" t="inlineStr">
        <is>
          <t>2026-09-23T14:29:48.304Z</t>
        </is>
      </c>
      <c r="R202" s="4" t="inlineStr">
        <is>
          <t>2026-09-23T14:29:08.726Z</t>
        </is>
      </c>
      <c r="S202" s="13" t="n">
        <v>0.004</v>
      </c>
    </row>
    <row r="203">
      <c r="A203" s="4" t="inlineStr">
        <is>
          <t>c0c75cd5437e</t>
        </is>
      </c>
      <c r="B203" s="4" t="inlineStr">
        <is>
          <t>BSC-&gt;SOL</t>
        </is>
      </c>
      <c r="C203" s="4" t="n">
        <v>3</v>
      </c>
      <c r="D203" s="4" t="inlineStr">
        <is>
          <t>Relay</t>
        </is>
      </c>
      <c r="E203" s="4" t="inlineStr">
        <is>
          <t>venue</t>
        </is>
      </c>
      <c r="F203" s="4" t="inlineStr">
        <is>
          <t>OK</t>
        </is>
      </c>
      <c r="G203" s="4" t="inlineStr">
        <is>
          <t>2026-09-23T14:29:03.643Z</t>
        </is>
      </c>
      <c r="H203" s="4" t="inlineStr">
        <is>
          <t>2026-09-23T14:29:06.058Z</t>
        </is>
      </c>
      <c r="I203" s="4" t="inlineStr">
        <is>
          <t>2026-09-23T14:29:48.314Z</t>
        </is>
      </c>
      <c r="J203" s="13" t="n">
        <v>0</v>
      </c>
      <c r="K203" s="19" t="n">
        <v>99.885718</v>
      </c>
      <c r="L203" s="20" t="n"/>
      <c r="M203" s="4" t="n"/>
      <c r="N203" s="4" t="inlineStr">
        <is>
          <t>rate=0.9988</t>
        </is>
      </c>
      <c r="O203" s="4" t="inlineStr">
        <is>
          <t>https://relay.link/bridge/solana?fromChainId=56&amp;fromCurrency=0x8ac76a51cc950d9822d68b83fe1ad97b32cd580d&amp;toCurrency=EPjFWdd5AufqSSqeM2qN1xzybapC8G4wEGGkZwyTDt1v</t>
        </is>
      </c>
      <c r="P203" s="4" t="inlineStr">
        <is>
          <t>20260923T141817Z</t>
        </is>
      </c>
      <c r="Q203" s="4" t="inlineStr">
        <is>
          <t>2026-09-23T14:29:48.304Z</t>
        </is>
      </c>
      <c r="R203" s="4" t="inlineStr">
        <is>
          <t>2026-09-23T14:29:08.183Z</t>
        </is>
      </c>
      <c r="S203" s="13" t="n">
        <v>0.004</v>
      </c>
    </row>
    <row r="204">
      <c r="A204" s="4" t="inlineStr">
        <is>
          <t>c0c75cd5437e</t>
        </is>
      </c>
      <c r="B204" s="4" t="inlineStr">
        <is>
          <t>BSC-&gt;SOL</t>
        </is>
      </c>
      <c r="C204" s="4" t="n">
        <v>3</v>
      </c>
      <c r="D204" s="4" t="inlineStr">
        <is>
          <t>deBridge</t>
        </is>
      </c>
      <c r="E204" s="4" t="inlineStr">
        <is>
          <t>venue</t>
        </is>
      </c>
      <c r="F204" s="4" t="inlineStr">
        <is>
          <t>OK</t>
        </is>
      </c>
      <c r="G204" s="4" t="inlineStr">
        <is>
          <t>2026-09-23T14:29:03.645Z</t>
        </is>
      </c>
      <c r="H204" s="4" t="inlineStr">
        <is>
          <t>2026-09-23T14:29:05.660Z</t>
        </is>
      </c>
      <c r="I204" s="4" t="inlineStr">
        <is>
          <t>2026-09-23T14:29:48.312Z</t>
        </is>
      </c>
      <c r="J204" s="13" t="n">
        <v>0.001</v>
      </c>
      <c r="K204" s="19" t="n">
        <v>99.880032</v>
      </c>
      <c r="L204" s="20" t="n">
        <v>1.0384</v>
      </c>
      <c r="M204" s="4" t="inlineStr">
        <is>
          <t>USDC</t>
        </is>
      </c>
      <c r="N204" s="4" t="inlineStr">
        <is>
          <t>fixed_fee_on_top=1.0384; fixed_fee_token=USDC</t>
        </is>
      </c>
      <c r="O204" s="4" t="inlineStr">
        <is>
          <t>https://app.debridge.com/?inputChain=56&amp;outputChain=7565164&amp;inputCurrency=0x8ac76a51cc950d9822d68b83fe1ad97b32cd580d&amp;outputCurrency=EPjFWdd5AufqSSqeM2qN1xzybapC8G4wEGGkZwyTDt1v&amp;dlnMode=simple</t>
        </is>
      </c>
      <c r="P204" s="4" t="inlineStr">
        <is>
          <t>20260923T141817Z</t>
        </is>
      </c>
      <c r="Q204" s="4" t="inlineStr">
        <is>
          <t>2026-09-23T14:29:48.303Z</t>
        </is>
      </c>
      <c r="R204" s="4" t="inlineStr">
        <is>
          <t>2026-09-23T14:29:07.812Z</t>
        </is>
      </c>
      <c r="S204" s="13" t="n">
        <v>0.004</v>
      </c>
    </row>
    <row r="205">
      <c r="A205" s="4" t="inlineStr">
        <is>
          <t>c0c75cd5437e</t>
        </is>
      </c>
      <c r="B205" s="4" t="inlineStr">
        <is>
          <t>BSC-&gt;SOL</t>
        </is>
      </c>
      <c r="C205" s="4" t="n">
        <v>3</v>
      </c>
      <c r="D205" s="4" t="inlineStr">
        <is>
          <t>LI.FI (Jumper)</t>
        </is>
      </c>
      <c r="E205" s="4" t="inlineStr">
        <is>
          <t>venue</t>
        </is>
      </c>
      <c r="F205" s="4" t="inlineStr">
        <is>
          <t>OK</t>
        </is>
      </c>
      <c r="G205" s="4" t="inlineStr">
        <is>
          <t>2026-09-23T14:29:03.645Z</t>
        </is>
      </c>
      <c r="H205" s="4" t="inlineStr">
        <is>
          <t>2026-09-23T14:29:46.158Z</t>
        </is>
      </c>
      <c r="I205" s="4" t="inlineStr">
        <is>
          <t>2026-09-23T14:29:48.305Z</t>
        </is>
      </c>
      <c r="J205" s="13" t="n">
        <v>0.003</v>
      </c>
      <c r="K205" s="19" t="n">
        <v>99.885718</v>
      </c>
      <c r="L205" s="20" t="n"/>
      <c r="M205" s="4" t="n"/>
      <c r="N205" s="4" t="inlineStr">
        <is>
          <t>best_return_venue=Relay; max_out=99.885718</t>
        </is>
      </c>
      <c r="O205" s="4" t="inlineStr">
        <is>
          <t>https://jumper.xyz/?fromChain=56&amp;fromToken=0x8ac76a51cc950d9822d68b83fe1ad97b32cd580d&amp;toChain=1151111081099710&amp;toToken=EPjFWdd5AufqSSqeM2qN1xzybapC8G4wEGGkZwyTDt1v</t>
        </is>
      </c>
      <c r="P205" s="4" t="inlineStr">
        <is>
          <t>20260923T141817Z</t>
        </is>
      </c>
      <c r="Q205" s="4" t="inlineStr">
        <is>
          <t>2026-09-23T14:29:48.301Z</t>
        </is>
      </c>
      <c r="R205" s="4" t="inlineStr">
        <is>
          <t>2026-09-23T14:29:48.301Z</t>
        </is>
      </c>
      <c r="S205" s="13" t="n">
        <v>0.004</v>
      </c>
    </row>
    <row r="206">
      <c r="A206" s="4" t="inlineStr">
        <is>
          <t>c0c75cd5437e</t>
        </is>
      </c>
      <c r="B206" s="4" t="inlineStr">
        <is>
          <t>BSC-&gt;SOL</t>
        </is>
      </c>
      <c r="C206" s="4" t="n">
        <v>3</v>
      </c>
      <c r="D206" s="4" t="inlineStr">
        <is>
          <t>Across</t>
        </is>
      </c>
      <c r="E206" s="4" t="inlineStr">
        <is>
          <t>venue</t>
        </is>
      </c>
      <c r="F206" s="4" t="inlineStr">
        <is>
          <t>OK</t>
        </is>
      </c>
      <c r="G206" s="4" t="inlineStr">
        <is>
          <t>2026-09-23T14:29:03.643Z</t>
        </is>
      </c>
      <c r="H206" s="4" t="inlineStr">
        <is>
          <t>2026-09-23T14:29:04.869Z</t>
        </is>
      </c>
      <c r="I206" s="4" t="inlineStr">
        <is>
          <t>2026-09-23T14:29:48.306Z</t>
        </is>
      </c>
      <c r="J206" s="13" t="n">
        <v>0.002</v>
      </c>
      <c r="K206" s="19" t="n">
        <v>99.972442</v>
      </c>
      <c r="L206" s="20" t="n"/>
      <c r="M206" s="4" t="n"/>
      <c r="N206" s="4" t="inlineStr"/>
      <c r="O206" s="4" t="inlineStr">
        <is>
          <t>https://across.to/?from=bsc&amp;to=solana&amp;inputToken=USDC&amp;outputToken=USDC</t>
        </is>
      </c>
      <c r="P206" s="4" t="inlineStr">
        <is>
          <t>20260923T141817Z</t>
        </is>
      </c>
      <c r="Q206" s="4" t="inlineStr">
        <is>
          <t>2026-09-23T14:29:48.302Z</t>
        </is>
      </c>
      <c r="R206" s="4" t="inlineStr">
        <is>
          <t>2026-09-23T14:29:06.988Z</t>
        </is>
      </c>
      <c r="S206" s="13" t="n">
        <v>0.004</v>
      </c>
    </row>
    <row r="207">
      <c r="A207" s="4" t="inlineStr">
        <is>
          <t>c0c75cd5437e</t>
        </is>
      </c>
      <c r="B207" s="4" t="inlineStr">
        <is>
          <t>BSC-&gt;SOL</t>
        </is>
      </c>
      <c r="C207" s="4" t="n">
        <v>3</v>
      </c>
      <c r="D207" s="4" t="inlineStr">
        <is>
          <t>Mayan</t>
        </is>
      </c>
      <c r="E207" s="4" t="inlineStr">
        <is>
          <t>venue</t>
        </is>
      </c>
      <c r="F207" s="4" t="inlineStr">
        <is>
          <t>OK</t>
        </is>
      </c>
      <c r="G207" s="4" t="inlineStr">
        <is>
          <t>2026-09-23T14:29:03.642Z</t>
        </is>
      </c>
      <c r="H207" s="4" t="inlineStr">
        <is>
          <t>2026-09-23T14:29:04.973Z</t>
        </is>
      </c>
      <c r="I207" s="4" t="inlineStr">
        <is>
          <t>2026-09-23T14:29:48.306Z</t>
        </is>
      </c>
      <c r="J207" s="13" t="n">
        <v>0.002</v>
      </c>
      <c r="K207" s="19" t="n">
        <v>99.69</v>
      </c>
      <c r="L207" s="20" t="n"/>
      <c r="M207" s="4" t="n"/>
      <c r="N207" s="4" t="inlineStr">
        <is>
          <t>mode=Swift v2; eta=3s; display_decimals=2</t>
        </is>
      </c>
      <c r="O207" s="4" t="inlineStr">
        <is>
          <t>https://swap.mayan.finance/</t>
        </is>
      </c>
      <c r="P207" s="4" t="inlineStr">
        <is>
          <t>20260923T141817Z</t>
        </is>
      </c>
      <c r="Q207" s="4" t="inlineStr">
        <is>
          <t>2026-09-23T14:29:48.302Z</t>
        </is>
      </c>
      <c r="R207" s="4" t="inlineStr">
        <is>
          <t>2026-09-23T14:29:07.094Z</t>
        </is>
      </c>
      <c r="S207" s="13" t="n">
        <v>0.004</v>
      </c>
    </row>
    <row r="208">
      <c r="A208" s="4" t="inlineStr">
        <is>
          <t>c0c75cd5437e</t>
        </is>
      </c>
      <c r="B208" s="4" t="inlineStr">
        <is>
          <t>BSC-&gt;SOL</t>
        </is>
      </c>
      <c r="C208" s="4" t="n">
        <v>3</v>
      </c>
      <c r="D208" s="4" t="inlineStr">
        <is>
          <t>Husher</t>
        </is>
      </c>
      <c r="E208" s="4" t="inlineStr">
        <is>
          <t>venue</t>
        </is>
      </c>
      <c r="F208" s="4" t="inlineStr">
        <is>
          <t>OK</t>
        </is>
      </c>
      <c r="G208" s="4" t="inlineStr">
        <is>
          <t>2026-09-23T14:29:03.646Z</t>
        </is>
      </c>
      <c r="H208" s="4" t="inlineStr">
        <is>
          <t>2026-09-23T14:29:04.976Z</t>
        </is>
      </c>
      <c r="I208" s="4" t="inlineStr">
        <is>
          <t>2026-09-23T14:29:48.311Z</t>
        </is>
      </c>
      <c r="J208" s="13" t="n">
        <v>0.002</v>
      </c>
      <c r="K208" s="19" t="n">
        <v>99.34999999999999</v>
      </c>
      <c r="L208" s="20" t="n"/>
      <c r="M208" s="4" t="n"/>
      <c r="N208" s="4" t="inlineStr">
        <is>
          <t>out_usd=$99.37; provider=Husher (Best Rate); rate_type=floating; fee_deducted=0.35; network_fee_deducted=0.3; api_receive=99.35000000; eta_s=40; display_decimals=2</t>
        </is>
      </c>
      <c r="O208" s="4" t="inlineStr">
        <is>
          <t>https://www.husher.io/</t>
        </is>
      </c>
      <c r="P208" s="4" t="inlineStr">
        <is>
          <t>20260923T141817Z</t>
        </is>
      </c>
      <c r="Q208" s="4" t="inlineStr">
        <is>
          <t>2026-09-23T14:29:48.302Z</t>
        </is>
      </c>
      <c r="R208" s="4" t="inlineStr">
        <is>
          <t>2026-09-23T14:29:07.114Z</t>
        </is>
      </c>
      <c r="S208" s="13" t="n">
        <v>0.004</v>
      </c>
    </row>
    <row r="209">
      <c r="A209" s="4" t="inlineStr">
        <is>
          <t>c0c75cd5437e</t>
        </is>
      </c>
      <c r="B209" s="4" t="inlineStr">
        <is>
          <t>BSC-&gt;SOL</t>
        </is>
      </c>
      <c r="C209" s="4" t="n">
        <v>3</v>
      </c>
      <c r="D209" s="4" t="inlineStr">
        <is>
          <t>Layerswap</t>
        </is>
      </c>
      <c r="E209" s="4" t="inlineStr">
        <is>
          <t>venue</t>
        </is>
      </c>
      <c r="F209" s="4" t="inlineStr">
        <is>
          <t>OK</t>
        </is>
      </c>
      <c r="G209" s="4" t="inlineStr">
        <is>
          <t>2026-09-23T14:29:03.642Z</t>
        </is>
      </c>
      <c r="H209" s="4" t="inlineStr">
        <is>
          <t>2026-09-23T14:29:05.768Z</t>
        </is>
      </c>
      <c r="I209" s="4" t="inlineStr">
        <is>
          <t>2026-09-23T14:29:48.312Z</t>
        </is>
      </c>
      <c r="J209" s="13" t="n">
        <v>0.001</v>
      </c>
      <c r="K209" s="19" t="n">
        <v>99.634899</v>
      </c>
      <c r="L209" s="20" t="n"/>
      <c r="M209" s="4" t="n"/>
      <c r="N209" s="4" t="inlineStr">
        <is>
          <t>out_usd=$99.61; fee_usd=0.37; slippage=0.00%; eta=22 secs; to_token=USDC; to_chain=Solana; display_decimals=6</t>
        </is>
      </c>
      <c r="O209" s="4" t="inlineStr">
        <is>
          <t>https://layerswap.io/app?from=BSC_MAINNET&amp;to=SOLANA_MAINNET&amp;fromAsset=USDC&amp;toAsset=USDC</t>
        </is>
      </c>
      <c r="P209" s="4" t="inlineStr">
        <is>
          <t>20260923T141817Z</t>
        </is>
      </c>
      <c r="Q209" s="4" t="inlineStr">
        <is>
          <t>2026-09-23T14:29:48.303Z</t>
        </is>
      </c>
      <c r="R209" s="4" t="inlineStr">
        <is>
          <t>2026-09-23T14:29:07.900Z</t>
        </is>
      </c>
      <c r="S209" s="13" t="n">
        <v>0.004</v>
      </c>
    </row>
    <row r="210">
      <c r="A210" s="4" t="inlineStr">
        <is>
          <t>c0c75cd5437e</t>
        </is>
      </c>
      <c r="B210" s="4" t="inlineStr">
        <is>
          <t>BSC-&gt;SOL</t>
        </is>
      </c>
      <c r="C210" s="4" t="n">
        <v>3</v>
      </c>
      <c r="D210" s="4" t="inlineStr">
        <is>
          <t>Meson</t>
        </is>
      </c>
      <c r="E210" s="4" t="inlineStr">
        <is>
          <t>venue</t>
        </is>
      </c>
      <c r="F210" s="4" t="inlineStr">
        <is>
          <t>OK</t>
        </is>
      </c>
      <c r="G210" s="4" t="inlineStr">
        <is>
          <t>2026-09-23T14:29:03.646Z</t>
        </is>
      </c>
      <c r="H210" s="4" t="inlineStr">
        <is>
          <t>2026-09-23T14:29:04.034Z</t>
        </is>
      </c>
      <c r="I210" s="4" t="inlineStr">
        <is>
          <t>2026-09-23T14:29:48.308Z</t>
        </is>
      </c>
      <c r="J210" s="13" t="n">
        <v>0.002</v>
      </c>
      <c r="K210" s="19" t="n">
        <v>99.59999999999999</v>
      </c>
      <c r="L210" s="20" t="n">
        <v>0</v>
      </c>
      <c r="M210" s="4" t="n"/>
      <c r="N210" s="4" t="inlineStr">
        <is>
          <t>fees_deducted=[['Fee', 0.4, 'USDC']]; fee_total=0.4; fixed_fee_on_top=0.0; display_decimals=1</t>
        </is>
      </c>
      <c r="O210" s="4" t="inlineStr">
        <is>
          <t>https://meson.fi/swap</t>
        </is>
      </c>
      <c r="P210" s="4" t="inlineStr">
        <is>
          <t>20260923T141817Z</t>
        </is>
      </c>
      <c r="Q210" s="4" t="inlineStr">
        <is>
          <t>2026-09-23T14:29:48.302Z</t>
        </is>
      </c>
      <c r="R210" s="4" t="inlineStr">
        <is>
          <t>2026-09-23T14:29:06.188Z</t>
        </is>
      </c>
      <c r="S210" s="13" t="n">
        <v>0.004</v>
      </c>
    </row>
    <row r="211">
      <c r="A211" s="4" t="inlineStr">
        <is>
          <t>c0c75cd5437e</t>
        </is>
      </c>
      <c r="B211" s="4" t="inlineStr">
        <is>
          <t>BSC-&gt;SOL</t>
        </is>
      </c>
      <c r="C211" s="4" t="n">
        <v>3</v>
      </c>
      <c r="D211" s="4" t="inlineStr">
        <is>
          <t>SimpleSwap</t>
        </is>
      </c>
      <c r="E211" s="4" t="inlineStr">
        <is>
          <t>venue</t>
        </is>
      </c>
      <c r="F211" s="4" t="inlineStr">
        <is>
          <t>OK</t>
        </is>
      </c>
      <c r="G211" s="4" t="inlineStr">
        <is>
          <t>2026-09-23T14:29:03.647Z</t>
        </is>
      </c>
      <c r="H211" s="4" t="inlineStr">
        <is>
          <t>2026-09-23T14:29:06.111Z</t>
        </is>
      </c>
      <c r="I211" s="4" t="inlineStr">
        <is>
          <t>2026-09-23T14:29:48.356Z</t>
        </is>
      </c>
      <c r="J211" s="13" t="n">
        <v>0</v>
      </c>
      <c r="K211" s="19" t="n">
        <v>98.180302</v>
      </c>
      <c r="L211" s="20" t="n">
        <v>0</v>
      </c>
      <c r="M211" s="4" t="inlineStr">
        <is>
          <t>USDC</t>
        </is>
      </c>
      <c r="N211" s="4" t="inlineStr">
        <is>
          <t>best_card_out=98.180302; selected_card=Best rate; rate_type=floating; fixed_fee_on_top=0.0; fixed_fee_token=USDC; display_decimals=6; small_sum_warning=False</t>
        </is>
      </c>
      <c r="O211" s="4" t="inlineStr">
        <is>
          <t>https://simpleswap.io/?from=usdc-bsc&amp;to=usdc-sol</t>
        </is>
      </c>
      <c r="P211" s="4" t="inlineStr">
        <is>
          <t>20260923T141817Z</t>
        </is>
      </c>
      <c r="Q211" s="4" t="inlineStr">
        <is>
          <t>2026-09-23T14:29:48.304Z</t>
        </is>
      </c>
      <c r="R211" s="4" t="inlineStr">
        <is>
          <t>2026-09-23T14:29:08.295Z</t>
        </is>
      </c>
      <c r="S211" s="13" t="n">
        <v>0.004</v>
      </c>
    </row>
    <row r="212">
      <c r="A212" s="4" t="inlineStr">
        <is>
          <t>c0c75cd5437e</t>
        </is>
      </c>
      <c r="B212" s="4" t="inlineStr">
        <is>
          <t>BSC-&gt;SOL</t>
        </is>
      </c>
      <c r="C212" s="4" t="n">
        <v>3</v>
      </c>
      <c r="D212" s="4" t="inlineStr">
        <is>
          <t>Symbiosis</t>
        </is>
      </c>
      <c r="E212" s="4" t="inlineStr">
        <is>
          <t>venue</t>
        </is>
      </c>
      <c r="F212" s="4" t="inlineStr">
        <is>
          <t>OK</t>
        </is>
      </c>
      <c r="G212" s="4" t="inlineStr">
        <is>
          <t>2026-09-23T14:29:03.644Z</t>
        </is>
      </c>
      <c r="H212" s="4" t="inlineStr">
        <is>
          <t>2026-09-23T14:29:06.743Z</t>
        </is>
      </c>
      <c r="I212" s="4" t="inlineStr">
        <is>
          <t>2026-09-23T14:29:48.323Z</t>
        </is>
      </c>
      <c r="J212" s="13" t="n">
        <v>0.001</v>
      </c>
      <c r="K212" s="19" t="n">
        <v>98.357827</v>
      </c>
      <c r="L212" s="20" t="n">
        <v>0</v>
      </c>
      <c r="M212" s="4" t="n"/>
      <c r="N212" s="4" t="inlineStr">
        <is>
          <t>min_received=97.866; fee_usd_deducted=1.52; eta=2 - 3 Min; price_impact=-0.08%; slippage=2%; route=Bridge to Arbitrum One; fixed_fee_on_top=0.0; display_decimals=6</t>
        </is>
      </c>
      <c r="O212" s="4" t="inlineStr">
        <is>
          <t>https://app.symbiosis.finance/swap?chainIn=BNB&amp;chainOut=Solana&amp;tokenIn=0x8ac76a51cc950d9822d68b83fe1ad97b32cd580d&amp;tokenOut=0x0000000000000000000000000000000000000003</t>
        </is>
      </c>
      <c r="P212" s="4" t="inlineStr">
        <is>
          <t>20260923T141817Z</t>
        </is>
      </c>
      <c r="Q212" s="4" t="inlineStr">
        <is>
          <t>2026-09-23T14:29:48.305Z</t>
        </is>
      </c>
      <c r="R212" s="4" t="inlineStr">
        <is>
          <t>2026-09-23T14:29:08.873Z</t>
        </is>
      </c>
      <c r="S212" s="13" t="n">
        <v>0.004</v>
      </c>
    </row>
    <row r="213">
      <c r="A213" s="4" t="inlineStr">
        <is>
          <t>cd568e10792d</t>
        </is>
      </c>
      <c r="B213" s="4" t="inlineStr">
        <is>
          <t>SOL-&gt;Base</t>
        </is>
      </c>
      <c r="C213" s="4" t="n">
        <v>3</v>
      </c>
      <c r="D213" s="4" t="inlineStr">
        <is>
          <t>Bridg</t>
        </is>
      </c>
      <c r="E213" s="4" t="inlineStr">
        <is>
          <t>bridg</t>
        </is>
      </c>
      <c r="F213" s="4" t="inlineStr">
        <is>
          <t>OK</t>
        </is>
      </c>
      <c r="G213" s="4" t="inlineStr">
        <is>
          <t>2026-09-23T14:30:16.483Z</t>
        </is>
      </c>
      <c r="H213" s="4" t="inlineStr">
        <is>
          <t>2026-09-23T14:30:18.135Z</t>
        </is>
      </c>
      <c r="I213" s="4" t="inlineStr">
        <is>
          <t>2026-09-23T14:30:23.918Z</t>
        </is>
      </c>
      <c r="J213" s="13" t="n"/>
      <c r="K213" s="19" t="n">
        <v>99.943883</v>
      </c>
      <c r="L213" s="20" t="n"/>
      <c r="M213" s="4" t="n"/>
      <c r="N213" s="4" t="inlineStr">
        <is>
          <t>best via Skip Go; 15 venues priced; fees [['Skip Go fee', 0.006117], ['Bridg fee', 0.05]]</t>
        </is>
      </c>
      <c r="O213" s="4" t="inlineStr">
        <is>
          <t>https://bridg.now/swap/</t>
        </is>
      </c>
      <c r="P213" s="4" t="inlineStr">
        <is>
          <t>20260923T141817Z</t>
        </is>
      </c>
      <c r="Q213" s="4" t="inlineStr">
        <is>
          <t>2026-09-23T14:30:23.906Z</t>
        </is>
      </c>
      <c r="R213" s="4" t="inlineStr">
        <is>
          <t>2026-09-23T14:30:22.192Z</t>
        </is>
      </c>
      <c r="S213" s="13" t="n">
        <v>0.004</v>
      </c>
    </row>
    <row r="214">
      <c r="A214" s="4" t="inlineStr">
        <is>
          <t>cd568e10792d</t>
        </is>
      </c>
      <c r="B214" s="4" t="inlineStr">
        <is>
          <t>SOL-&gt;Base</t>
        </is>
      </c>
      <c r="C214" s="4" t="n">
        <v>3</v>
      </c>
      <c r="D214" s="4" t="inlineStr">
        <is>
          <t>Relay</t>
        </is>
      </c>
      <c r="E214" s="4" t="inlineStr">
        <is>
          <t>venue</t>
        </is>
      </c>
      <c r="F214" s="4" t="inlineStr">
        <is>
          <t>OK</t>
        </is>
      </c>
      <c r="G214" s="4" t="inlineStr">
        <is>
          <t>2026-09-23T14:30:16.476Z</t>
        </is>
      </c>
      <c r="H214" s="4" t="inlineStr">
        <is>
          <t>2026-09-23T14:30:18.758Z</t>
        </is>
      </c>
      <c r="I214" s="4" t="inlineStr">
        <is>
          <t>2026-09-23T14:30:23.914Z</t>
        </is>
      </c>
      <c r="J214" s="13" t="n">
        <v>0.002</v>
      </c>
      <c r="K214" s="19" t="n">
        <v>99.93512</v>
      </c>
      <c r="L214" s="20" t="n"/>
      <c r="M214" s="4" t="n"/>
      <c r="N214" s="4" t="inlineStr">
        <is>
          <t>rate=0.9993</t>
        </is>
      </c>
      <c r="O214" s="4" t="inlineStr">
        <is>
          <t>https://relay.link/bridge/base?fromChainId=792703809&amp;fromCurrency=EPjFWdd5AufqSSqeM2qN1xzybapC8G4wEGGkZwyTDt1v&amp;toCurrency=0x833589fcd6edb6e08f4c7c32d4f71b54bda02913</t>
        </is>
      </c>
      <c r="P214" s="4" t="inlineStr">
        <is>
          <t>20260923T141817Z</t>
        </is>
      </c>
      <c r="Q214" s="4" t="inlineStr">
        <is>
          <t>2026-09-23T14:30:23.904Z</t>
        </is>
      </c>
      <c r="R214" s="4" t="inlineStr">
        <is>
          <t>2026-09-23T14:30:20.926Z</t>
        </is>
      </c>
      <c r="S214" s="13" t="n">
        <v>0.004</v>
      </c>
    </row>
    <row r="215">
      <c r="A215" s="4" t="inlineStr">
        <is>
          <t>cd568e10792d</t>
        </is>
      </c>
      <c r="B215" s="4" t="inlineStr">
        <is>
          <t>SOL-&gt;Base</t>
        </is>
      </c>
      <c r="C215" s="4" t="n">
        <v>3</v>
      </c>
      <c r="D215" s="4" t="inlineStr">
        <is>
          <t>deBridge</t>
        </is>
      </c>
      <c r="E215" s="4" t="inlineStr">
        <is>
          <t>venue</t>
        </is>
      </c>
      <c r="F215" s="4" t="inlineStr">
        <is>
          <t>OK</t>
        </is>
      </c>
      <c r="G215" s="4" t="inlineStr">
        <is>
          <t>2026-09-23T14:30:16.485Z</t>
        </is>
      </c>
      <c r="H215" s="4" t="inlineStr">
        <is>
          <t>2026-09-23T14:30:19.480Z</t>
        </is>
      </c>
      <c r="I215" s="4" t="inlineStr">
        <is>
          <t>2026-09-23T14:30:23.915Z</t>
        </is>
      </c>
      <c r="J215" s="13" t="n">
        <v>0.001</v>
      </c>
      <c r="K215" s="19" t="n">
        <v>99.880032</v>
      </c>
      <c r="L215" s="20" t="n">
        <v>1.5222</v>
      </c>
      <c r="M215" s="4" t="inlineStr">
        <is>
          <t>USDC</t>
        </is>
      </c>
      <c r="N215" s="4" t="inlineStr">
        <is>
          <t>fixed_fee_on_top=1.5222; fixed_fee_token=USDC</t>
        </is>
      </c>
      <c r="O215" s="4" t="inlineStr">
        <is>
          <t>https://app.debridge.com/?inputChain=7565164&amp;outputChain=8453&amp;inputCurrency=EPjFWdd5AufqSSqeM2qN1xzybapC8G4wEGGkZwyTDt1v&amp;outputCurrency=0x833589fcd6edb6e08f4c7c32d4f71b54bda02913&amp;dlnMode=simple</t>
        </is>
      </c>
      <c r="P215" s="4" t="inlineStr">
        <is>
          <t>20260923T141817Z</t>
        </is>
      </c>
      <c r="Q215" s="4" t="inlineStr">
        <is>
          <t>2026-09-23T14:30:23.905Z</t>
        </is>
      </c>
      <c r="R215" s="4" t="inlineStr">
        <is>
          <t>2026-09-23T14:30:21.621Z</t>
        </is>
      </c>
      <c r="S215" s="13" t="n">
        <v>0.004</v>
      </c>
    </row>
    <row r="216">
      <c r="A216" s="4" t="inlineStr">
        <is>
          <t>cd568e10792d</t>
        </is>
      </c>
      <c r="B216" s="4" t="inlineStr">
        <is>
          <t>SOL-&gt;Base</t>
        </is>
      </c>
      <c r="C216" s="4" t="n">
        <v>3</v>
      </c>
      <c r="D216" s="4" t="inlineStr">
        <is>
          <t>LI.FI (Jumper)</t>
        </is>
      </c>
      <c r="E216" s="4" t="inlineStr">
        <is>
          <t>venue</t>
        </is>
      </c>
      <c r="F216" s="4" t="inlineStr">
        <is>
          <t>OK</t>
        </is>
      </c>
      <c r="G216" s="4" t="inlineStr">
        <is>
          <t>2026-09-23T14:30:16.489Z</t>
        </is>
      </c>
      <c r="H216" s="4" t="inlineStr">
        <is>
          <t>2026-09-23T14:30:21.772Z</t>
        </is>
      </c>
      <c r="I216" s="4" t="inlineStr">
        <is>
          <t>2026-09-23T14:30:23.907Z</t>
        </is>
      </c>
      <c r="J216" s="13" t="n">
        <v>0.003</v>
      </c>
      <c r="K216" s="19" t="n">
        <v>100</v>
      </c>
      <c r="L216" s="20" t="n"/>
      <c r="M216" s="4" t="n"/>
      <c r="N216" s="4" t="inlineStr">
        <is>
          <t>best_return_venue=Eco; max_out=100.0</t>
        </is>
      </c>
      <c r="O216" s="4" t="inlineStr">
        <is>
          <t>https://jumper.xyz/?fromChain=1151111081099710&amp;fromToken=EPjFWdd5AufqSSqeM2qN1xzybapC8G4wEGGkZwyTDt1v&amp;toChain=8453&amp;toToken=0x833589fcd6edb6e08f4c7c32d4f71b54bda02913</t>
        </is>
      </c>
      <c r="P216" s="4" t="inlineStr">
        <is>
          <t>20260923T141817Z</t>
        </is>
      </c>
      <c r="Q216" s="4" t="inlineStr">
        <is>
          <t>2026-09-23T14:30:23.903Z</t>
        </is>
      </c>
      <c r="R216" s="4" t="inlineStr">
        <is>
          <t>2026-09-23T14:30:23.903Z</t>
        </is>
      </c>
      <c r="S216" s="13" t="n">
        <v>0.004</v>
      </c>
    </row>
    <row r="217">
      <c r="A217" s="4" t="inlineStr">
        <is>
          <t>cd568e10792d</t>
        </is>
      </c>
      <c r="B217" s="4" t="inlineStr">
        <is>
          <t>SOL-&gt;Base</t>
        </is>
      </c>
      <c r="C217" s="4" t="n">
        <v>3</v>
      </c>
      <c r="D217" s="4" t="inlineStr">
        <is>
          <t>Across</t>
        </is>
      </c>
      <c r="E217" s="4" t="inlineStr">
        <is>
          <t>venue</t>
        </is>
      </c>
      <c r="F217" s="4" t="inlineStr">
        <is>
          <t>OK</t>
        </is>
      </c>
      <c r="G217" s="4" t="inlineStr">
        <is>
          <t>2026-09-23T14:30:16.480Z</t>
        </is>
      </c>
      <c r="H217" s="4" t="inlineStr">
        <is>
          <t>2026-09-23T14:30:18.970Z</t>
        </is>
      </c>
      <c r="I217" s="4" t="inlineStr">
        <is>
          <t>2026-09-23T14:30:23.908Z</t>
        </is>
      </c>
      <c r="J217" s="13" t="n">
        <v>0.002</v>
      </c>
      <c r="K217" s="19" t="n">
        <v>99.98999999999999</v>
      </c>
      <c r="L217" s="20" t="n"/>
      <c r="M217" s="4" t="n"/>
      <c r="N217" s="4" t="inlineStr"/>
      <c r="O217" s="4" t="inlineStr">
        <is>
          <t>https://across.to/?from=solana&amp;to=base&amp;inputToken=USDC&amp;outputToken=USDC</t>
        </is>
      </c>
      <c r="P217" s="4" t="inlineStr">
        <is>
          <t>20260923T141817Z</t>
        </is>
      </c>
      <c r="Q217" s="4" t="inlineStr">
        <is>
          <t>2026-09-23T14:30:23.904Z</t>
        </is>
      </c>
      <c r="R217" s="4" t="inlineStr">
        <is>
          <t>2026-09-23T14:30:21.095Z</t>
        </is>
      </c>
      <c r="S217" s="13" t="n">
        <v>0.004</v>
      </c>
    </row>
    <row r="218">
      <c r="A218" s="4" t="inlineStr">
        <is>
          <t>cd568e10792d</t>
        </is>
      </c>
      <c r="B218" s="4" t="inlineStr">
        <is>
          <t>SOL-&gt;Base</t>
        </is>
      </c>
      <c r="C218" s="4" t="n">
        <v>3</v>
      </c>
      <c r="D218" s="4" t="inlineStr">
        <is>
          <t>Mayan</t>
        </is>
      </c>
      <c r="E218" s="4" t="inlineStr">
        <is>
          <t>venue</t>
        </is>
      </c>
      <c r="F218" s="4" t="inlineStr">
        <is>
          <t>OK</t>
        </is>
      </c>
      <c r="G218" s="4" t="inlineStr">
        <is>
          <t>2026-09-23T14:30:16.475Z</t>
        </is>
      </c>
      <c r="H218" s="4" t="inlineStr">
        <is>
          <t>2026-09-23T14:30:18.682Z</t>
        </is>
      </c>
      <c r="I218" s="4" t="inlineStr">
        <is>
          <t>2026-09-23T14:30:23.908Z</t>
        </is>
      </c>
      <c r="J218" s="13" t="n">
        <v>0.002</v>
      </c>
      <c r="K218" s="19" t="n">
        <v>99.94</v>
      </c>
      <c r="L218" s="20" t="n"/>
      <c r="M218" s="4" t="n"/>
      <c r="N218" s="4" t="inlineStr">
        <is>
          <t>mode=Swift v2; eta=3s; display_decimals=2</t>
        </is>
      </c>
      <c r="O218" s="4" t="inlineStr">
        <is>
          <t>https://swap.mayan.finance/</t>
        </is>
      </c>
      <c r="P218" s="4" t="inlineStr">
        <is>
          <t>20260923T141817Z</t>
        </is>
      </c>
      <c r="Q218" s="4" t="inlineStr">
        <is>
          <t>2026-09-23T14:30:23.904Z</t>
        </is>
      </c>
      <c r="R218" s="4" t="inlineStr">
        <is>
          <t>2026-09-23T14:30:20.801Z</t>
        </is>
      </c>
      <c r="S218" s="13" t="n">
        <v>0.004</v>
      </c>
    </row>
    <row r="219">
      <c r="A219" s="4" t="inlineStr">
        <is>
          <t>cd568e10792d</t>
        </is>
      </c>
      <c r="B219" s="4" t="inlineStr">
        <is>
          <t>SOL-&gt;Base</t>
        </is>
      </c>
      <c r="C219" s="4" t="n">
        <v>3</v>
      </c>
      <c r="D219" s="4" t="inlineStr">
        <is>
          <t>Allbridge Core</t>
        </is>
      </c>
      <c r="E219" s="4" t="inlineStr">
        <is>
          <t>venue</t>
        </is>
      </c>
      <c r="F219" s="4" t="inlineStr">
        <is>
          <t>OK</t>
        </is>
      </c>
      <c r="G219" s="4" t="inlineStr">
        <is>
          <t>2026-09-23T14:30:16.490Z</t>
        </is>
      </c>
      <c r="H219" s="4" t="inlineStr">
        <is>
          <t>2026-09-23T14:30:19.084Z</t>
        </is>
      </c>
      <c r="I219" s="4" t="inlineStr">
        <is>
          <t>2026-09-23T14:30:24.190Z</t>
        </is>
      </c>
      <c r="J219" s="13" t="n">
        <v>0.002</v>
      </c>
      <c r="K219" s="19" t="n">
        <v>99.90000000000001</v>
      </c>
      <c r="L219" s="20" t="n">
        <v>0.002418</v>
      </c>
      <c r="M219" s="4" t="inlineStr">
        <is>
          <t>SOL (relayer fee, fee=native)</t>
        </is>
      </c>
      <c r="N219" s="4" t="inlineStr">
        <is>
          <t>out_input_box=99.9; out_details_2dp=99.9; fixed_fee_on_top=0.002418; fixed_fee_token=SOL (relayer fee, fee=native); transfer_fee=0.10 USDC; messenger=CCTP; eta=~1 min; display_decimals=1; picked=['USDC from Solana', 'USDC to Base']</t>
        </is>
      </c>
      <c r="O219" s="4" t="inlineStr">
        <is>
          <t>https://core.allbridge.io/?fee=native&amp;ft=USDC&amp;tt=USDC&amp;f=SOL&amp;t=BAS</t>
        </is>
      </c>
      <c r="P219" s="4" t="inlineStr">
        <is>
          <t>20260923T141817Z</t>
        </is>
      </c>
      <c r="Q219" s="4" t="inlineStr">
        <is>
          <t>2026-09-23T14:30:23.904Z</t>
        </is>
      </c>
      <c r="R219" s="4" t="inlineStr">
        <is>
          <t>2026-09-23T14:30:21.368Z</t>
        </is>
      </c>
      <c r="S219" s="13" t="n">
        <v>0.004</v>
      </c>
    </row>
    <row r="220">
      <c r="A220" s="4" t="inlineStr">
        <is>
          <t>cd568e10792d</t>
        </is>
      </c>
      <c r="B220" s="4" t="inlineStr">
        <is>
          <t>SOL-&gt;Base</t>
        </is>
      </c>
      <c r="C220" s="4" t="n">
        <v>3</v>
      </c>
      <c r="D220" s="4" t="inlineStr">
        <is>
          <t>CCTP (via Portal)</t>
        </is>
      </c>
      <c r="E220" s="4" t="inlineStr">
        <is>
          <t>venue</t>
        </is>
      </c>
      <c r="F220" s="4" t="inlineStr">
        <is>
          <t>OK</t>
        </is>
      </c>
      <c r="G220" s="4" t="inlineStr">
        <is>
          <t>2026-09-23T14:30:16.490Z</t>
        </is>
      </c>
      <c r="H220" s="4" t="inlineStr">
        <is>
          <t>2026-09-23T14:30:21.373Z</t>
        </is>
      </c>
      <c r="I220" s="4" t="inlineStr">
        <is>
          <t>2026-09-23T14:30:23.934Z</t>
        </is>
      </c>
      <c r="J220" s="13" t="n">
        <v>0.001</v>
      </c>
      <c r="K220" s="19" t="n">
        <v>99.98999999999999</v>
      </c>
      <c r="L220" s="20" t="n"/>
      <c r="M220" s="4" t="n"/>
      <c r="N220" s="4" t="inlineStr">
        <is>
          <t>venue_ui=CCTP via Portal (portalbridge.com/usdc-bridge); messenger=Circle CCTP; route_type=CCTPv2StandardExecutorRoute; eta=14 sec; usd_value=99.99; price_impact=-0.01%; fixed_fee_note=executor/relayer fee not shown without a wallet; display_decimals=2</t>
        </is>
      </c>
      <c r="O220" s="4" t="inlineStr">
        <is>
          <t>https://portalbridge.com/usdc-bridge?fromChain=Solana&amp;fromToken=USDC&amp;toChain=Base&amp;toToken=USDC</t>
        </is>
      </c>
      <c r="P220" s="4" t="inlineStr">
        <is>
          <t>20260923T141817Z</t>
        </is>
      </c>
      <c r="Q220" s="4" t="inlineStr">
        <is>
          <t>2026-09-23T14:30:23.907Z</t>
        </is>
      </c>
      <c r="R220" s="4" t="inlineStr">
        <is>
          <t>2026-09-23T14:30:23.512Z</t>
        </is>
      </c>
      <c r="S220" s="13" t="n">
        <v>0.004</v>
      </c>
    </row>
    <row r="221">
      <c r="A221" s="4" t="inlineStr">
        <is>
          <t>cd568e10792d</t>
        </is>
      </c>
      <c r="B221" s="4" t="inlineStr">
        <is>
          <t>SOL-&gt;Base</t>
        </is>
      </c>
      <c r="C221" s="4" t="n">
        <v>3</v>
      </c>
      <c r="D221" s="4" t="inlineStr">
        <is>
          <t>Husher</t>
        </is>
      </c>
      <c r="E221" s="4" t="inlineStr">
        <is>
          <t>venue</t>
        </is>
      </c>
      <c r="F221" s="4" t="inlineStr">
        <is>
          <t>OK</t>
        </is>
      </c>
      <c r="G221" s="4" t="inlineStr">
        <is>
          <t>2026-09-23T14:30:16.491Z</t>
        </is>
      </c>
      <c r="H221" s="4" t="inlineStr">
        <is>
          <t>2026-09-23T14:30:19.244Z</t>
        </is>
      </c>
      <c r="I221" s="4" t="inlineStr">
        <is>
          <t>2026-09-23T14:30:23.914Z</t>
        </is>
      </c>
      <c r="J221" s="13" t="n">
        <v>0.001</v>
      </c>
      <c r="K221" s="19" t="n">
        <v>99.45</v>
      </c>
      <c r="L221" s="20" t="n"/>
      <c r="M221" s="4" t="n"/>
      <c r="N221" s="4" t="inlineStr">
        <is>
          <t>out_usd=$99.47; provider=Husher (Best Rate); rate_type=floating; fee_deducted=0.35; network_fee_deducted=0.2; api_receive=99.45000000; eta_s=40; display_decimals=2</t>
        </is>
      </c>
      <c r="O221" s="4" t="inlineStr">
        <is>
          <t>https://www.husher.io/</t>
        </is>
      </c>
      <c r="P221" s="4" t="inlineStr">
        <is>
          <t>20260923T141817Z</t>
        </is>
      </c>
      <c r="Q221" s="4" t="inlineStr">
        <is>
          <t>2026-09-23T14:30:23.905Z</t>
        </is>
      </c>
      <c r="R221" s="4" t="inlineStr">
        <is>
          <t>2026-09-23T14:30:21.374Z</t>
        </is>
      </c>
      <c r="S221" s="13" t="n">
        <v>0.004</v>
      </c>
    </row>
    <row r="222">
      <c r="A222" s="4" t="inlineStr">
        <is>
          <t>cd568e10792d</t>
        </is>
      </c>
      <c r="B222" s="4" t="inlineStr">
        <is>
          <t>SOL-&gt;Base</t>
        </is>
      </c>
      <c r="C222" s="4" t="n">
        <v>3</v>
      </c>
      <c r="D222" s="4" t="inlineStr">
        <is>
          <t>Layerswap</t>
        </is>
      </c>
      <c r="E222" s="4" t="inlineStr">
        <is>
          <t>venue</t>
        </is>
      </c>
      <c r="F222" s="4" t="inlineStr">
        <is>
          <t>OK</t>
        </is>
      </c>
      <c r="G222" s="4" t="inlineStr">
        <is>
          <t>2026-09-23T14:30:16.476Z</t>
        </is>
      </c>
      <c r="H222" s="4" t="inlineStr">
        <is>
          <t>2026-09-23T14:30:19.562Z</t>
        </is>
      </c>
      <c r="I222" s="4" t="inlineStr">
        <is>
          <t>2026-09-23T14:30:23.920Z</t>
        </is>
      </c>
      <c r="J222" s="13" t="n">
        <v>0.001</v>
      </c>
      <c r="K222" s="19" t="n">
        <v>99.864051</v>
      </c>
      <c r="L222" s="20" t="n"/>
      <c r="M222" s="4" t="n"/>
      <c r="N222" s="4" t="inlineStr">
        <is>
          <t>out_usd=$99.84; fee_usd=0.14; slippage=0.00%; eta=5 secs; to_token=USDC; to_chain=Base; display_decimals=6</t>
        </is>
      </c>
      <c r="O222" s="4" t="inlineStr">
        <is>
          <t>https://layerswap.io/app?from=SOLANA_MAINNET&amp;to=BASE_MAINNET&amp;fromAsset=USDC&amp;toAsset=USDC</t>
        </is>
      </c>
      <c r="P222" s="4" t="inlineStr">
        <is>
          <t>20260923T141817Z</t>
        </is>
      </c>
      <c r="Q222" s="4" t="inlineStr">
        <is>
          <t>2026-09-23T14:30:23.905Z</t>
        </is>
      </c>
      <c r="R222" s="4" t="inlineStr">
        <is>
          <t>2026-09-23T14:30:21.705Z</t>
        </is>
      </c>
      <c r="S222" s="13" t="n">
        <v>0.004</v>
      </c>
    </row>
    <row r="223">
      <c r="A223" s="4" t="inlineStr">
        <is>
          <t>cd568e10792d</t>
        </is>
      </c>
      <c r="B223" s="4" t="inlineStr">
        <is>
          <t>SOL-&gt;Base</t>
        </is>
      </c>
      <c r="C223" s="4" t="n">
        <v>3</v>
      </c>
      <c r="D223" s="4" t="inlineStr">
        <is>
          <t>Meson</t>
        </is>
      </c>
      <c r="E223" s="4" t="inlineStr">
        <is>
          <t>venue</t>
        </is>
      </c>
      <c r="F223" s="4" t="inlineStr">
        <is>
          <t>OK</t>
        </is>
      </c>
      <c r="G223" s="4" t="inlineStr">
        <is>
          <t>2026-09-23T14:30:16.492Z</t>
        </is>
      </c>
      <c r="H223" s="4" t="inlineStr">
        <is>
          <t>2026-09-23T14:30:18.157Z</t>
        </is>
      </c>
      <c r="I223" s="4" t="inlineStr">
        <is>
          <t>2026-09-23T14:30:23.910Z</t>
        </is>
      </c>
      <c r="J223" s="13" t="n">
        <v>0.003</v>
      </c>
      <c r="K223" s="19" t="n">
        <v>99.84</v>
      </c>
      <c r="L223" s="20" t="n">
        <v>0</v>
      </c>
      <c r="M223" s="4" t="n"/>
      <c r="N223" s="4" t="inlineStr">
        <is>
          <t>fees_deducted=[['Fee', 0.16, 'USDC']]; fee_total=0.16; fixed_fee_on_top=0.0; display_decimals=2</t>
        </is>
      </c>
      <c r="O223" s="4" t="inlineStr">
        <is>
          <t>https://meson.fi/swap</t>
        </is>
      </c>
      <c r="P223" s="4" t="inlineStr">
        <is>
          <t>20260923T141817Z</t>
        </is>
      </c>
      <c r="Q223" s="4" t="inlineStr">
        <is>
          <t>2026-09-23T14:30:23.903Z</t>
        </is>
      </c>
      <c r="R223" s="4" t="inlineStr">
        <is>
          <t>2026-09-23T14:30:20.349Z</t>
        </is>
      </c>
      <c r="S223" s="13" t="n">
        <v>0.004</v>
      </c>
    </row>
    <row r="224">
      <c r="A224" s="4" t="inlineStr">
        <is>
          <t>cd568e10792d</t>
        </is>
      </c>
      <c r="B224" s="4" t="inlineStr">
        <is>
          <t>SOL-&gt;Base</t>
        </is>
      </c>
      <c r="C224" s="4" t="n">
        <v>3</v>
      </c>
      <c r="D224" s="4" t="inlineStr">
        <is>
          <t>OpenSea</t>
        </is>
      </c>
      <c r="E224" s="4" t="inlineStr">
        <is>
          <t>platform</t>
        </is>
      </c>
      <c r="F224" s="4" t="inlineStr">
        <is>
          <t>OK</t>
        </is>
      </c>
      <c r="G224" s="4" t="inlineStr">
        <is>
          <t>2026-09-23T14:30:16.482Z</t>
        </is>
      </c>
      <c r="H224" s="4" t="inlineStr">
        <is>
          <t>2026-09-23T14:30:20.135Z</t>
        </is>
      </c>
      <c r="I224" s="4" t="inlineStr">
        <is>
          <t>2026-09-23T14:30:23.932Z</t>
        </is>
      </c>
      <c r="J224" s="13" t="n">
        <v>0</v>
      </c>
      <c r="K224" s="19" t="n">
        <v>99.9409</v>
      </c>
      <c r="L224" s="20" t="n">
        <v>0.01</v>
      </c>
      <c r="M224" s="4" t="inlineStr">
        <is>
          <t>native (gas, USD shown)</t>
        </is>
      </c>
      <c r="N224" s="4" t="inlineStr">
        <is>
          <t>out_usd=$99.92; provider=LI.FI; fee_total_usd=0.01; provider_fee_usd=0.0; provider_fee_pct=0%; provider_fee_deducted=True; opensea_fee_usd=0.0; opensea_fee_pct=0%; gas_fee_usd=0.01; gas_fee_display=$0.01; fixed_fee_on_top=0.01; fixed_fee_token=native (gas, USD shown); price_impact=(-$0.06) -0.06%; s</t>
        </is>
      </c>
      <c r="O224" s="4" t="inlineStr">
        <is>
          <t>https://opensea.io/swap?fromChain=solana&amp;fromAddress=EPjFWdd5AufqSSqeM2qN1xzybapC8G4wEGGkZwyTDt1v&amp;toChain=base&amp;toAddress=0x833589fcd6edb6e08f4c7c32d4f71b54bda02913</t>
        </is>
      </c>
      <c r="P224" s="4" t="inlineStr">
        <is>
          <t>20260923T141817Z</t>
        </is>
      </c>
      <c r="Q224" s="4" t="inlineStr">
        <is>
          <t>2026-09-23T14:30:23.906Z</t>
        </is>
      </c>
      <c r="R224" s="4" t="inlineStr">
        <is>
          <t>2026-09-23T14:30:22.269Z</t>
        </is>
      </c>
      <c r="S224" s="13" t="n">
        <v>0.004</v>
      </c>
    </row>
    <row r="225">
      <c r="A225" s="4" t="inlineStr">
        <is>
          <t>cd568e10792d</t>
        </is>
      </c>
      <c r="B225" s="4" t="inlineStr">
        <is>
          <t>SOL-&gt;Base</t>
        </is>
      </c>
      <c r="C225" s="4" t="n">
        <v>3</v>
      </c>
      <c r="D225" s="4" t="inlineStr">
        <is>
          <t>SimpleSwap</t>
        </is>
      </c>
      <c r="E225" s="4" t="inlineStr">
        <is>
          <t>venue</t>
        </is>
      </c>
      <c r="F225" s="4" t="inlineStr">
        <is>
          <t>OK</t>
        </is>
      </c>
      <c r="G225" s="4" t="inlineStr">
        <is>
          <t>2026-09-23T14:30:16.493Z</t>
        </is>
      </c>
      <c r="H225" s="4" t="inlineStr">
        <is>
          <t>2026-09-23T14:30:20.064Z</t>
        </is>
      </c>
      <c r="I225" s="4" t="inlineStr">
        <is>
          <t>2026-09-23T14:30:24.020Z</t>
        </is>
      </c>
      <c r="J225" s="13" t="n">
        <v>0</v>
      </c>
      <c r="K225" s="19" t="n">
        <v>98.49159</v>
      </c>
      <c r="L225" s="20" t="n">
        <v>0</v>
      </c>
      <c r="M225" s="4" t="inlineStr">
        <is>
          <t>USDC</t>
        </is>
      </c>
      <c r="N225" s="4" t="inlineStr">
        <is>
          <t>best_card_out=98.49159; selected_card=Best rate / Decentralized; rate_type=floating; fixed_fee_on_top=0.0; fixed_fee_token=USDC; display_decimals=5; small_sum_warning=False</t>
        </is>
      </c>
      <c r="O225" s="4" t="inlineStr">
        <is>
          <t>https://simpleswap.io/?from=usdc-sol&amp;to=usdc-base</t>
        </is>
      </c>
      <c r="P225" s="4" t="inlineStr">
        <is>
          <t>20260923T141817Z</t>
        </is>
      </c>
      <c r="Q225" s="4" t="inlineStr">
        <is>
          <t>2026-09-23T14:30:23.906Z</t>
        </is>
      </c>
      <c r="R225" s="4" t="inlineStr">
        <is>
          <t>2026-09-23T14:30:22.289Z</t>
        </is>
      </c>
      <c r="S225" s="13" t="n">
        <v>0.004</v>
      </c>
    </row>
    <row r="226">
      <c r="A226" s="4" t="inlineStr">
        <is>
          <t>cd568e10792d</t>
        </is>
      </c>
      <c r="B226" s="4" t="inlineStr">
        <is>
          <t>SOL-&gt;Base</t>
        </is>
      </c>
      <c r="C226" s="4" t="n">
        <v>3</v>
      </c>
      <c r="D226" s="4" t="inlineStr">
        <is>
          <t>Skip Go</t>
        </is>
      </c>
      <c r="E226" s="4" t="inlineStr">
        <is>
          <t>venue</t>
        </is>
      </c>
      <c r="F226" s="4" t="inlineStr">
        <is>
          <t>OK</t>
        </is>
      </c>
      <c r="G226" s="4" t="inlineStr">
        <is>
          <t>2026-09-23T14:30:16.485Z</t>
        </is>
      </c>
      <c r="H226" s="4" t="inlineStr">
        <is>
          <t>2026-09-23T14:30:19.480Z</t>
        </is>
      </c>
      <c r="I226" s="4" t="inlineStr">
        <is>
          <t>2026-09-23T14:30:23.915Z</t>
        </is>
      </c>
      <c r="J226" s="13" t="n">
        <v>0.001</v>
      </c>
      <c r="K226" s="19" t="n">
        <v>99.98308</v>
      </c>
      <c r="L226" s="20" t="n"/>
      <c r="M226" s="4" t="n"/>
      <c r="N226" s="4" t="inlineStr">
        <is>
          <t>fees_usd_in_quote=0.02; eta=30 secs; usd_values=['99.98', '99.96']; display_decimals=5</t>
        </is>
      </c>
      <c r="O226" s="4" t="inlineStr">
        <is>
          <t>https://go.skip.build/?src_chain=solana&amp;src_asset=EPjFWdd5AufqSSqeM2qN1xzybapC8G4wEGGkZwyTDt1v&amp;dest_chain=8453&amp;dest_asset=0x833589fcd6edb6e08f4c7c32d4f71b54bda02913</t>
        </is>
      </c>
      <c r="P226" s="4" t="inlineStr">
        <is>
          <t>20260923T141817Z</t>
        </is>
      </c>
      <c r="Q226" s="4" t="inlineStr">
        <is>
          <t>2026-09-23T14:30:23.905Z</t>
        </is>
      </c>
      <c r="R226" s="4" t="inlineStr">
        <is>
          <t>2026-09-23T14:30:21.620Z</t>
        </is>
      </c>
      <c r="S226" s="13" t="n">
        <v>0.004</v>
      </c>
    </row>
    <row r="227">
      <c r="A227" s="4" t="inlineStr">
        <is>
          <t>8d7945ce786a</t>
        </is>
      </c>
      <c r="B227" s="4" t="inlineStr">
        <is>
          <t>Base-&gt;SOL</t>
        </is>
      </c>
      <c r="C227" s="4" t="n">
        <v>3</v>
      </c>
      <c r="D227" s="4" t="inlineStr">
        <is>
          <t>Bridg</t>
        </is>
      </c>
      <c r="E227" s="4" t="inlineStr">
        <is>
          <t>bridg</t>
        </is>
      </c>
      <c r="F227" s="4" t="inlineStr">
        <is>
          <t>OK</t>
        </is>
      </c>
      <c r="G227" s="4" t="inlineStr">
        <is>
          <t>2026-09-23T14:30:52.317Z</t>
        </is>
      </c>
      <c r="H227" s="4" t="inlineStr">
        <is>
          <t>2026-09-23T14:30:53.701Z</t>
        </is>
      </c>
      <c r="I227" s="4" t="inlineStr">
        <is>
          <t>2026-09-23T14:30:58.886Z</t>
        </is>
      </c>
      <c r="J227" s="13" t="n"/>
      <c r="K227" s="19" t="n">
        <v>99.85005</v>
      </c>
      <c r="L227" s="20" t="n"/>
      <c r="M227" s="4" t="n"/>
      <c r="N227" s="4" t="inlineStr">
        <is>
          <t>best via Allbridge Core; 15 venues priced; fees [['Allbridge Core fee', 0.09995], ['Bridg fee', 0.05]]</t>
        </is>
      </c>
      <c r="O227" s="4" t="inlineStr">
        <is>
          <t>https://bridg.now/swap/</t>
        </is>
      </c>
      <c r="P227" s="4" t="inlineStr">
        <is>
          <t>20260923T141817Z</t>
        </is>
      </c>
      <c r="Q227" s="4" t="inlineStr">
        <is>
          <t>2026-09-23T14:30:58.847Z</t>
        </is>
      </c>
      <c r="R227" s="4" t="inlineStr">
        <is>
          <t>2026-09-23T14:30:57.577Z</t>
        </is>
      </c>
      <c r="S227" s="13" t="n">
        <v>0.004</v>
      </c>
    </row>
    <row r="228">
      <c r="A228" s="4" t="inlineStr">
        <is>
          <t>8d7945ce786a</t>
        </is>
      </c>
      <c r="B228" s="4" t="inlineStr">
        <is>
          <t>Base-&gt;SOL</t>
        </is>
      </c>
      <c r="C228" s="4" t="n">
        <v>3</v>
      </c>
      <c r="D228" s="4" t="inlineStr">
        <is>
          <t>Relay</t>
        </is>
      </c>
      <c r="E228" s="4" t="inlineStr">
        <is>
          <t>venue</t>
        </is>
      </c>
      <c r="F228" s="4" t="inlineStr">
        <is>
          <t>OK</t>
        </is>
      </c>
      <c r="G228" s="4" t="inlineStr">
        <is>
          <t>2026-09-23T14:30:52.314Z</t>
        </is>
      </c>
      <c r="H228" s="4" t="inlineStr">
        <is>
          <t>2026-09-23T14:30:54.481Z</t>
        </is>
      </c>
      <c r="I228" s="4" t="inlineStr">
        <is>
          <t>2026-09-23T14:30:58.877Z</t>
        </is>
      </c>
      <c r="J228" s="13" t="n">
        <v>0.001</v>
      </c>
      <c r="K228" s="19" t="n">
        <v>99.945718</v>
      </c>
      <c r="L228" s="20" t="n"/>
      <c r="M228" s="4" t="n"/>
      <c r="N228" s="4" t="inlineStr">
        <is>
          <t>rate=0.9994</t>
        </is>
      </c>
      <c r="O228" s="4" t="inlineStr">
        <is>
          <t>https://relay.link/bridge/solana?fromChainId=8453&amp;fromCurrency=0x833589fcd6edb6e08f4c7c32d4f71b54bda02913&amp;toCurrency=EPjFWdd5AufqSSqeM2qN1xzybapC8G4wEGGkZwyTDt1v</t>
        </is>
      </c>
      <c r="P228" s="4" t="inlineStr">
        <is>
          <t>20260923T141817Z</t>
        </is>
      </c>
      <c r="Q228" s="4" t="inlineStr">
        <is>
          <t>2026-09-23T14:30:58.846Z</t>
        </is>
      </c>
      <c r="R228" s="4" t="inlineStr">
        <is>
          <t>2026-09-23T14:30:56.660Z</t>
        </is>
      </c>
      <c r="S228" s="13" t="n">
        <v>0.004</v>
      </c>
    </row>
    <row r="229">
      <c r="A229" s="4" t="inlineStr">
        <is>
          <t>8d7945ce786a</t>
        </is>
      </c>
      <c r="B229" s="4" t="inlineStr">
        <is>
          <t>Base-&gt;SOL</t>
        </is>
      </c>
      <c r="C229" s="4" t="n">
        <v>3</v>
      </c>
      <c r="D229" s="4" t="inlineStr">
        <is>
          <t>deBridge</t>
        </is>
      </c>
      <c r="E229" s="4" t="inlineStr">
        <is>
          <t>venue</t>
        </is>
      </c>
      <c r="F229" s="4" t="inlineStr">
        <is>
          <t>OK</t>
        </is>
      </c>
      <c r="G229" s="4" t="inlineStr">
        <is>
          <t>2026-09-23T14:30:52.315Z</t>
        </is>
      </c>
      <c r="H229" s="4" t="inlineStr">
        <is>
          <t>2026-09-23T14:30:54.480Z</t>
        </is>
      </c>
      <c r="I229" s="4" t="inlineStr">
        <is>
          <t>2026-09-23T14:30:58.865Z</t>
        </is>
      </c>
      <c r="J229" s="13" t="n">
        <v>0.002</v>
      </c>
      <c r="K229" s="19" t="n">
        <v>99.920018</v>
      </c>
      <c r="L229" s="20" t="n">
        <v>1.0077</v>
      </c>
      <c r="M229" s="4" t="inlineStr">
        <is>
          <t>USDC</t>
        </is>
      </c>
      <c r="N229" s="4" t="inlineStr">
        <is>
          <t>fixed_fee_on_top=1.0077; fixed_fee_token=USDC</t>
        </is>
      </c>
      <c r="O229" s="4" t="inlineStr">
        <is>
          <t>https://app.debridge.com/?inputChain=8453&amp;outputChain=7565164&amp;inputCurrency=0x833589fcd6edb6e08f4c7c32d4f71b54bda02913&amp;outputCurrency=EPjFWdd5AufqSSqeM2qN1xzybapC8G4wEGGkZwyTDt1v&amp;dlnMode=simple</t>
        </is>
      </c>
      <c r="P229" s="4" t="inlineStr">
        <is>
          <t>20260923T141817Z</t>
        </is>
      </c>
      <c r="Q229" s="4" t="inlineStr">
        <is>
          <t>2026-09-23T14:30:58.845Z</t>
        </is>
      </c>
      <c r="R229" s="4" t="inlineStr">
        <is>
          <t>2026-09-23T14:30:56.660Z</t>
        </is>
      </c>
      <c r="S229" s="13" t="n">
        <v>0.004</v>
      </c>
    </row>
    <row r="230">
      <c r="A230" s="4" t="inlineStr">
        <is>
          <t>8d7945ce786a</t>
        </is>
      </c>
      <c r="B230" s="4" t="inlineStr">
        <is>
          <t>Base-&gt;SOL</t>
        </is>
      </c>
      <c r="C230" s="4" t="n">
        <v>3</v>
      </c>
      <c r="D230" s="4" t="inlineStr">
        <is>
          <t>LI.FI (Jumper)</t>
        </is>
      </c>
      <c r="E230" s="4" t="inlineStr">
        <is>
          <t>venue</t>
        </is>
      </c>
      <c r="F230" s="4" t="inlineStr">
        <is>
          <t>OK</t>
        </is>
      </c>
      <c r="G230" s="4" t="inlineStr">
        <is>
          <t>2026-09-23T14:30:52.320Z</t>
        </is>
      </c>
      <c r="H230" s="4" t="inlineStr">
        <is>
          <t>2026-09-23T14:30:55.242Z</t>
        </is>
      </c>
      <c r="I230" s="4" t="inlineStr">
        <is>
          <t>2026-09-23T14:30:58.857Z</t>
        </is>
      </c>
      <c r="J230" s="13" t="n">
        <v>0</v>
      </c>
      <c r="K230" s="19" t="n">
        <v>100</v>
      </c>
      <c r="L230" s="20" t="n"/>
      <c r="M230" s="4" t="n"/>
      <c r="N230" s="4" t="inlineStr">
        <is>
          <t>best_return_venue=Polymer (Standard); max_out=100.0</t>
        </is>
      </c>
      <c r="O230" s="4" t="inlineStr">
        <is>
          <t>https://jumper.xyz/?fromChain=8453&amp;fromToken=0x833589fcd6edb6e08f4c7c32d4f71b54bda02913&amp;toChain=1151111081099710&amp;toToken=EPjFWdd5AufqSSqeM2qN1xzybapC8G4wEGGkZwyTDt1v</t>
        </is>
      </c>
      <c r="P230" s="4" t="inlineStr">
        <is>
          <t>20260923T141817Z</t>
        </is>
      </c>
      <c r="Q230" s="4" t="inlineStr">
        <is>
          <t>2026-09-23T14:30:58.847Z</t>
        </is>
      </c>
      <c r="R230" s="4" t="inlineStr">
        <is>
          <t>2026-09-23T14:30:57.376Z</t>
        </is>
      </c>
      <c r="S230" s="13" t="n">
        <v>0.004</v>
      </c>
    </row>
    <row r="231">
      <c r="A231" s="4" t="inlineStr">
        <is>
          <t>8d7945ce786a</t>
        </is>
      </c>
      <c r="B231" s="4" t="inlineStr">
        <is>
          <t>Base-&gt;SOL</t>
        </is>
      </c>
      <c r="C231" s="4" t="n">
        <v>3</v>
      </c>
      <c r="D231" s="4" t="inlineStr">
        <is>
          <t>Across</t>
        </is>
      </c>
      <c r="E231" s="4" t="inlineStr">
        <is>
          <t>venue</t>
        </is>
      </c>
      <c r="F231" s="4" t="inlineStr">
        <is>
          <t>OK</t>
        </is>
      </c>
      <c r="G231" s="4" t="inlineStr">
        <is>
          <t>2026-09-23T14:30:52.313Z</t>
        </is>
      </c>
      <c r="H231" s="4" t="inlineStr">
        <is>
          <t>2026-09-23T14:30:54.093Z</t>
        </is>
      </c>
      <c r="I231" s="4" t="inlineStr">
        <is>
          <t>2026-09-23T14:30:58.855Z</t>
        </is>
      </c>
      <c r="J231" s="13" t="n">
        <v>0.002</v>
      </c>
      <c r="K231" s="19" t="n">
        <v>99.98699999999999</v>
      </c>
      <c r="L231" s="20" t="n"/>
      <c r="M231" s="4" t="n"/>
      <c r="N231" s="4" t="inlineStr"/>
      <c r="O231" s="4" t="inlineStr">
        <is>
          <t>https://across.to/?from=base&amp;to=solana&amp;inputToken=USDC&amp;outputToken=USDC</t>
        </is>
      </c>
      <c r="P231" s="4" t="inlineStr">
        <is>
          <t>20260923T141817Z</t>
        </is>
      </c>
      <c r="Q231" s="4" t="inlineStr">
        <is>
          <t>2026-09-23T14:30:58.845Z</t>
        </is>
      </c>
      <c r="R231" s="4" t="inlineStr">
        <is>
          <t>2026-09-23T14:30:56.343Z</t>
        </is>
      </c>
      <c r="S231" s="13" t="n">
        <v>0.004</v>
      </c>
    </row>
    <row r="232">
      <c r="A232" s="4" t="inlineStr">
        <is>
          <t>8d7945ce786a</t>
        </is>
      </c>
      <c r="B232" s="4" t="inlineStr">
        <is>
          <t>Base-&gt;SOL</t>
        </is>
      </c>
      <c r="C232" s="4" t="n">
        <v>3</v>
      </c>
      <c r="D232" s="4" t="inlineStr">
        <is>
          <t>Mayan</t>
        </is>
      </c>
      <c r="E232" s="4" t="inlineStr">
        <is>
          <t>venue</t>
        </is>
      </c>
      <c r="F232" s="4" t="inlineStr">
        <is>
          <t>OK</t>
        </is>
      </c>
      <c r="G232" s="4" t="inlineStr">
        <is>
          <t>2026-09-23T14:30:52.311Z</t>
        </is>
      </c>
      <c r="H232" s="4" t="inlineStr">
        <is>
          <t>2026-09-23T14:30:53.893Z</t>
        </is>
      </c>
      <c r="I232" s="4" t="inlineStr">
        <is>
          <t>2026-09-23T14:30:58.851Z</t>
        </is>
      </c>
      <c r="J232" s="13" t="n">
        <v>0.003</v>
      </c>
      <c r="K232" s="19" t="n">
        <v>99.688</v>
      </c>
      <c r="L232" s="20" t="n"/>
      <c r="M232" s="4" t="n"/>
      <c r="N232" s="4" t="inlineStr">
        <is>
          <t>mode=Swift v2; eta=3s; display_decimals=3</t>
        </is>
      </c>
      <c r="O232" s="4" t="inlineStr">
        <is>
          <t>https://swap.mayan.finance/</t>
        </is>
      </c>
      <c r="P232" s="4" t="inlineStr">
        <is>
          <t>20260923T141817Z</t>
        </is>
      </c>
      <c r="Q232" s="4" t="inlineStr">
        <is>
          <t>2026-09-23T14:30:58.844Z</t>
        </is>
      </c>
      <c r="R232" s="4" t="inlineStr">
        <is>
          <t>2026-09-23T14:30:56.070Z</t>
        </is>
      </c>
      <c r="S232" s="13" t="n">
        <v>0.004</v>
      </c>
    </row>
    <row r="233">
      <c r="A233" s="4" t="inlineStr">
        <is>
          <t>8d7945ce786a</t>
        </is>
      </c>
      <c r="B233" s="4" t="inlineStr">
        <is>
          <t>Base-&gt;SOL</t>
        </is>
      </c>
      <c r="C233" s="4" t="n">
        <v>3</v>
      </c>
      <c r="D233" s="4" t="inlineStr">
        <is>
          <t>Allbridge Core</t>
        </is>
      </c>
      <c r="E233" s="4" t="inlineStr">
        <is>
          <t>venue</t>
        </is>
      </c>
      <c r="F233" s="4" t="inlineStr">
        <is>
          <t>OK</t>
        </is>
      </c>
      <c r="G233" s="4" t="inlineStr">
        <is>
          <t>2026-09-23T14:30:52.318Z</t>
        </is>
      </c>
      <c r="H233" s="4" t="inlineStr">
        <is>
          <t>2026-09-23T14:30:54.116Z</t>
        </is>
      </c>
      <c r="I233" s="4" t="inlineStr">
        <is>
          <t>2026-09-23T14:30:59.705Z</t>
        </is>
      </c>
      <c r="J233" s="13" t="n">
        <v>0.002</v>
      </c>
      <c r="K233" s="19" t="n">
        <v>99.90000000000001</v>
      </c>
      <c r="L233" s="20" t="n">
        <v>0.000136</v>
      </c>
      <c r="M233" s="4" t="inlineStr">
        <is>
          <t>ETH (relayer fee, fee=native)</t>
        </is>
      </c>
      <c r="N233" s="4" t="inlineStr">
        <is>
          <t>out_input_box=99.9; out_details_2dp=99.9; fixed_fee_on_top=0.000136; fixed_fee_token=ETH (relayer fee, fee=native); transfer_fee=0.10 USDC; messenger=CCTP; eta=~24 min; display_decimals=1; picked=['USDC from Base', 'USDC to Solana']</t>
        </is>
      </c>
      <c r="O233" s="4" t="inlineStr">
        <is>
          <t>https://core.allbridge.io/?fee=native&amp;ft=USDC&amp;tt=USDC&amp;f=BAS&amp;t=SOL</t>
        </is>
      </c>
      <c r="P233" s="4" t="inlineStr">
        <is>
          <t>20260923T141817Z</t>
        </is>
      </c>
      <c r="Q233" s="4" t="inlineStr">
        <is>
          <t>2026-09-23T14:30:58.845Z</t>
        </is>
      </c>
      <c r="R233" s="4" t="inlineStr">
        <is>
          <t>2026-09-23T14:30:56.146Z</t>
        </is>
      </c>
      <c r="S233" s="13" t="n">
        <v>0.004</v>
      </c>
    </row>
    <row r="234">
      <c r="A234" s="4" t="inlineStr">
        <is>
          <t>8d7945ce786a</t>
        </is>
      </c>
      <c r="B234" s="4" t="inlineStr">
        <is>
          <t>Base-&gt;SOL</t>
        </is>
      </c>
      <c r="C234" s="4" t="n">
        <v>3</v>
      </c>
      <c r="D234" s="4" t="inlineStr">
        <is>
          <t>CCTP (via Portal)</t>
        </is>
      </c>
      <c r="E234" s="4" t="inlineStr">
        <is>
          <t>venue</t>
        </is>
      </c>
      <c r="F234" s="4" t="inlineStr">
        <is>
          <t>OK</t>
        </is>
      </c>
      <c r="G234" s="4" t="inlineStr">
        <is>
          <t>2026-09-23T14:30:52.321Z</t>
        </is>
      </c>
      <c r="H234" s="4" t="inlineStr">
        <is>
          <t>2026-09-23T14:30:56.711Z</t>
        </is>
      </c>
      <c r="I234" s="4" t="inlineStr">
        <is>
          <t>2026-09-23T14:30:58.864Z</t>
        </is>
      </c>
      <c r="J234" s="13" t="n">
        <v>0.003</v>
      </c>
      <c r="K234" s="19" t="n">
        <v>99.977001</v>
      </c>
      <c r="L234" s="20" t="n"/>
      <c r="M234" s="4" t="n"/>
      <c r="N234" s="4" t="inlineStr">
        <is>
          <t>venue_ui=CCTP via Portal (portalbridge.com/usdc-bridge); messenger=Circle CCTP; route_type=CCTPv2FastExecutorRoute; eta=8 sec; usd_value=99.98; price_impact=-0.02%; fixed_fee_note=executor/relayer fee not shown without a wallet; display_decimals=6</t>
        </is>
      </c>
      <c r="O234" s="4" t="inlineStr">
        <is>
          <t>https://portalbridge.com/usdc-bridge?fromChain=Base&amp;fromToken=USDC&amp;toChain=Solana&amp;toToken=USDC</t>
        </is>
      </c>
      <c r="P234" s="4" t="inlineStr">
        <is>
          <t>20260923T141817Z</t>
        </is>
      </c>
      <c r="Q234" s="4" t="inlineStr">
        <is>
          <t>2026-09-23T14:30:58.844Z</t>
        </is>
      </c>
      <c r="R234" s="4" t="inlineStr">
        <is>
          <t>2026-09-23T14:30:58.844Z</t>
        </is>
      </c>
      <c r="S234" s="13" t="n">
        <v>0.004</v>
      </c>
    </row>
    <row r="235">
      <c r="A235" s="4" t="inlineStr">
        <is>
          <t>8d7945ce786a</t>
        </is>
      </c>
      <c r="B235" s="4" t="inlineStr">
        <is>
          <t>Base-&gt;SOL</t>
        </is>
      </c>
      <c r="C235" s="4" t="n">
        <v>3</v>
      </c>
      <c r="D235" s="4" t="inlineStr">
        <is>
          <t>Husher</t>
        </is>
      </c>
      <c r="E235" s="4" t="inlineStr">
        <is>
          <t>venue</t>
        </is>
      </c>
      <c r="F235" s="4" t="inlineStr">
        <is>
          <t>OK</t>
        </is>
      </c>
      <c r="G235" s="4" t="inlineStr">
        <is>
          <t>2026-09-23T14:30:52.322Z</t>
        </is>
      </c>
      <c r="H235" s="4" t="inlineStr">
        <is>
          <t>2026-09-23T14:30:54.101Z</t>
        </is>
      </c>
      <c r="I235" s="4" t="inlineStr">
        <is>
          <t>2026-09-23T14:30:58.866Z</t>
        </is>
      </c>
      <c r="J235" s="13" t="n">
        <v>0.002</v>
      </c>
      <c r="K235" s="19" t="n">
        <v>99.34999999999999</v>
      </c>
      <c r="L235" s="20" t="n"/>
      <c r="M235" s="4" t="n"/>
      <c r="N235" s="4" t="inlineStr">
        <is>
          <t>out_usd=$99.37; provider=Husher (Best Rate); rate_type=floating; fee_deducted=0.35; network_fee_deducted=0.3; api_receive=99.35000000; eta_s=40; display_decimals=2</t>
        </is>
      </c>
      <c r="O235" s="4" t="inlineStr">
        <is>
          <t>https://www.husher.io/</t>
        </is>
      </c>
      <c r="P235" s="4" t="inlineStr">
        <is>
          <t>20260923T141817Z</t>
        </is>
      </c>
      <c r="Q235" s="4" t="inlineStr">
        <is>
          <t>2026-09-23T14:30:58.845Z</t>
        </is>
      </c>
      <c r="R235" s="4" t="inlineStr">
        <is>
          <t>2026-09-23T14:30:56.353Z</t>
        </is>
      </c>
      <c r="S235" s="13" t="n">
        <v>0.004</v>
      </c>
    </row>
    <row r="236">
      <c r="A236" s="4" t="inlineStr">
        <is>
          <t>8d7945ce786a</t>
        </is>
      </c>
      <c r="B236" s="4" t="inlineStr">
        <is>
          <t>Base-&gt;SOL</t>
        </is>
      </c>
      <c r="C236" s="4" t="n">
        <v>3</v>
      </c>
      <c r="D236" s="4" t="inlineStr">
        <is>
          <t>Layerswap</t>
        </is>
      </c>
      <c r="E236" s="4" t="inlineStr">
        <is>
          <t>venue</t>
        </is>
      </c>
      <c r="F236" s="4" t="inlineStr">
        <is>
          <t>OK</t>
        </is>
      </c>
      <c r="G236" s="4" t="inlineStr">
        <is>
          <t>2026-09-23T14:30:52.312Z</t>
        </is>
      </c>
      <c r="H236" s="4" t="inlineStr">
        <is>
          <t>2026-09-23T14:30:55.025Z</t>
        </is>
      </c>
      <c r="I236" s="4" t="inlineStr">
        <is>
          <t>2026-09-23T14:30:58.882Z</t>
        </is>
      </c>
      <c r="J236" s="13" t="n">
        <v>0.001</v>
      </c>
      <c r="K236" s="19" t="n">
        <v>99.68316299999999</v>
      </c>
      <c r="L236" s="20" t="n"/>
      <c r="M236" s="4" t="n"/>
      <c r="N236" s="4" t="inlineStr">
        <is>
          <t>out_usd=$99.66; fee_usd=0.32; slippage=0.00%; eta=22 secs; to_token=USDC; to_chain=Solana; display_decimals=6</t>
        </is>
      </c>
      <c r="O236" s="4" t="inlineStr">
        <is>
          <t>https://layerswap.io/app?from=BASE_MAINNET&amp;to=SOLANA_MAINNET&amp;fromAsset=USDC&amp;toAsset=USDC</t>
        </is>
      </c>
      <c r="P236" s="4" t="inlineStr">
        <is>
          <t>20260923T141817Z</t>
        </is>
      </c>
      <c r="Q236" s="4" t="inlineStr">
        <is>
          <t>2026-09-23T14:30:58.846Z</t>
        </is>
      </c>
      <c r="R236" s="4" t="inlineStr">
        <is>
          <t>2026-09-23T14:30:57.185Z</t>
        </is>
      </c>
      <c r="S236" s="13" t="n">
        <v>0.004</v>
      </c>
    </row>
    <row r="237">
      <c r="A237" s="4" t="inlineStr">
        <is>
          <t>8d7945ce786a</t>
        </is>
      </c>
      <c r="B237" s="4" t="inlineStr">
        <is>
          <t>Base-&gt;SOL</t>
        </is>
      </c>
      <c r="C237" s="4" t="n">
        <v>3</v>
      </c>
      <c r="D237" s="4" t="inlineStr">
        <is>
          <t>Meson</t>
        </is>
      </c>
      <c r="E237" s="4" t="inlineStr">
        <is>
          <t>venue</t>
        </is>
      </c>
      <c r="F237" s="4" t="inlineStr">
        <is>
          <t>OK</t>
        </is>
      </c>
      <c r="G237" s="4" t="inlineStr">
        <is>
          <t>2026-09-23T14:30:52.322Z</t>
        </is>
      </c>
      <c r="H237" s="4" t="inlineStr">
        <is>
          <t>2026-09-23T14:30:53.187Z</t>
        </is>
      </c>
      <c r="I237" s="4" t="inlineStr">
        <is>
          <t>2026-09-23T14:30:58.856Z</t>
        </is>
      </c>
      <c r="J237" s="13" t="n">
        <v>0.003</v>
      </c>
      <c r="K237" s="19" t="n">
        <v>99.59999999999999</v>
      </c>
      <c r="L237" s="20" t="n">
        <v>0</v>
      </c>
      <c r="M237" s="4" t="n"/>
      <c r="N237" s="4" t="inlineStr">
        <is>
          <t>fees_deducted=[['Fee', 0.4, 'USDC']]; fee_total=0.4; fixed_fee_on_top=0.0; display_decimals=1</t>
        </is>
      </c>
      <c r="O237" s="4" t="inlineStr">
        <is>
          <t>https://meson.fi/swap</t>
        </is>
      </c>
      <c r="P237" s="4" t="inlineStr">
        <is>
          <t>20260923T141817Z</t>
        </is>
      </c>
      <c r="Q237" s="4" t="inlineStr">
        <is>
          <t>2026-09-23T14:30:58.844Z</t>
        </is>
      </c>
      <c r="R237" s="4" t="inlineStr">
        <is>
          <t>2026-09-23T14:30:55.438Z</t>
        </is>
      </c>
      <c r="S237" s="13" t="n">
        <v>0.004</v>
      </c>
    </row>
    <row r="238">
      <c r="A238" s="4" t="inlineStr">
        <is>
          <t>8d7945ce786a</t>
        </is>
      </c>
      <c r="B238" s="4" t="inlineStr">
        <is>
          <t>Base-&gt;SOL</t>
        </is>
      </c>
      <c r="C238" s="4" t="n">
        <v>3</v>
      </c>
      <c r="D238" s="4" t="inlineStr">
        <is>
          <t>OpenSea</t>
        </is>
      </c>
      <c r="E238" s="4" t="inlineStr">
        <is>
          <t>platform</t>
        </is>
      </c>
      <c r="F238" s="4" t="inlineStr">
        <is>
          <t>OK</t>
        </is>
      </c>
      <c r="G238" s="4" t="inlineStr">
        <is>
          <t>2026-09-23T14:30:52.319Z</t>
        </is>
      </c>
      <c r="H238" s="4" t="inlineStr">
        <is>
          <t>2026-09-23T14:30:55.930Z</t>
        </is>
      </c>
      <c r="I238" s="4" t="inlineStr">
        <is>
          <t>2026-09-23T14:30:58.887Z</t>
        </is>
      </c>
      <c r="J238" s="13" t="n">
        <v>0.001</v>
      </c>
      <c r="K238" s="19" t="n">
        <v>99.7452</v>
      </c>
      <c r="L238" s="20" t="n">
        <v>0.02</v>
      </c>
      <c r="M238" s="4" t="inlineStr">
        <is>
          <t>native (gas, USD shown)</t>
        </is>
      </c>
      <c r="N238" s="4" t="inlineStr">
        <is>
          <t>out_usd=$99.72; provider=Relay; fee_total_usd=0.25; provider_fee_usd=0.22; provider_fee_pct=0.22%; provider_fee_deducted=True; opensea_fee_usd=0.0; opensea_fee_pct=0%; gas_fee_usd=0.02; gas_fee_display=$0.02; fixed_fee_on_top=0.02; fixed_fee_token=native (gas, USD shown); price_impact=(-$0.03) -0.03</t>
        </is>
      </c>
      <c r="O238" s="4" t="inlineStr">
        <is>
          <t>https://opensea.io/swap?fromChain=base&amp;fromAddress=0x833589fcd6edb6e08f4c7c32d4f71b54bda02913&amp;toChain=solana&amp;toAddress=EPjFWdd5AufqSSqeM2qN1xzybapC8G4wEGGkZwyTDt1v</t>
        </is>
      </c>
      <c r="P238" s="4" t="inlineStr">
        <is>
          <t>20260923T141817Z</t>
        </is>
      </c>
      <c r="Q238" s="4" t="inlineStr">
        <is>
          <t>2026-09-23T14:30:58.848Z</t>
        </is>
      </c>
      <c r="R238" s="4" t="inlineStr">
        <is>
          <t>2026-09-23T14:30:58.096Z</t>
        </is>
      </c>
      <c r="S238" s="13" t="n">
        <v>0.004</v>
      </c>
    </row>
    <row r="239">
      <c r="A239" s="4" t="inlineStr">
        <is>
          <t>8d7945ce786a</t>
        </is>
      </c>
      <c r="B239" s="4" t="inlineStr">
        <is>
          <t>Base-&gt;SOL</t>
        </is>
      </c>
      <c r="C239" s="4" t="n">
        <v>3</v>
      </c>
      <c r="D239" s="4" t="inlineStr">
        <is>
          <t>SimpleSwap</t>
        </is>
      </c>
      <c r="E239" s="4" t="inlineStr">
        <is>
          <t>venue</t>
        </is>
      </c>
      <c r="F239" s="4" t="inlineStr">
        <is>
          <t>OK</t>
        </is>
      </c>
      <c r="G239" s="4" t="inlineStr">
        <is>
          <t>2026-09-23T14:30:52.323Z</t>
        </is>
      </c>
      <c r="H239" s="4" t="inlineStr">
        <is>
          <t>2026-09-23T14:30:55.301Z</t>
        </is>
      </c>
      <c r="I239" s="4" t="inlineStr">
        <is>
          <t>2026-09-23T14:30:59.153Z</t>
        </is>
      </c>
      <c r="J239" s="13" t="n">
        <v>0</v>
      </c>
      <c r="K239" s="19" t="n">
        <v>98.48504</v>
      </c>
      <c r="L239" s="20" t="n">
        <v>0</v>
      </c>
      <c r="M239" s="4" t="inlineStr">
        <is>
          <t>USDC</t>
        </is>
      </c>
      <c r="N239" s="4" t="inlineStr">
        <is>
          <t>best_card_out=98.48504; selected_card=Best rate / Decentralized; rate_type=floating; fixed_fee_on_top=0.0; fixed_fee_token=USDC; display_decimals=5; small_sum_warning=False</t>
        </is>
      </c>
      <c r="O239" s="4" t="inlineStr">
        <is>
          <t>https://simpleswap.io/?from=usdc-base&amp;to=usdc-sol</t>
        </is>
      </c>
      <c r="P239" s="4" t="inlineStr">
        <is>
          <t>20260923T141817Z</t>
        </is>
      </c>
      <c r="Q239" s="4" t="inlineStr">
        <is>
          <t>2026-09-23T14:30:58.847Z</t>
        </is>
      </c>
      <c r="R239" s="4" t="inlineStr">
        <is>
          <t>2026-09-23T14:30:57.538Z</t>
        </is>
      </c>
      <c r="S239" s="13" t="n">
        <v>0.004</v>
      </c>
    </row>
    <row r="240">
      <c r="A240" s="4" t="inlineStr">
        <is>
          <t>8d7945ce786a</t>
        </is>
      </c>
      <c r="B240" s="4" t="inlineStr">
        <is>
          <t>Base-&gt;SOL</t>
        </is>
      </c>
      <c r="C240" s="4" t="n">
        <v>3</v>
      </c>
      <c r="D240" s="4" t="inlineStr">
        <is>
          <t>Skip Go</t>
        </is>
      </c>
      <c r="E240" s="4" t="inlineStr">
        <is>
          <t>venue</t>
        </is>
      </c>
      <c r="F240" s="4" t="inlineStr">
        <is>
          <t>OK</t>
        </is>
      </c>
      <c r="G240" s="4" t="inlineStr">
        <is>
          <t>2026-09-23T14:30:52.316Z</t>
        </is>
      </c>
      <c r="H240" s="4" t="inlineStr">
        <is>
          <t>2026-09-23T14:30:54.987Z</t>
        </is>
      </c>
      <c r="I240" s="4" t="inlineStr">
        <is>
          <t>2026-09-23T14:30:58.873Z</t>
        </is>
      </c>
      <c r="J240" s="13" t="n">
        <v>0.001</v>
      </c>
      <c r="K240" s="19" t="n">
        <v>99.72427</v>
      </c>
      <c r="L240" s="20" t="n"/>
      <c r="M240" s="4" t="n"/>
      <c r="N240" s="4" t="inlineStr">
        <is>
          <t>fees_usd_in_quote=0.28; eta=2 mins; usd_values=['99.98', '99.70']; display_decimals=5</t>
        </is>
      </c>
      <c r="O240" s="4" t="inlineStr">
        <is>
          <t>https://go.skip.build/?src_chain=8453&amp;src_asset=0x833589fcd6edb6e08f4c7c32d4f71b54bda02913&amp;dest_chain=solana&amp;dest_asset=EPjFWdd5AufqSSqeM2qN1xzybapC8G4wEGGkZwyTDt1v</t>
        </is>
      </c>
      <c r="P240" s="4" t="inlineStr">
        <is>
          <t>20260923T141817Z</t>
        </is>
      </c>
      <c r="Q240" s="4" t="inlineStr">
        <is>
          <t>2026-09-23T14:30:58.846Z</t>
        </is>
      </c>
      <c r="R240" s="4" t="inlineStr">
        <is>
          <t>2026-09-23T14:30:57.138Z</t>
        </is>
      </c>
      <c r="S240" s="13" t="n">
        <v>0.004</v>
      </c>
    </row>
    <row r="241">
      <c r="A241" s="4" t="inlineStr">
        <is>
          <t>8d7945ce786a</t>
        </is>
      </c>
      <c r="B241" s="4" t="inlineStr">
        <is>
          <t>Base-&gt;SOL</t>
        </is>
      </c>
      <c r="C241" s="4" t="n">
        <v>3</v>
      </c>
      <c r="D241" s="4" t="inlineStr">
        <is>
          <t>Symbiosis</t>
        </is>
      </c>
      <c r="E241" s="4" t="inlineStr">
        <is>
          <t>venue</t>
        </is>
      </c>
      <c r="F241" s="4" t="inlineStr">
        <is>
          <t>OK</t>
        </is>
      </c>
      <c r="G241" s="4" t="inlineStr">
        <is>
          <t>2026-09-23T14:30:52.315Z</t>
        </is>
      </c>
      <c r="H241" s="4" t="inlineStr">
        <is>
          <t>2026-09-23T14:30:55.931Z</t>
        </is>
      </c>
      <c r="I241" s="4" t="inlineStr">
        <is>
          <t>2026-09-23T14:30:58.885Z</t>
        </is>
      </c>
      <c r="J241" s="13" t="n">
        <v>0</v>
      </c>
      <c r="K241" s="19" t="n">
        <v>98.363803</v>
      </c>
      <c r="L241" s="20" t="n">
        <v>0</v>
      </c>
      <c r="M241" s="4" t="n"/>
      <c r="N241" s="4" t="inlineStr">
        <is>
          <t>min_received=97.8719; fee_usd_deducted=1.52; eta=2 - 3 Min; price_impact=-0.05%; slippage=2%; route=Swap on Base; fixed_fee_on_top=0.0; display_decimals=6</t>
        </is>
      </c>
      <c r="O241" s="4" t="inlineStr">
        <is>
          <t>https://app.symbiosis.finance/swap?chainIn=Base&amp;chainOut=Solana&amp;tokenIn=0x833589fcd6edb6e08f4c7c32d4f71b54bda02913&amp;tokenOut=0x0000000000000000000000000000000000000003</t>
        </is>
      </c>
      <c r="P241" s="4" t="inlineStr">
        <is>
          <t>20260923T141817Z</t>
        </is>
      </c>
      <c r="Q241" s="4" t="inlineStr">
        <is>
          <t>2026-09-23T14:30:58.847Z</t>
        </is>
      </c>
      <c r="R241" s="4" t="inlineStr">
        <is>
          <t>2026-09-23T14:30:58.095Z</t>
        </is>
      </c>
      <c r="S241" s="13" t="n">
        <v>0.004</v>
      </c>
    </row>
    <row r="243">
      <c r="A243" s="2" t="inlineStr">
        <is>
          <t>Append-only record from runner.py (data/raw_quotes.jsonl). Blue = observed values read from each site's UI. Times are UTC with milliseconds. 'Value read at' is when the compared value was read — all sites in a run read at the same moment (snapshot barrier); Δ read = |value read − Bridg's value read| in that run.</t>
        </is>
      </c>
    </row>
  </sheetData>
  <autoFilter ref="A1:S2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55" customWidth="1" min="3" max="3"/>
    <col width="120" customWidth="1" min="4" max="4"/>
  </cols>
  <sheetData>
    <row r="1" ht="30" customHeight="1">
      <c r="A1" s="18" t="inlineStr">
        <is>
          <t>#</t>
        </is>
      </c>
      <c r="B1" s="18" t="inlineStr">
        <is>
          <t>Severity</t>
        </is>
      </c>
      <c r="C1" s="18" t="inlineStr">
        <is>
          <t>Finding</t>
        </is>
      </c>
      <c r="D1" s="18" t="inlineStr">
        <is>
          <t>Detail</t>
        </is>
      </c>
    </row>
    <row r="2">
      <c r="A2" s="4" t="n">
        <v>1</v>
      </c>
      <c r="B2" s="4" t="inlineStr">
        <is>
          <t>serious</t>
        </is>
      </c>
      <c r="C2" s="24" t="inlineStr">
        <is>
          <t>Relay priced ~20 bps below relay.link on every EVM → Solana route</t>
        </is>
      </c>
      <c r="D2" s="23" t="inlineStr">
        <is>
          <t>ETH→SOL, BSC→SOL, Base→SOL: −19.9 to −20.0 bps in every sample after adding back Bridg's 5 bps (~0.20 USDC more 'Relay fee'). SOL→ETH was −25 bps this campaign (Ethereum gas was elevated); SOL→BSC and SOL→Base match. Hypothesis (unverified): Bridg's quote includes Solana USDC token-account rent that relay.link omits when no recipient wallet is set.</t>
        </is>
      </c>
    </row>
    <row r="3">
      <c r="A3" s="4" t="n">
        <v>2</v>
      </c>
      <c r="B3" s="4" t="inlineStr">
        <is>
          <t>serious</t>
        </is>
      </c>
      <c r="C3" s="24" t="inlineStr">
        <is>
          <t>LI.FI and SimpleSwap rows are far below their own sites</t>
        </is>
      </c>
      <c r="D3" s="23" t="inlineStr">
        <is>
          <t>LI.FI: 15–96 bps below jumper.exchange's Best Return on every route. SimpleSwap: 48–272 bps below simpleswap.io's default floating 'Best rate'. Hypothesis (unverified): a different route/rate type or an integrator fee in Bridg's requests.</t>
        </is>
      </c>
    </row>
    <row r="4">
      <c r="A4" s="4" t="n">
        <v>3</v>
      </c>
      <c r="B4" s="4" t="inlineStr">
        <is>
          <t>serious</t>
        </is>
      </c>
      <c r="C4" s="24" t="inlineStr">
        <is>
          <t>Meson, Husher and Allbridge rows look like flat estimates, not live quotes</t>
        </is>
      </c>
      <c r="D4" s="23" t="inlineStr">
        <is>
          <t>Bridg shows exactly 99.9 or 99.5 minus its own fee on every sample (99.85005 / 99.45025; 99.75015 on SOL→ETH where Bridg's fee tier was 15 bps). When Ethereum gas rose, Meson's own site dropped to 98.56 on SOL→ETH while Bridg still showed 99.75 (+134 bps). Husher's own site is 15–25 bps lower than Bridg's row. Allbridge matches only because its site also shows a flat 99.90.</t>
        </is>
      </c>
    </row>
    <row r="5">
      <c r="A5" s="4" t="n">
        <v>4</v>
      </c>
      <c r="B5" s="4" t="inlineStr">
        <is>
          <t>serious</t>
        </is>
      </c>
      <c r="C5" s="24" t="inlineStr">
        <is>
          <t>Bridg lists venues whose own site can't quote these routes</t>
        </is>
      </c>
      <c r="D5" s="23" t="inlineStr">
        <is>
          <t>Rhino.fi (Bridg's best price on SOL→BSC) — retail app shut down Aug 2026. Eco — its portal has no Solana or BNB Chain, yet Bridg lists Eco on SOL↔ETH/Base. NEAR Intents — public app moved behind a login.</t>
        </is>
      </c>
    </row>
    <row r="6">
      <c r="A6" s="4" t="n">
        <v>5</v>
      </c>
      <c r="B6" s="4" t="inlineStr">
        <is>
          <t>serious</t>
        </is>
      </c>
      <c r="C6" s="24" t="inlineStr">
        <is>
          <t>Across missing from Bridg on 4 of 6 routes</t>
        </is>
      </c>
      <c r="D6" s="23" t="inlineStr">
        <is>
          <t>Not listed on ETH→SOL, BSC→SOL, Base→SOL or SOL→BSC although across.to quotes 99.98–99.99. Where listed (SOL→ETH, SOL→Base) it matches exactly net of Bridg's fee and is Bridg's best price.</t>
        </is>
      </c>
    </row>
    <row r="7">
      <c r="A7" s="4" t="n">
        <v>6</v>
      </c>
      <c r="B7" s="4" t="inlineStr">
        <is>
          <t>info</t>
        </is>
      </c>
      <c r="C7" s="24" t="inlineStr">
        <is>
          <t>Competitor platforms: Bridg beats OpenSea; the rest can't be quoted</t>
        </is>
      </c>
      <c r="D7" s="23" t="inlineStr">
        <is>
          <t>OpenSea swap (Relay; LI.FI on SOL→Base; 0% OpenSea fee promo) pays 89 bps less than Bridg's best on SOL→ETH, ~10 bps less on ETH→SOL and Base→SOL, ~1 bp less on SOL→Base; no BNB Chain. Signed in (by the user) and re-checked: Axiom has a cross-chain Convert, but the amount is capped at the wallet balance, so 100 USDC can't be priced unfunded (deposit fees shown only at its $2–3 minimum). GMGN's Convert needs 2FA plus a 3-hour lock; its deposits are Solana-only. Pump.fun's web deposit is Solana-only. FOMO pools deposits from 7 chains into one USD balance with no quote.</t>
        </is>
      </c>
    </row>
    <row r="8">
      <c r="A8" s="4" t="n">
        <v>7</v>
      </c>
      <c r="B8" s="4" t="inlineStr">
        <is>
          <t>warning</t>
        </is>
      </c>
      <c r="C8" s="24" t="inlineStr">
        <is>
          <t>Layerswap 3–13.5 bps below layerswap.io</t>
        </is>
      </c>
      <c r="D8" s="23" t="inlineStr">
        <is>
          <t>Identical across samples: −13.4/−13.5 bps on Solana-source routes, −3.2 to −7.9 bps into Solana.</t>
        </is>
      </c>
    </row>
    <row r="9">
      <c r="A9" s="4" t="n">
        <v>8</v>
      </c>
      <c r="B9" s="4" t="inlineStr">
        <is>
          <t>warning</t>
        </is>
      </c>
      <c r="C9" s="24" t="inlineStr">
        <is>
          <t>CCTP gap is a comparison limit, not a verdict</t>
        </is>
      </c>
      <c r="D9" s="23" t="inlineStr">
        <is>
          <t>Circle's own bridge has no Solana, so CCTP is read from Portal (Wormhole), which hides its executor fee until a wallet connects. Portal's 99.99 is before that fee; Bridg's CCTP row (96.52 on SOL→ETH, −332 bps this campaign) likely includes Ethereum destination gas. Into Solana the gap is −14 to −15 bps.</t>
        </is>
      </c>
    </row>
    <row r="10">
      <c r="A10" s="4" t="n">
        <v>9</v>
      </c>
      <c r="B10" s="4" t="inlineStr">
        <is>
          <t>warning</t>
        </is>
      </c>
      <c r="C10" s="24" t="inlineStr">
        <is>
          <t>Bridg's fee isn't applied to every venue; deBridge's fixed fee jumps around</t>
        </is>
      </c>
      <c r="D10" s="23" t="inlineStr">
        <is>
          <t>deBridge, Symbiosis and Mayan (ETH→SOL) match their own sites before adding back Bridg's 5 bps — Bridg appears not to take its fee on those rows. deBridge's own site adds a fixed fee on top of the input that changed a lot between loads (it's compared as out − fee), so some deBridge gaps swing widely.</t>
        </is>
      </c>
    </row>
    <row r="11">
      <c r="A11" s="4" t="n">
        <v>10</v>
      </c>
      <c r="B11" s="4" t="inlineStr">
        <is>
          <t>info</t>
        </is>
      </c>
      <c r="C11" s="24" t="inlineStr">
        <is>
          <t>Matches</t>
        </is>
      </c>
      <c r="D11" s="23" t="inlineStr">
        <is>
          <t>Across where listed (0.0), Allbridge Core (0.0), Skip Go (+1.2 to +1.6; volatile on SOL→ETH), Mayan on most routes, and Relay on SOL→BSC/SOL→Base match their own sites net of Bridg's fee.</t>
        </is>
      </c>
    </row>
    <row r="12">
      <c r="A12" s="4" t="n">
        <v>11</v>
      </c>
      <c r="B12" s="4" t="inlineStr">
        <is>
          <t>info</t>
        </is>
      </c>
      <c r="C12" s="24" t="inlineStr">
        <is>
          <t>Timing: one campaign, values read within 10 ms</t>
        </is>
      </c>
      <c r="D12" s="23" t="inlineStr">
        <is>
          <t>Everything on this page comes from one campaign (14:18:34–14:30:59 UTC). In each run all sites got '100' typed at the same instant and read the compared value at the same instant (second barrier): worst spread 10 ms. Earlier sessions (kept in the raw file) compared values read up to 5.8 s apart and are excluded.</t>
        </is>
      </c>
    </row>
    <row r="13">
      <c r="A13" s="4" t="n">
        <v>12</v>
      </c>
      <c r="B13" s="4" t="inlineStr">
        <is>
          <t>info</t>
        </is>
      </c>
      <c r="C13" s="24" t="inlineStr">
        <is>
          <t>Display quirks</t>
        </is>
      </c>
      <c r="D13" s="23" t="inlineStr">
        <is>
          <t>Mayan, Meson and Husher show only 1–4 decimals. Allbridge charges a relayer fee on top in SOL/ETH (not converted). SimpleSwap returned no quote in 2 runs. In an earlier session Jumper once displayed 120.36 USDC out for 100 in. BSC 'USDC' is Binance-Peg USDC (18 dp, bridged) on every site.</t>
        </is>
      </c>
    </row>
    <row r="16">
      <c r="A16" s="3" t="inlineStr">
        <is>
          <t>Runs where a site returned no quote (kept in Raw Quotes)</t>
        </is>
      </c>
    </row>
    <row r="17">
      <c r="B17" s="4" t="inlineStr">
        <is>
          <t>NO_QUOTE</t>
        </is>
      </c>
      <c r="C17" s="4" t="inlineStr">
        <is>
          <t>SimpleSwap · ETH → SOL · sample 2</t>
        </is>
      </c>
      <c r="D17" s="4" t="inlineStr"/>
    </row>
    <row r="18">
      <c r="B18" s="4" t="inlineStr">
        <is>
          <t>NO_QUOTE</t>
        </is>
      </c>
      <c r="C18" s="4" t="inlineStr">
        <is>
          <t>SimpleSwap · SOL → BSC · sample 3</t>
        </is>
      </c>
      <c r="D18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Bridg Competitive Benchmark — one-pager</t>
        </is>
      </c>
    </row>
    <row r="2">
      <c r="A2" s="2">
        <f>Dashboard!A2</f>
        <v/>
      </c>
    </row>
    <row r="4">
      <c r="A4" s="3" t="inlineStr">
        <is>
          <t>Headline</t>
        </is>
      </c>
    </row>
    <row r="5">
      <c r="A5" s="9">
        <f>Dashboard!A5</f>
        <v/>
      </c>
      <c r="B5" s="25">
        <f>Dashboard!B5</f>
        <v/>
      </c>
    </row>
    <row r="6">
      <c r="A6" s="9">
        <f>Dashboard!A6</f>
        <v/>
      </c>
      <c r="B6" s="25">
        <f>Dashboard!B6</f>
        <v/>
      </c>
    </row>
    <row r="7">
      <c r="A7" s="9">
        <f>Dashboard!A7</f>
        <v/>
      </c>
      <c r="B7" s="25">
        <f>Dashboard!B7</f>
        <v/>
      </c>
    </row>
    <row r="8">
      <c r="A8" s="9">
        <f>Dashboard!A8</f>
        <v/>
      </c>
      <c r="B8" s="25">
        <f>Dashboard!B8</f>
        <v/>
      </c>
    </row>
    <row r="9">
      <c r="A9" s="9">
        <f>Dashboard!A9</f>
        <v/>
      </c>
      <c r="B9" s="25">
        <f>Dashboard!B9</f>
        <v/>
      </c>
    </row>
    <row r="10">
      <c r="A10" s="9">
        <f>Dashboard!A10</f>
        <v/>
      </c>
      <c r="B10" s="26">
        <f>Dashboard!B10</f>
        <v/>
      </c>
    </row>
    <row r="11">
      <c r="A11" s="9">
        <f>Dashboard!A11</f>
        <v/>
      </c>
      <c r="B11" s="25">
        <f>Dashboard!B11</f>
        <v/>
      </c>
    </row>
    <row r="12">
      <c r="A12" s="9">
        <f>Dashboard!A12</f>
        <v/>
      </c>
      <c r="B12" s="25">
        <f>Dashboard!B12</f>
        <v/>
      </c>
    </row>
    <row r="13">
      <c r="A13" s="9">
        <f>Dashboard!A13</f>
        <v/>
      </c>
      <c r="B13" s="25">
        <f>Dashboard!B13</f>
        <v/>
      </c>
    </row>
    <row r="14">
      <c r="A14" s="9">
        <f>Dashboard!A14</f>
        <v/>
      </c>
      <c r="B14" s="25">
        <f>Dashboard!B14</f>
        <v/>
      </c>
    </row>
    <row r="16">
      <c r="A16" s="3" t="inlineStr">
        <is>
          <t>Route winners</t>
        </is>
      </c>
    </row>
    <row r="17">
      <c r="A17" s="15">
        <f>Dashboard!A18</f>
        <v/>
      </c>
      <c r="B17" s="15">
        <f>Dashboard!B18</f>
        <v/>
      </c>
      <c r="C17" s="15">
        <f>Dashboard!C18</f>
        <v/>
      </c>
      <c r="D17" s="15">
        <f>Dashboard!D18</f>
        <v/>
      </c>
      <c r="E17" s="15">
        <f>Dashboard!E18</f>
        <v/>
      </c>
      <c r="F17" s="15">
        <f>Dashboard!F18</f>
        <v/>
      </c>
      <c r="G17" s="15">
        <f>Dashboard!G18</f>
        <v/>
      </c>
    </row>
    <row r="18">
      <c r="A18" s="9">
        <f>Dashboard!A19</f>
        <v/>
      </c>
      <c r="B18" s="10">
        <f>Dashboard!B19</f>
        <v/>
      </c>
      <c r="C18" s="10">
        <f>Dashboard!C19</f>
        <v/>
      </c>
      <c r="D18" s="9">
        <f>Dashboard!D19</f>
        <v/>
      </c>
      <c r="E18" s="11">
        <f>Dashboard!E19</f>
        <v/>
      </c>
      <c r="F18" s="9">
        <f>Dashboard!F19</f>
        <v/>
      </c>
      <c r="G18" s="9">
        <f>Dashboard!G19</f>
        <v/>
      </c>
    </row>
    <row r="19">
      <c r="A19" s="9">
        <f>Dashboard!A20</f>
        <v/>
      </c>
      <c r="B19" s="10">
        <f>Dashboard!B20</f>
        <v/>
      </c>
      <c r="C19" s="10">
        <f>Dashboard!C20</f>
        <v/>
      </c>
      <c r="D19" s="9">
        <f>Dashboard!D20</f>
        <v/>
      </c>
      <c r="E19" s="11">
        <f>Dashboard!E20</f>
        <v/>
      </c>
      <c r="F19" s="9">
        <f>Dashboard!F20</f>
        <v/>
      </c>
      <c r="G19" s="9">
        <f>Dashboard!G20</f>
        <v/>
      </c>
    </row>
    <row r="20">
      <c r="A20" s="9">
        <f>Dashboard!A21</f>
        <v/>
      </c>
      <c r="B20" s="10">
        <f>Dashboard!B21</f>
        <v/>
      </c>
      <c r="C20" s="10">
        <f>Dashboard!C21</f>
        <v/>
      </c>
      <c r="D20" s="9">
        <f>Dashboard!D21</f>
        <v/>
      </c>
      <c r="E20" s="11">
        <f>Dashboard!E21</f>
        <v/>
      </c>
      <c r="F20" s="9">
        <f>Dashboard!F21</f>
        <v/>
      </c>
      <c r="G20" s="9">
        <f>Dashboard!G21</f>
        <v/>
      </c>
    </row>
    <row r="21">
      <c r="A21" s="9">
        <f>Dashboard!A22</f>
        <v/>
      </c>
      <c r="B21" s="10">
        <f>Dashboard!B22</f>
        <v/>
      </c>
      <c r="C21" s="10">
        <f>Dashboard!C22</f>
        <v/>
      </c>
      <c r="D21" s="9">
        <f>Dashboard!D22</f>
        <v/>
      </c>
      <c r="E21" s="11">
        <f>Dashboard!E22</f>
        <v/>
      </c>
      <c r="F21" s="9">
        <f>Dashboard!F22</f>
        <v/>
      </c>
      <c r="G21" s="9">
        <f>Dashboard!G22</f>
        <v/>
      </c>
    </row>
    <row r="22">
      <c r="A22" s="9">
        <f>Dashboard!A23</f>
        <v/>
      </c>
      <c r="B22" s="10">
        <f>Dashboard!B23</f>
        <v/>
      </c>
      <c r="C22" s="10">
        <f>Dashboard!C23</f>
        <v/>
      </c>
      <c r="D22" s="9">
        <f>Dashboard!D23</f>
        <v/>
      </c>
      <c r="E22" s="11">
        <f>Dashboard!E23</f>
        <v/>
      </c>
      <c r="F22" s="9">
        <f>Dashboard!F23</f>
        <v/>
      </c>
      <c r="G22" s="9">
        <f>Dashboard!G23</f>
        <v/>
      </c>
    </row>
    <row r="23">
      <c r="A23" s="9">
        <f>Dashboard!A24</f>
        <v/>
      </c>
      <c r="B23" s="10">
        <f>Dashboard!B24</f>
        <v/>
      </c>
      <c r="C23" s="10">
        <f>Dashboard!C24</f>
        <v/>
      </c>
      <c r="D23" s="9">
        <f>Dashboard!D24</f>
        <v/>
      </c>
      <c r="E23" s="11">
        <f>Dashboard!E24</f>
        <v/>
      </c>
      <c r="F23" s="9">
        <f>Dashboard!F24</f>
        <v/>
      </c>
      <c r="G23" s="9">
        <f>Dashboard!G24</f>
        <v/>
      </c>
    </row>
    <row r="25">
      <c r="A25" s="3" t="inlineStr">
        <is>
          <t>Top findings</t>
        </is>
      </c>
    </row>
    <row r="26">
      <c r="A26" s="25">
        <f>Issues!C2</f>
        <v/>
      </c>
    </row>
    <row r="27">
      <c r="A27" s="25">
        <f>Issues!C3</f>
        <v/>
      </c>
    </row>
    <row r="28">
      <c r="A28" s="25">
        <f>Issues!C4</f>
        <v/>
      </c>
    </row>
    <row r="29">
      <c r="A29" s="25">
        <f>Issues!C5</f>
        <v/>
      </c>
    </row>
    <row r="30">
      <c r="A30" s="25">
        <f>Issues!C6</f>
        <v/>
      </c>
    </row>
    <row r="33">
      <c r="A33" s="2" t="inlineStr">
        <is>
          <t>Method: fresh Playwright browser per site, no wallet; 100 typed into all pages at one barrier; quotes within ~1.5 s of Bridg's. Evidence: screenshots + SHA-256 in Receipts. Dashboard: see repo README.</t>
        </is>
      </c>
    </row>
  </sheetData>
  <mergeCells count="6">
    <mergeCell ref="A27:G27"/>
    <mergeCell ref="A26:G26"/>
    <mergeCell ref="A30:G30"/>
    <mergeCell ref="A29:G29"/>
    <mergeCell ref="A33:G33"/>
    <mergeCell ref="A28:G28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2026-09-23T14:33:05Z</dcterms:created>
  <dcterms:modified xsi:type="dcterms:W3CDTF">2026-09-23T14:33:06Z</dcterms:modified>
</cp:coreProperties>
</file>